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0628BBE1-F8A1-4E1D-B64C-EA4E09D79F00}" xr6:coauthVersionLast="47" xr6:coauthVersionMax="47" xr10:uidLastSave="{00000000-0000-0000-0000-000000000000}"/>
  <bookViews>
    <workbookView xWindow="28680" yWindow="-120" windowWidth="29040" windowHeight="15720" tabRatio="775" firstSheet="1" activeTab="1" xr2:uid="{B17C95C4-2CBC-498D-ACA7-73D72DAE062F}"/>
  </bookViews>
  <sheets>
    <sheet name="BTC COINS" sheetId="30" r:id="rId1"/>
    <sheet name="SCALARS" sheetId="29" r:id="rId2"/>
    <sheet name="BITO and EETH" sheetId="34" r:id="rId3"/>
    <sheet name="ARKB" sheetId="3" r:id="rId4"/>
    <sheet name="BTCW" sheetId="10" r:id="rId5"/>
    <sheet name="BITB" sheetId="5" r:id="rId6"/>
    <sheet name="BRRR" sheetId="7" r:id="rId7"/>
    <sheet name="BTC" sheetId="16" r:id="rId8"/>
    <sheet name="GBTC" sheetId="2" r:id="rId9"/>
    <sheet name="HODL" sheetId="12" r:id="rId10"/>
    <sheet name="EZBC" sheetId="11" r:id="rId11"/>
    <sheet name="FBTC" sheetId="4" r:id="rId12"/>
    <sheet name="IBIT" sheetId="1" r:id="rId13"/>
    <sheet name="MSBT" sheetId="33" r:id="rId14"/>
    <sheet name="BTCO" sheetId="3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7" i="30" l="1"/>
  <c r="P156" i="30"/>
  <c r="E152" i="30"/>
  <c r="P152" i="30"/>
  <c r="P151" i="30"/>
  <c r="P150" i="30"/>
  <c r="P149" i="30"/>
  <c r="P142" i="30"/>
  <c r="P148" i="30"/>
  <c r="D147" i="1"/>
  <c r="E145" i="30"/>
  <c r="D147" i="7"/>
  <c r="L147" i="7"/>
  <c r="F147" i="7" s="1"/>
  <c r="D144" i="3"/>
  <c r="D147" i="3"/>
  <c r="D148" i="3"/>
  <c r="D149" i="3"/>
  <c r="D150" i="3"/>
  <c r="D151" i="3"/>
  <c r="D154" i="3"/>
  <c r="D155" i="3"/>
  <c r="D156" i="3"/>
  <c r="D157" i="3"/>
  <c r="D158" i="3"/>
  <c r="D142" i="3"/>
  <c r="D143" i="3"/>
  <c r="D141" i="3"/>
  <c r="D140" i="3"/>
  <c r="D136" i="3"/>
  <c r="D133" i="3"/>
  <c r="D126" i="3"/>
  <c r="P143" i="30"/>
  <c r="K142" i="30"/>
  <c r="D140" i="1"/>
  <c r="E138" i="30"/>
  <c r="E137" i="30"/>
  <c r="D133" i="1"/>
  <c r="L132" i="34"/>
  <c r="H132" i="34"/>
  <c r="E132" i="34"/>
  <c r="L131" i="34"/>
  <c r="H131" i="34"/>
  <c r="E131" i="34"/>
  <c r="L7" i="29"/>
  <c r="H7" i="29"/>
  <c r="D92" i="11"/>
  <c r="D119" i="11"/>
  <c r="D129" i="11"/>
  <c r="D128" i="11"/>
  <c r="D127" i="11"/>
  <c r="D126" i="11"/>
  <c r="D123" i="11"/>
  <c r="D122" i="11"/>
  <c r="D121" i="11"/>
  <c r="D120" i="11"/>
  <c r="D115" i="11"/>
  <c r="D114" i="11"/>
  <c r="D113" i="11"/>
  <c r="D112" i="11"/>
  <c r="D109" i="11"/>
  <c r="D108" i="11"/>
  <c r="D107" i="11"/>
  <c r="D106" i="11"/>
  <c r="D105" i="11"/>
  <c r="D100" i="11"/>
  <c r="D101" i="11"/>
  <c r="D102" i="11"/>
  <c r="D99" i="11"/>
  <c r="D98" i="11"/>
  <c r="D94" i="11"/>
  <c r="D95" i="11"/>
  <c r="D93" i="11"/>
  <c r="N98" i="11"/>
  <c r="O129" i="10"/>
  <c r="L128" i="34"/>
  <c r="L129" i="34"/>
  <c r="L133" i="34"/>
  <c r="L134" i="34"/>
  <c r="L135" i="34"/>
  <c r="L136" i="34"/>
  <c r="L137" i="34"/>
  <c r="L138" i="34"/>
  <c r="L139" i="34"/>
  <c r="L140" i="34"/>
  <c r="L141" i="34"/>
  <c r="L142" i="34"/>
  <c r="L143" i="34"/>
  <c r="L144" i="34"/>
  <c r="L145" i="34"/>
  <c r="L146" i="34"/>
  <c r="L147" i="34"/>
  <c r="L148" i="34"/>
  <c r="L149" i="34"/>
  <c r="L150" i="34"/>
  <c r="L151" i="34"/>
  <c r="L152" i="34"/>
  <c r="L153" i="34"/>
  <c r="L154" i="34"/>
  <c r="L155" i="34"/>
  <c r="L156" i="34"/>
  <c r="L157" i="34"/>
  <c r="L158" i="34"/>
  <c r="H128" i="34"/>
  <c r="H129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E128" i="34"/>
  <c r="E129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I128" i="1"/>
  <c r="D128" i="1"/>
  <c r="D129" i="1"/>
  <c r="D134" i="1"/>
  <c r="D135" i="1"/>
  <c r="D136" i="1"/>
  <c r="D137" i="1"/>
  <c r="D141" i="1"/>
  <c r="D142" i="1"/>
  <c r="D143" i="1"/>
  <c r="D144" i="1"/>
  <c r="D148" i="1"/>
  <c r="D149" i="1"/>
  <c r="D150" i="1"/>
  <c r="D151" i="1"/>
  <c r="D155" i="1"/>
  <c r="D156" i="1"/>
  <c r="D157" i="1"/>
  <c r="D158" i="1"/>
  <c r="D128" i="4"/>
  <c r="D129" i="4"/>
  <c r="D133" i="4"/>
  <c r="D134" i="4"/>
  <c r="D135" i="4"/>
  <c r="D136" i="4"/>
  <c r="D137" i="4"/>
  <c r="D140" i="4"/>
  <c r="D141" i="4"/>
  <c r="D142" i="4"/>
  <c r="D143" i="4"/>
  <c r="D144" i="4"/>
  <c r="D147" i="4"/>
  <c r="D148" i="4"/>
  <c r="D149" i="4"/>
  <c r="D150" i="4"/>
  <c r="D151" i="4"/>
  <c r="D154" i="4"/>
  <c r="D155" i="4"/>
  <c r="D156" i="4"/>
  <c r="D157" i="4"/>
  <c r="D158" i="4"/>
  <c r="J128" i="11"/>
  <c r="K128" i="11" s="1"/>
  <c r="J129" i="11"/>
  <c r="K129" i="11" s="1"/>
  <c r="D133" i="11" s="1"/>
  <c r="J133" i="11"/>
  <c r="K133" i="11" s="1"/>
  <c r="D134" i="11" s="1"/>
  <c r="J134" i="11"/>
  <c r="K134" i="11" s="1"/>
  <c r="D135" i="11" s="1"/>
  <c r="J135" i="11"/>
  <c r="K135" i="11" s="1"/>
  <c r="D136" i="11" s="1"/>
  <c r="J136" i="11"/>
  <c r="K136" i="11" s="1"/>
  <c r="D137" i="11" s="1"/>
  <c r="J137" i="11"/>
  <c r="K137" i="11" s="1"/>
  <c r="D140" i="11" s="1"/>
  <c r="J140" i="11"/>
  <c r="K140" i="11" s="1"/>
  <c r="D141" i="11" s="1"/>
  <c r="J141" i="11"/>
  <c r="K141" i="11" s="1"/>
  <c r="D142" i="11" s="1"/>
  <c r="J142" i="11"/>
  <c r="K142" i="11" s="1"/>
  <c r="D143" i="11" s="1"/>
  <c r="J143" i="11"/>
  <c r="K143" i="11" s="1"/>
  <c r="D144" i="11" s="1"/>
  <c r="J144" i="11"/>
  <c r="K144" i="11" s="1"/>
  <c r="D147" i="11" s="1"/>
  <c r="J147" i="11"/>
  <c r="K147" i="11" s="1"/>
  <c r="D148" i="11" s="1"/>
  <c r="J148" i="11"/>
  <c r="K148" i="11" s="1"/>
  <c r="D149" i="11" s="1"/>
  <c r="J149" i="11"/>
  <c r="K149" i="11" s="1"/>
  <c r="D150" i="11" s="1"/>
  <c r="J150" i="11"/>
  <c r="K150" i="11" s="1"/>
  <c r="D151" i="11" s="1"/>
  <c r="J151" i="11"/>
  <c r="K151" i="11" s="1"/>
  <c r="D154" i="11" s="1"/>
  <c r="J154" i="11"/>
  <c r="J155" i="11"/>
  <c r="K155" i="11" s="1"/>
  <c r="J156" i="11"/>
  <c r="K156" i="11" s="1"/>
  <c r="D157" i="11" s="1"/>
  <c r="J157" i="11"/>
  <c r="K157" i="11" s="1"/>
  <c r="D158" i="11" s="1"/>
  <c r="J158" i="11"/>
  <c r="K158" i="11" s="1"/>
  <c r="D128" i="12"/>
  <c r="I128" i="12"/>
  <c r="K128" i="12" s="1"/>
  <c r="J128" i="12"/>
  <c r="L128" i="12" s="1"/>
  <c r="M128" i="12"/>
  <c r="D129" i="12"/>
  <c r="I129" i="12"/>
  <c r="K129" i="12" s="1"/>
  <c r="J129" i="12"/>
  <c r="L129" i="12" s="1"/>
  <c r="M129" i="12"/>
  <c r="D133" i="12"/>
  <c r="I133" i="12"/>
  <c r="K133" i="12" s="1"/>
  <c r="J133" i="12"/>
  <c r="L133" i="12" s="1"/>
  <c r="M133" i="12"/>
  <c r="D134" i="12"/>
  <c r="I134" i="12"/>
  <c r="K134" i="12" s="1"/>
  <c r="J134" i="12"/>
  <c r="L134" i="12" s="1"/>
  <c r="M134" i="12"/>
  <c r="D135" i="12"/>
  <c r="I135" i="12"/>
  <c r="K135" i="12" s="1"/>
  <c r="J135" i="12"/>
  <c r="L135" i="12" s="1"/>
  <c r="M135" i="12"/>
  <c r="D136" i="12"/>
  <c r="I136" i="12"/>
  <c r="K136" i="12" s="1"/>
  <c r="J136" i="12"/>
  <c r="L136" i="12" s="1"/>
  <c r="M136" i="12"/>
  <c r="D137" i="12"/>
  <c r="I137" i="12"/>
  <c r="K137" i="12" s="1"/>
  <c r="J137" i="12"/>
  <c r="L137" i="12" s="1"/>
  <c r="M137" i="12"/>
  <c r="D140" i="12"/>
  <c r="I140" i="12"/>
  <c r="K140" i="12" s="1"/>
  <c r="J140" i="12"/>
  <c r="L140" i="12" s="1"/>
  <c r="M140" i="12"/>
  <c r="D141" i="12"/>
  <c r="I141" i="12"/>
  <c r="K141" i="12" s="1"/>
  <c r="J141" i="12"/>
  <c r="L141" i="12" s="1"/>
  <c r="M141" i="12"/>
  <c r="D142" i="12"/>
  <c r="I142" i="12"/>
  <c r="K142" i="12" s="1"/>
  <c r="J142" i="12"/>
  <c r="L142" i="12" s="1"/>
  <c r="M142" i="12"/>
  <c r="D143" i="12"/>
  <c r="I143" i="12"/>
  <c r="K143" i="12" s="1"/>
  <c r="J143" i="12"/>
  <c r="L143" i="12" s="1"/>
  <c r="M143" i="12"/>
  <c r="D144" i="12"/>
  <c r="I144" i="12"/>
  <c r="K144" i="12" s="1"/>
  <c r="J144" i="12"/>
  <c r="L144" i="12" s="1"/>
  <c r="M144" i="12"/>
  <c r="D147" i="12"/>
  <c r="I147" i="12"/>
  <c r="K147" i="12" s="1"/>
  <c r="J147" i="12"/>
  <c r="L147" i="12" s="1"/>
  <c r="M147" i="12"/>
  <c r="D148" i="12"/>
  <c r="I148" i="12"/>
  <c r="K148" i="12" s="1"/>
  <c r="J148" i="12"/>
  <c r="L148" i="12" s="1"/>
  <c r="M148" i="12"/>
  <c r="D149" i="12"/>
  <c r="I149" i="12"/>
  <c r="K149" i="12" s="1"/>
  <c r="J149" i="12"/>
  <c r="L149" i="12" s="1"/>
  <c r="M149" i="12"/>
  <c r="D150" i="12"/>
  <c r="I150" i="12"/>
  <c r="K150" i="12" s="1"/>
  <c r="J150" i="12"/>
  <c r="L150" i="12" s="1"/>
  <c r="M150" i="12"/>
  <c r="D151" i="12"/>
  <c r="I151" i="12"/>
  <c r="K151" i="12" s="1"/>
  <c r="J151" i="12"/>
  <c r="L151" i="12" s="1"/>
  <c r="M151" i="12"/>
  <c r="D154" i="12"/>
  <c r="I154" i="12"/>
  <c r="J154" i="12"/>
  <c r="L154" i="12" s="1"/>
  <c r="K154" i="12"/>
  <c r="M154" i="12"/>
  <c r="D155" i="12"/>
  <c r="I155" i="12"/>
  <c r="K155" i="12" s="1"/>
  <c r="J155" i="12"/>
  <c r="L155" i="12" s="1"/>
  <c r="M155" i="12"/>
  <c r="D156" i="12"/>
  <c r="I156" i="12"/>
  <c r="K156" i="12" s="1"/>
  <c r="J156" i="12"/>
  <c r="L156" i="12" s="1"/>
  <c r="M156" i="12"/>
  <c r="D157" i="12"/>
  <c r="I157" i="12"/>
  <c r="K157" i="12" s="1"/>
  <c r="J157" i="12"/>
  <c r="L157" i="12" s="1"/>
  <c r="M157" i="12"/>
  <c r="D158" i="12"/>
  <c r="I158" i="12"/>
  <c r="K158" i="12" s="1"/>
  <c r="J158" i="12"/>
  <c r="L158" i="12" s="1"/>
  <c r="M158" i="12"/>
  <c r="D128" i="2"/>
  <c r="E128" i="2"/>
  <c r="I128" i="2"/>
  <c r="D129" i="2"/>
  <c r="E129" i="2"/>
  <c r="I129" i="2"/>
  <c r="D130" i="2"/>
  <c r="D131" i="2"/>
  <c r="D132" i="2"/>
  <c r="D133" i="2"/>
  <c r="E133" i="2"/>
  <c r="I133" i="2"/>
  <c r="D134" i="2"/>
  <c r="E134" i="2"/>
  <c r="I134" i="2"/>
  <c r="D135" i="2"/>
  <c r="E135" i="2"/>
  <c r="I135" i="2"/>
  <c r="D136" i="2"/>
  <c r="E136" i="2"/>
  <c r="I136" i="2"/>
  <c r="D137" i="2"/>
  <c r="E137" i="2"/>
  <c r="I137" i="2"/>
  <c r="D138" i="2"/>
  <c r="D139" i="2"/>
  <c r="D140" i="2"/>
  <c r="E140" i="2"/>
  <c r="I140" i="2"/>
  <c r="D141" i="2"/>
  <c r="E141" i="2"/>
  <c r="I141" i="2"/>
  <c r="D142" i="2"/>
  <c r="E142" i="2"/>
  <c r="I142" i="2"/>
  <c r="D143" i="2"/>
  <c r="E143" i="2"/>
  <c r="I143" i="2"/>
  <c r="D144" i="2"/>
  <c r="E144" i="2"/>
  <c r="I144" i="2"/>
  <c r="D145" i="2"/>
  <c r="D146" i="2"/>
  <c r="D147" i="2"/>
  <c r="E147" i="2"/>
  <c r="I147" i="2"/>
  <c r="D148" i="2"/>
  <c r="E148" i="2"/>
  <c r="I148" i="2"/>
  <c r="D149" i="2"/>
  <c r="E149" i="2"/>
  <c r="I149" i="2"/>
  <c r="D150" i="2"/>
  <c r="E150" i="2"/>
  <c r="I150" i="2"/>
  <c r="D151" i="2"/>
  <c r="E151" i="2"/>
  <c r="I151" i="2"/>
  <c r="D152" i="2"/>
  <c r="D153" i="2"/>
  <c r="D154" i="2"/>
  <c r="E154" i="2"/>
  <c r="I154" i="2"/>
  <c r="D155" i="2"/>
  <c r="E155" i="2"/>
  <c r="I155" i="2"/>
  <c r="D156" i="2"/>
  <c r="E156" i="2"/>
  <c r="I156" i="2"/>
  <c r="D157" i="2"/>
  <c r="E157" i="2"/>
  <c r="I157" i="2"/>
  <c r="D158" i="2"/>
  <c r="E158" i="2"/>
  <c r="I158" i="2"/>
  <c r="D128" i="16"/>
  <c r="H128" i="16"/>
  <c r="D129" i="16"/>
  <c r="H129" i="16"/>
  <c r="D133" i="16"/>
  <c r="H133" i="16"/>
  <c r="D134" i="16"/>
  <c r="H134" i="16"/>
  <c r="D135" i="16"/>
  <c r="H135" i="16"/>
  <c r="D136" i="16"/>
  <c r="H136" i="16"/>
  <c r="D137" i="16"/>
  <c r="H137" i="16"/>
  <c r="D140" i="16"/>
  <c r="H140" i="16"/>
  <c r="D141" i="16"/>
  <c r="H141" i="16"/>
  <c r="D142" i="16"/>
  <c r="H142" i="16"/>
  <c r="D143" i="16"/>
  <c r="H143" i="16"/>
  <c r="D144" i="16"/>
  <c r="H144" i="16"/>
  <c r="D147" i="16"/>
  <c r="H147" i="16"/>
  <c r="D148" i="16"/>
  <c r="H148" i="16"/>
  <c r="D149" i="16"/>
  <c r="H149" i="16"/>
  <c r="D150" i="16"/>
  <c r="H150" i="16"/>
  <c r="D151" i="16"/>
  <c r="H151" i="16"/>
  <c r="D154" i="16"/>
  <c r="H154" i="16"/>
  <c r="D155" i="16"/>
  <c r="H155" i="16"/>
  <c r="D156" i="16"/>
  <c r="H156" i="16"/>
  <c r="D157" i="16"/>
  <c r="H157" i="16"/>
  <c r="D158" i="16"/>
  <c r="H158" i="16"/>
  <c r="D129" i="7"/>
  <c r="L129" i="7"/>
  <c r="F129" i="7" s="1"/>
  <c r="D133" i="7"/>
  <c r="L133" i="7"/>
  <c r="F133" i="7" s="1"/>
  <c r="D134" i="7"/>
  <c r="L134" i="7"/>
  <c r="F134" i="7" s="1"/>
  <c r="D135" i="7"/>
  <c r="L135" i="7"/>
  <c r="F135" i="7" s="1"/>
  <c r="D136" i="7"/>
  <c r="L136" i="7"/>
  <c r="F136" i="7" s="1"/>
  <c r="D137" i="7"/>
  <c r="L137" i="7"/>
  <c r="F137" i="7" s="1"/>
  <c r="D140" i="7"/>
  <c r="L140" i="7"/>
  <c r="F140" i="7" s="1"/>
  <c r="D141" i="7"/>
  <c r="L141" i="7"/>
  <c r="F141" i="7" s="1"/>
  <c r="D142" i="7"/>
  <c r="L142" i="7"/>
  <c r="F142" i="7" s="1"/>
  <c r="D143" i="7"/>
  <c r="L143" i="7"/>
  <c r="F143" i="7" s="1"/>
  <c r="D144" i="7"/>
  <c r="L144" i="7"/>
  <c r="F144" i="7" s="1"/>
  <c r="D148" i="7"/>
  <c r="L148" i="7"/>
  <c r="F148" i="7" s="1"/>
  <c r="D149" i="7"/>
  <c r="L149" i="7"/>
  <c r="F149" i="7" s="1"/>
  <c r="D150" i="7"/>
  <c r="L150" i="7"/>
  <c r="F150" i="7" s="1"/>
  <c r="D151" i="7"/>
  <c r="L151" i="7"/>
  <c r="F151" i="7" s="1"/>
  <c r="D154" i="7"/>
  <c r="L154" i="7"/>
  <c r="F154" i="7" s="1"/>
  <c r="D155" i="7"/>
  <c r="L155" i="7"/>
  <c r="F155" i="7" s="1"/>
  <c r="D156" i="7"/>
  <c r="L156" i="7"/>
  <c r="F156" i="7" s="1"/>
  <c r="D157" i="7"/>
  <c r="L157" i="7"/>
  <c r="F157" i="7" s="1"/>
  <c r="D158" i="7"/>
  <c r="L158" i="7"/>
  <c r="F158" i="7" s="1"/>
  <c r="D159" i="7"/>
  <c r="L159" i="7"/>
  <c r="F159" i="7" s="1"/>
  <c r="J154" i="5"/>
  <c r="L154" i="5"/>
  <c r="N154" i="5" s="1"/>
  <c r="M154" i="5"/>
  <c r="O154" i="5" s="1"/>
  <c r="P154" i="5"/>
  <c r="J155" i="5"/>
  <c r="K155" i="5" s="1"/>
  <c r="D155" i="5" s="1"/>
  <c r="L155" i="5"/>
  <c r="N155" i="5" s="1"/>
  <c r="M155" i="5"/>
  <c r="O155" i="5" s="1"/>
  <c r="P155" i="5"/>
  <c r="J156" i="5"/>
  <c r="K156" i="5" s="1"/>
  <c r="D156" i="5" s="1"/>
  <c r="L156" i="5"/>
  <c r="N156" i="5" s="1"/>
  <c r="M156" i="5"/>
  <c r="O156" i="5" s="1"/>
  <c r="P156" i="5"/>
  <c r="J157" i="5"/>
  <c r="K157" i="5" s="1"/>
  <c r="D157" i="5" s="1"/>
  <c r="L157" i="5"/>
  <c r="N157" i="5" s="1"/>
  <c r="M157" i="5"/>
  <c r="O157" i="5" s="1"/>
  <c r="P157" i="5"/>
  <c r="J158" i="5"/>
  <c r="K158" i="5" s="1"/>
  <c r="D158" i="5" s="1"/>
  <c r="L158" i="5"/>
  <c r="N158" i="5" s="1"/>
  <c r="M158" i="5"/>
  <c r="O158" i="5" s="1"/>
  <c r="P158" i="5"/>
  <c r="J128" i="5"/>
  <c r="K128" i="5" s="1"/>
  <c r="D128" i="5" s="1"/>
  <c r="L128" i="5"/>
  <c r="N128" i="5" s="1"/>
  <c r="M128" i="5"/>
  <c r="O128" i="5" s="1"/>
  <c r="P128" i="5"/>
  <c r="J129" i="5"/>
  <c r="K129" i="5" s="1"/>
  <c r="D129" i="5" s="1"/>
  <c r="L129" i="5"/>
  <c r="N129" i="5" s="1"/>
  <c r="M129" i="5"/>
  <c r="O129" i="5" s="1"/>
  <c r="P129" i="5"/>
  <c r="J133" i="5"/>
  <c r="K133" i="5" s="1"/>
  <c r="D133" i="5" s="1"/>
  <c r="L133" i="5"/>
  <c r="N133" i="5" s="1"/>
  <c r="M133" i="5"/>
  <c r="O133" i="5" s="1"/>
  <c r="P133" i="5"/>
  <c r="J134" i="5"/>
  <c r="K134" i="5" s="1"/>
  <c r="D134" i="5" s="1"/>
  <c r="L134" i="5"/>
  <c r="N134" i="5" s="1"/>
  <c r="M134" i="5"/>
  <c r="O134" i="5"/>
  <c r="P134" i="5"/>
  <c r="J135" i="5"/>
  <c r="K135" i="5" s="1"/>
  <c r="D135" i="5" s="1"/>
  <c r="L135" i="5"/>
  <c r="N135" i="5" s="1"/>
  <c r="M135" i="5"/>
  <c r="O135" i="5" s="1"/>
  <c r="P135" i="5"/>
  <c r="J136" i="5"/>
  <c r="K136" i="5" s="1"/>
  <c r="D136" i="5" s="1"/>
  <c r="L136" i="5"/>
  <c r="N136" i="5" s="1"/>
  <c r="M136" i="5"/>
  <c r="O136" i="5" s="1"/>
  <c r="P136" i="5"/>
  <c r="J137" i="5"/>
  <c r="K137" i="5" s="1"/>
  <c r="D137" i="5" s="1"/>
  <c r="L137" i="5"/>
  <c r="N137" i="5" s="1"/>
  <c r="M137" i="5"/>
  <c r="O137" i="5" s="1"/>
  <c r="P137" i="5"/>
  <c r="J140" i="5"/>
  <c r="K140" i="5" s="1"/>
  <c r="D140" i="5" s="1"/>
  <c r="L140" i="5"/>
  <c r="N140" i="5" s="1"/>
  <c r="M140" i="5"/>
  <c r="O140" i="5" s="1"/>
  <c r="P140" i="5"/>
  <c r="J141" i="5"/>
  <c r="K141" i="5" s="1"/>
  <c r="D141" i="5" s="1"/>
  <c r="L141" i="5"/>
  <c r="N141" i="5" s="1"/>
  <c r="M141" i="5"/>
  <c r="O141" i="5" s="1"/>
  <c r="P141" i="5"/>
  <c r="J142" i="5"/>
  <c r="K142" i="5" s="1"/>
  <c r="D142" i="5" s="1"/>
  <c r="L142" i="5"/>
  <c r="N142" i="5" s="1"/>
  <c r="M142" i="5"/>
  <c r="O142" i="5" s="1"/>
  <c r="P142" i="5"/>
  <c r="J143" i="5"/>
  <c r="K143" i="5" s="1"/>
  <c r="D143" i="5" s="1"/>
  <c r="L143" i="5"/>
  <c r="N143" i="5" s="1"/>
  <c r="M143" i="5"/>
  <c r="O143" i="5" s="1"/>
  <c r="P143" i="5"/>
  <c r="J144" i="5"/>
  <c r="K144" i="5" s="1"/>
  <c r="D144" i="5" s="1"/>
  <c r="L144" i="5"/>
  <c r="M144" i="5"/>
  <c r="O144" i="5" s="1"/>
  <c r="N144" i="5"/>
  <c r="P144" i="5"/>
  <c r="J147" i="5"/>
  <c r="K147" i="5" s="1"/>
  <c r="D147" i="5" s="1"/>
  <c r="L147" i="5"/>
  <c r="N147" i="5" s="1"/>
  <c r="M147" i="5"/>
  <c r="O147" i="5" s="1"/>
  <c r="P147" i="5"/>
  <c r="J148" i="5"/>
  <c r="K148" i="5" s="1"/>
  <c r="D148" i="5" s="1"/>
  <c r="L148" i="5"/>
  <c r="N148" i="5" s="1"/>
  <c r="M148" i="5"/>
  <c r="O148" i="5" s="1"/>
  <c r="P148" i="5"/>
  <c r="J149" i="5"/>
  <c r="K149" i="5" s="1"/>
  <c r="D149" i="5" s="1"/>
  <c r="L149" i="5"/>
  <c r="N149" i="5" s="1"/>
  <c r="M149" i="5"/>
  <c r="O149" i="5" s="1"/>
  <c r="P149" i="5"/>
  <c r="J150" i="5"/>
  <c r="K150" i="5" s="1"/>
  <c r="D150" i="5" s="1"/>
  <c r="L150" i="5"/>
  <c r="M150" i="5"/>
  <c r="O150" i="5" s="1"/>
  <c r="N150" i="5"/>
  <c r="P150" i="5"/>
  <c r="J151" i="5"/>
  <c r="K151" i="5" s="1"/>
  <c r="D151" i="5" s="1"/>
  <c r="L151" i="5"/>
  <c r="N151" i="5" s="1"/>
  <c r="M151" i="5"/>
  <c r="O151" i="5" s="1"/>
  <c r="P151" i="5"/>
  <c r="O128" i="10"/>
  <c r="I128" i="10"/>
  <c r="J128" i="10" s="1"/>
  <c r="D128" i="10" s="1"/>
  <c r="K128" i="10"/>
  <c r="I129" i="10"/>
  <c r="J129" i="10" s="1"/>
  <c r="D129" i="10" s="1"/>
  <c r="K129" i="10"/>
  <c r="I133" i="10"/>
  <c r="J133" i="10" s="1"/>
  <c r="D133" i="10" s="1"/>
  <c r="K133" i="10"/>
  <c r="I134" i="10"/>
  <c r="J134" i="10" s="1"/>
  <c r="D134" i="10" s="1"/>
  <c r="K134" i="10"/>
  <c r="I135" i="10"/>
  <c r="J135" i="10" s="1"/>
  <c r="D135" i="10" s="1"/>
  <c r="K135" i="10"/>
  <c r="I136" i="10"/>
  <c r="J136" i="10" s="1"/>
  <c r="D136" i="10" s="1"/>
  <c r="K136" i="10"/>
  <c r="I137" i="10"/>
  <c r="J137" i="10" s="1"/>
  <c r="D137" i="10" s="1"/>
  <c r="K137" i="10"/>
  <c r="I140" i="10"/>
  <c r="J140" i="10" s="1"/>
  <c r="D140" i="10" s="1"/>
  <c r="K140" i="10"/>
  <c r="I141" i="10"/>
  <c r="J141" i="10" s="1"/>
  <c r="D141" i="10" s="1"/>
  <c r="K141" i="10"/>
  <c r="I142" i="10"/>
  <c r="J142" i="10" s="1"/>
  <c r="D142" i="10" s="1"/>
  <c r="K142" i="10"/>
  <c r="I143" i="10"/>
  <c r="J143" i="10" s="1"/>
  <c r="D143" i="10" s="1"/>
  <c r="K143" i="10"/>
  <c r="I144" i="10"/>
  <c r="J144" i="10" s="1"/>
  <c r="D144" i="10" s="1"/>
  <c r="K144" i="10"/>
  <c r="I147" i="10"/>
  <c r="J147" i="10" s="1"/>
  <c r="D147" i="10" s="1"/>
  <c r="K147" i="10"/>
  <c r="I148" i="10"/>
  <c r="J148" i="10" s="1"/>
  <c r="D148" i="10" s="1"/>
  <c r="K148" i="10"/>
  <c r="I149" i="10"/>
  <c r="J149" i="10" s="1"/>
  <c r="D149" i="10" s="1"/>
  <c r="K149" i="10"/>
  <c r="I150" i="10"/>
  <c r="J150" i="10" s="1"/>
  <c r="D150" i="10" s="1"/>
  <c r="K150" i="10"/>
  <c r="I151" i="10"/>
  <c r="J151" i="10" s="1"/>
  <c r="D151" i="10" s="1"/>
  <c r="K151" i="10"/>
  <c r="I154" i="10"/>
  <c r="I155" i="10"/>
  <c r="J155" i="10" s="1"/>
  <c r="D155" i="10" s="1"/>
  <c r="K155" i="10"/>
  <c r="I156" i="10"/>
  <c r="J156" i="10" s="1"/>
  <c r="D156" i="10" s="1"/>
  <c r="K156" i="10"/>
  <c r="I157" i="10"/>
  <c r="J157" i="10" s="1"/>
  <c r="D157" i="10" s="1"/>
  <c r="K157" i="10"/>
  <c r="I158" i="10"/>
  <c r="J158" i="10" s="1"/>
  <c r="D158" i="10" s="1"/>
  <c r="K158" i="10"/>
  <c r="K128" i="3"/>
  <c r="L128" i="3" s="1"/>
  <c r="D128" i="3"/>
  <c r="K129" i="3"/>
  <c r="L129" i="3" s="1"/>
  <c r="D129" i="3"/>
  <c r="K133" i="3"/>
  <c r="L133" i="3" s="1"/>
  <c r="K134" i="3"/>
  <c r="L134" i="3" s="1"/>
  <c r="D134" i="3"/>
  <c r="K135" i="3"/>
  <c r="L135" i="3" s="1"/>
  <c r="D135" i="3"/>
  <c r="K136" i="3"/>
  <c r="L136" i="3" s="1"/>
  <c r="K137" i="3"/>
  <c r="L137" i="3" s="1"/>
  <c r="D137" i="3"/>
  <c r="K140" i="3"/>
  <c r="L140" i="3" s="1"/>
  <c r="K141" i="3"/>
  <c r="L141" i="3" s="1"/>
  <c r="K142" i="3"/>
  <c r="L142" i="3"/>
  <c r="K143" i="3"/>
  <c r="L143" i="3"/>
  <c r="K144" i="3"/>
  <c r="L144" i="3"/>
  <c r="K147" i="3"/>
  <c r="L147" i="3"/>
  <c r="K148" i="3"/>
  <c r="L148" i="3"/>
  <c r="K149" i="3"/>
  <c r="L149" i="3"/>
  <c r="K150" i="3"/>
  <c r="L150" i="3"/>
  <c r="K151" i="3"/>
  <c r="L151" i="3"/>
  <c r="K154" i="3"/>
  <c r="L154" i="3"/>
  <c r="K155" i="3"/>
  <c r="L155" i="3"/>
  <c r="K156" i="3"/>
  <c r="L156" i="3"/>
  <c r="K157" i="3"/>
  <c r="L157" i="3"/>
  <c r="K158" i="3"/>
  <c r="L158" i="3"/>
  <c r="O126" i="10"/>
  <c r="P126" i="10" s="1"/>
  <c r="O127" i="10"/>
  <c r="O112" i="10"/>
  <c r="O119" i="10"/>
  <c r="P119" i="10" s="1"/>
  <c r="O115" i="10"/>
  <c r="O114" i="10"/>
  <c r="O113" i="10"/>
  <c r="O121" i="10"/>
  <c r="O122" i="10"/>
  <c r="O123" i="10"/>
  <c r="O120" i="10"/>
  <c r="D119" i="1"/>
  <c r="D115" i="1"/>
  <c r="L119" i="34"/>
  <c r="H119" i="34"/>
  <c r="E119" i="34"/>
  <c r="I7" i="29"/>
  <c r="C7" i="29"/>
  <c r="E7" i="29"/>
  <c r="D7" i="29"/>
  <c r="E114" i="30"/>
  <c r="E115" i="30"/>
  <c r="E116" i="30"/>
  <c r="E120" i="30"/>
  <c r="E121" i="30"/>
  <c r="E122" i="30"/>
  <c r="E123" i="30"/>
  <c r="E124" i="30"/>
  <c r="E127" i="30"/>
  <c r="E128" i="30" s="1"/>
  <c r="E129" i="30"/>
  <c r="E130" i="30"/>
  <c r="E134" i="30"/>
  <c r="E135" i="30"/>
  <c r="E136" i="30"/>
  <c r="E141" i="30"/>
  <c r="E142" i="30"/>
  <c r="E143" i="30"/>
  <c r="E144" i="30"/>
  <c r="E148" i="30"/>
  <c r="E149" i="30"/>
  <c r="E150" i="30"/>
  <c r="E151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205" i="30"/>
  <c r="E206" i="30"/>
  <c r="E207" i="30"/>
  <c r="E208" i="30"/>
  <c r="E209" i="30"/>
  <c r="E210" i="30"/>
  <c r="E211" i="30"/>
  <c r="E212" i="30"/>
  <c r="E213" i="30"/>
  <c r="E214" i="30"/>
  <c r="E215" i="30"/>
  <c r="E216" i="30"/>
  <c r="E217" i="30"/>
  <c r="E218" i="30"/>
  <c r="E219" i="30"/>
  <c r="E220" i="30"/>
  <c r="E221" i="30"/>
  <c r="E222" i="30"/>
  <c r="E223" i="30"/>
  <c r="E224" i="30"/>
  <c r="E225" i="30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E247" i="30"/>
  <c r="E248" i="30"/>
  <c r="E249" i="30"/>
  <c r="E250" i="30"/>
  <c r="E251" i="30"/>
  <c r="E252" i="30"/>
  <c r="E253" i="30"/>
  <c r="E254" i="30"/>
  <c r="E255" i="30"/>
  <c r="E256" i="30"/>
  <c r="E257" i="30"/>
  <c r="E258" i="30"/>
  <c r="E259" i="30"/>
  <c r="E260" i="30"/>
  <c r="E261" i="30"/>
  <c r="E262" i="30"/>
  <c r="E263" i="30"/>
  <c r="E264" i="30"/>
  <c r="E265" i="30"/>
  <c r="E266" i="30"/>
  <c r="E267" i="30"/>
  <c r="E268" i="30"/>
  <c r="E269" i="30"/>
  <c r="E270" i="30"/>
  <c r="E271" i="30"/>
  <c r="E272" i="30"/>
  <c r="E273" i="30"/>
  <c r="E274" i="30"/>
  <c r="E275" i="30"/>
  <c r="E276" i="30"/>
  <c r="E277" i="30"/>
  <c r="E278" i="30"/>
  <c r="E279" i="30"/>
  <c r="E280" i="30"/>
  <c r="E281" i="30"/>
  <c r="E282" i="30"/>
  <c r="E283" i="30"/>
  <c r="E284" i="30"/>
  <c r="E285" i="30"/>
  <c r="E286" i="30"/>
  <c r="E287" i="30"/>
  <c r="E288" i="30"/>
  <c r="E289" i="30"/>
  <c r="E290" i="30"/>
  <c r="E291" i="30"/>
  <c r="E292" i="30"/>
  <c r="E293" i="30"/>
  <c r="E294" i="30"/>
  <c r="E295" i="30"/>
  <c r="E296" i="30"/>
  <c r="E297" i="30"/>
  <c r="E298" i="30"/>
  <c r="E299" i="30"/>
  <c r="E300" i="30"/>
  <c r="E301" i="30"/>
  <c r="E302" i="30"/>
  <c r="E303" i="30"/>
  <c r="E304" i="30"/>
  <c r="E305" i="30"/>
  <c r="E306" i="30"/>
  <c r="E307" i="30"/>
  <c r="E308" i="30"/>
  <c r="E309" i="30"/>
  <c r="E310" i="30"/>
  <c r="E311" i="30"/>
  <c r="E312" i="30"/>
  <c r="E313" i="30"/>
  <c r="E314" i="30"/>
  <c r="E315" i="30"/>
  <c r="E316" i="30"/>
  <c r="E317" i="30"/>
  <c r="E318" i="30"/>
  <c r="E319" i="30"/>
  <c r="E320" i="30"/>
  <c r="E321" i="30"/>
  <c r="E322" i="30"/>
  <c r="E323" i="30"/>
  <c r="E324" i="30"/>
  <c r="E325" i="30"/>
  <c r="E326" i="30"/>
  <c r="E327" i="30"/>
  <c r="E328" i="30"/>
  <c r="E329" i="30"/>
  <c r="E330" i="30"/>
  <c r="E331" i="30"/>
  <c r="E332" i="30"/>
  <c r="E333" i="30"/>
  <c r="E334" i="30"/>
  <c r="E335" i="30"/>
  <c r="E336" i="30"/>
  <c r="E337" i="30"/>
  <c r="E338" i="30"/>
  <c r="E339" i="30"/>
  <c r="E340" i="30"/>
  <c r="E341" i="30"/>
  <c r="E342" i="30"/>
  <c r="E343" i="30"/>
  <c r="E344" i="30"/>
  <c r="E345" i="30"/>
  <c r="E346" i="30"/>
  <c r="E347" i="30"/>
  <c r="E348" i="30"/>
  <c r="E349" i="30"/>
  <c r="E350" i="30"/>
  <c r="E351" i="30"/>
  <c r="E352" i="30"/>
  <c r="E353" i="30"/>
  <c r="E354" i="30"/>
  <c r="E355" i="30"/>
  <c r="E356" i="30"/>
  <c r="E357" i="30"/>
  <c r="E358" i="30"/>
  <c r="E359" i="30"/>
  <c r="E360" i="30"/>
  <c r="E361" i="30"/>
  <c r="E362" i="30"/>
  <c r="E363" i="30"/>
  <c r="E364" i="30"/>
  <c r="E365" i="30"/>
  <c r="E366" i="30"/>
  <c r="E367" i="30"/>
  <c r="E368" i="30"/>
  <c r="E369" i="30"/>
  <c r="E370" i="30"/>
  <c r="E371" i="30"/>
  <c r="E109" i="30"/>
  <c r="E110" i="30"/>
  <c r="E113" i="30"/>
  <c r="J7" i="29"/>
  <c r="D100" i="12"/>
  <c r="O102" i="10"/>
  <c r="O95" i="10"/>
  <c r="O94" i="10"/>
  <c r="O93" i="10"/>
  <c r="O92" i="10"/>
  <c r="O99" i="10"/>
  <c r="O100" i="10"/>
  <c r="O101" i="10"/>
  <c r="O98" i="10"/>
  <c r="I100" i="1"/>
  <c r="I99" i="1"/>
  <c r="E99" i="30"/>
  <c r="E96" i="30"/>
  <c r="P99" i="30"/>
  <c r="D127" i="4"/>
  <c r="D126" i="4"/>
  <c r="D123" i="4"/>
  <c r="D122" i="4"/>
  <c r="D121" i="4"/>
  <c r="D120" i="4"/>
  <c r="D119" i="4"/>
  <c r="D115" i="4"/>
  <c r="D114" i="4"/>
  <c r="D113" i="4"/>
  <c r="D112" i="4"/>
  <c r="D109" i="4"/>
  <c r="D108" i="4"/>
  <c r="D107" i="4"/>
  <c r="D106" i="4"/>
  <c r="D105" i="4"/>
  <c r="D102" i="4"/>
  <c r="D101" i="4"/>
  <c r="D100" i="4"/>
  <c r="D99" i="4"/>
  <c r="D98" i="4"/>
  <c r="J127" i="11"/>
  <c r="J126" i="11"/>
  <c r="J123" i="11"/>
  <c r="J122" i="11"/>
  <c r="J121" i="11"/>
  <c r="J120" i="11"/>
  <c r="J119" i="11"/>
  <c r="J115" i="11"/>
  <c r="J114" i="11"/>
  <c r="J113" i="11"/>
  <c r="J112" i="11"/>
  <c r="J109" i="11"/>
  <c r="J108" i="11"/>
  <c r="J107" i="11"/>
  <c r="J106" i="11"/>
  <c r="J105" i="11"/>
  <c r="J102" i="11"/>
  <c r="J101" i="11"/>
  <c r="J100" i="11"/>
  <c r="J99" i="11"/>
  <c r="J98" i="11"/>
  <c r="M127" i="12"/>
  <c r="J127" i="12"/>
  <c r="I127" i="12"/>
  <c r="D127" i="12"/>
  <c r="M126" i="12"/>
  <c r="J126" i="12"/>
  <c r="I126" i="12"/>
  <c r="D126" i="12"/>
  <c r="M123" i="12"/>
  <c r="J123" i="12"/>
  <c r="I123" i="12"/>
  <c r="D123" i="12"/>
  <c r="M122" i="12"/>
  <c r="J122" i="12"/>
  <c r="I122" i="12"/>
  <c r="D122" i="12"/>
  <c r="M121" i="12"/>
  <c r="J121" i="12"/>
  <c r="I121" i="12"/>
  <c r="D121" i="12"/>
  <c r="M120" i="12"/>
  <c r="J120" i="12"/>
  <c r="I120" i="12"/>
  <c r="D120" i="12"/>
  <c r="M119" i="12"/>
  <c r="J119" i="12"/>
  <c r="I119" i="12"/>
  <c r="D119" i="12"/>
  <c r="M115" i="12"/>
  <c r="J115" i="12"/>
  <c r="I115" i="12"/>
  <c r="D115" i="12"/>
  <c r="M114" i="12"/>
  <c r="J114" i="12"/>
  <c r="I114" i="12"/>
  <c r="D114" i="12"/>
  <c r="M113" i="12"/>
  <c r="J113" i="12"/>
  <c r="I113" i="12"/>
  <c r="D113" i="12"/>
  <c r="M112" i="12"/>
  <c r="J112" i="12"/>
  <c r="I112" i="12"/>
  <c r="D112" i="12"/>
  <c r="M109" i="12"/>
  <c r="J109" i="12"/>
  <c r="I109" i="12"/>
  <c r="D109" i="12"/>
  <c r="M108" i="12"/>
  <c r="J108" i="12"/>
  <c r="I108" i="12"/>
  <c r="D108" i="12"/>
  <c r="M107" i="12"/>
  <c r="J107" i="12"/>
  <c r="I107" i="12"/>
  <c r="D107" i="12"/>
  <c r="M106" i="12"/>
  <c r="J106" i="12"/>
  <c r="I106" i="12"/>
  <c r="D106" i="12"/>
  <c r="M105" i="12"/>
  <c r="J105" i="12"/>
  <c r="I105" i="12"/>
  <c r="D105" i="12"/>
  <c r="M102" i="12"/>
  <c r="J102" i="12"/>
  <c r="I102" i="12"/>
  <c r="D102" i="12"/>
  <c r="M101" i="12"/>
  <c r="J101" i="12"/>
  <c r="I101" i="12"/>
  <c r="D101" i="12"/>
  <c r="M100" i="12"/>
  <c r="J100" i="12"/>
  <c r="I100" i="12"/>
  <c r="M99" i="12"/>
  <c r="J99" i="12"/>
  <c r="I99" i="12"/>
  <c r="D99" i="12"/>
  <c r="M98" i="12"/>
  <c r="J98" i="12"/>
  <c r="I98" i="12"/>
  <c r="D98" i="12"/>
  <c r="I127" i="2"/>
  <c r="E127" i="2"/>
  <c r="I126" i="2"/>
  <c r="E126" i="2"/>
  <c r="I123" i="2"/>
  <c r="E123" i="2"/>
  <c r="I122" i="2"/>
  <c r="E122" i="2"/>
  <c r="I121" i="2"/>
  <c r="E121" i="2"/>
  <c r="I120" i="2"/>
  <c r="E120" i="2"/>
  <c r="I119" i="2"/>
  <c r="E119" i="2"/>
  <c r="I115" i="2"/>
  <c r="E115" i="2"/>
  <c r="I114" i="2"/>
  <c r="E114" i="2"/>
  <c r="I113" i="2"/>
  <c r="E113" i="2"/>
  <c r="I112" i="2"/>
  <c r="E112" i="2"/>
  <c r="I109" i="2"/>
  <c r="E109" i="2"/>
  <c r="I108" i="2"/>
  <c r="E108" i="2"/>
  <c r="I107" i="2"/>
  <c r="E107" i="2"/>
  <c r="I106" i="2"/>
  <c r="E106" i="2"/>
  <c r="I105" i="2"/>
  <c r="E105" i="2"/>
  <c r="I102" i="2"/>
  <c r="E102" i="2"/>
  <c r="I101" i="2"/>
  <c r="E101" i="2"/>
  <c r="I100" i="2"/>
  <c r="E100" i="2"/>
  <c r="I99" i="2"/>
  <c r="E99" i="2"/>
  <c r="I98" i="2"/>
  <c r="E98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H127" i="16"/>
  <c r="D127" i="16"/>
  <c r="H126" i="16"/>
  <c r="D126" i="16"/>
  <c r="H123" i="16"/>
  <c r="D123" i="16"/>
  <c r="H122" i="16"/>
  <c r="D122" i="16"/>
  <c r="H121" i="16"/>
  <c r="D121" i="16"/>
  <c r="H120" i="16"/>
  <c r="D120" i="16"/>
  <c r="H119" i="16"/>
  <c r="D119" i="16"/>
  <c r="H115" i="16"/>
  <c r="D115" i="16"/>
  <c r="H114" i="16"/>
  <c r="D114" i="16"/>
  <c r="H113" i="16"/>
  <c r="D113" i="16"/>
  <c r="H112" i="16"/>
  <c r="D112" i="16"/>
  <c r="H109" i="16"/>
  <c r="D109" i="16"/>
  <c r="H108" i="16"/>
  <c r="D108" i="16"/>
  <c r="H107" i="16"/>
  <c r="D107" i="16"/>
  <c r="H106" i="16"/>
  <c r="D106" i="16"/>
  <c r="H105" i="16"/>
  <c r="D105" i="16"/>
  <c r="H102" i="16"/>
  <c r="D102" i="16"/>
  <c r="H101" i="16"/>
  <c r="D101" i="16"/>
  <c r="H100" i="16"/>
  <c r="D100" i="16"/>
  <c r="H99" i="16"/>
  <c r="D99" i="16"/>
  <c r="H98" i="16"/>
  <c r="D98" i="16"/>
  <c r="P127" i="5"/>
  <c r="M127" i="5"/>
  <c r="L127" i="5"/>
  <c r="J127" i="5"/>
  <c r="P126" i="5"/>
  <c r="M126" i="5"/>
  <c r="L126" i="5"/>
  <c r="J126" i="5"/>
  <c r="P123" i="5"/>
  <c r="M123" i="5"/>
  <c r="L123" i="5"/>
  <c r="J123" i="5"/>
  <c r="P122" i="5"/>
  <c r="M122" i="5"/>
  <c r="L122" i="5"/>
  <c r="J122" i="5"/>
  <c r="P121" i="5"/>
  <c r="M121" i="5"/>
  <c r="L121" i="5"/>
  <c r="J121" i="5"/>
  <c r="P120" i="5"/>
  <c r="M120" i="5"/>
  <c r="L120" i="5"/>
  <c r="J120" i="5"/>
  <c r="P119" i="5"/>
  <c r="M119" i="5"/>
  <c r="L119" i="5"/>
  <c r="J119" i="5"/>
  <c r="P115" i="5"/>
  <c r="M115" i="5"/>
  <c r="L115" i="5"/>
  <c r="J115" i="5"/>
  <c r="P114" i="5"/>
  <c r="M114" i="5"/>
  <c r="L114" i="5"/>
  <c r="J114" i="5"/>
  <c r="P113" i="5"/>
  <c r="M113" i="5"/>
  <c r="L113" i="5"/>
  <c r="J113" i="5"/>
  <c r="P112" i="5"/>
  <c r="M112" i="5"/>
  <c r="L112" i="5"/>
  <c r="J112" i="5"/>
  <c r="P109" i="5"/>
  <c r="M109" i="5"/>
  <c r="L109" i="5"/>
  <c r="J109" i="5"/>
  <c r="P108" i="5"/>
  <c r="M108" i="5"/>
  <c r="L108" i="5"/>
  <c r="J108" i="5"/>
  <c r="P107" i="5"/>
  <c r="M107" i="5"/>
  <c r="L107" i="5"/>
  <c r="J107" i="5"/>
  <c r="P106" i="5"/>
  <c r="M106" i="5"/>
  <c r="L106" i="5"/>
  <c r="J106" i="5"/>
  <c r="P105" i="5"/>
  <c r="M105" i="5"/>
  <c r="L105" i="5"/>
  <c r="J105" i="5"/>
  <c r="P102" i="5"/>
  <c r="M102" i="5"/>
  <c r="L102" i="5"/>
  <c r="J102" i="5"/>
  <c r="P101" i="5"/>
  <c r="M101" i="5"/>
  <c r="L101" i="5"/>
  <c r="J101" i="5"/>
  <c r="P100" i="5"/>
  <c r="M100" i="5"/>
  <c r="L100" i="5"/>
  <c r="J100" i="5"/>
  <c r="P99" i="5"/>
  <c r="M99" i="5"/>
  <c r="L99" i="5"/>
  <c r="J99" i="5"/>
  <c r="P98" i="5"/>
  <c r="M98" i="5"/>
  <c r="L98" i="5"/>
  <c r="J98" i="5"/>
  <c r="I98" i="10"/>
  <c r="K98" i="10"/>
  <c r="I99" i="10"/>
  <c r="K99" i="10"/>
  <c r="I100" i="10"/>
  <c r="K100" i="10"/>
  <c r="I101" i="10"/>
  <c r="K101" i="10"/>
  <c r="I102" i="10"/>
  <c r="K102" i="10"/>
  <c r="I105" i="10"/>
  <c r="K105" i="10"/>
  <c r="I106" i="10"/>
  <c r="K106" i="10"/>
  <c r="I107" i="10"/>
  <c r="J107" i="10" s="1"/>
  <c r="K107" i="10"/>
  <c r="I108" i="10"/>
  <c r="K108" i="10"/>
  <c r="I109" i="10"/>
  <c r="J109" i="10" s="1"/>
  <c r="K109" i="10"/>
  <c r="I112" i="10"/>
  <c r="K112" i="10"/>
  <c r="I113" i="10"/>
  <c r="K113" i="10"/>
  <c r="I114" i="10"/>
  <c r="K114" i="10"/>
  <c r="I115" i="10"/>
  <c r="K115" i="10"/>
  <c r="I119" i="10"/>
  <c r="K119" i="10"/>
  <c r="I120" i="10"/>
  <c r="K120" i="10"/>
  <c r="I121" i="10"/>
  <c r="K121" i="10"/>
  <c r="I122" i="10"/>
  <c r="K122" i="10"/>
  <c r="I123" i="10"/>
  <c r="K123" i="10"/>
  <c r="I126" i="10"/>
  <c r="K126" i="10"/>
  <c r="I127" i="10"/>
  <c r="K127" i="10"/>
  <c r="D127" i="7"/>
  <c r="L127" i="7"/>
  <c r="D99" i="7"/>
  <c r="L99" i="7"/>
  <c r="D100" i="7"/>
  <c r="L100" i="7"/>
  <c r="D101" i="7"/>
  <c r="L101" i="7"/>
  <c r="D102" i="7"/>
  <c r="L102" i="7"/>
  <c r="D105" i="7"/>
  <c r="L105" i="7"/>
  <c r="D106" i="7"/>
  <c r="L106" i="7"/>
  <c r="D107" i="7"/>
  <c r="L107" i="7"/>
  <c r="D108" i="7"/>
  <c r="L108" i="7"/>
  <c r="D109" i="7"/>
  <c r="L109" i="7"/>
  <c r="D112" i="7"/>
  <c r="L112" i="7"/>
  <c r="D113" i="7"/>
  <c r="L113" i="7"/>
  <c r="D114" i="7"/>
  <c r="L114" i="7"/>
  <c r="D115" i="7"/>
  <c r="L115" i="7"/>
  <c r="D119" i="7"/>
  <c r="L119" i="7"/>
  <c r="D120" i="7"/>
  <c r="L120" i="7"/>
  <c r="D121" i="7"/>
  <c r="L121" i="7"/>
  <c r="D122" i="7"/>
  <c r="L122" i="7"/>
  <c r="D123" i="7"/>
  <c r="L123" i="7"/>
  <c r="D126" i="7"/>
  <c r="L126" i="7"/>
  <c r="K98" i="3"/>
  <c r="D98" i="3"/>
  <c r="K99" i="3"/>
  <c r="D99" i="3"/>
  <c r="K100" i="3"/>
  <c r="D100" i="3"/>
  <c r="K101" i="3"/>
  <c r="D101" i="3"/>
  <c r="K102" i="3"/>
  <c r="D102" i="3"/>
  <c r="K105" i="3"/>
  <c r="D105" i="3"/>
  <c r="K106" i="3"/>
  <c r="D106" i="3"/>
  <c r="K107" i="3"/>
  <c r="D107" i="3"/>
  <c r="K108" i="3"/>
  <c r="D108" i="3"/>
  <c r="K109" i="3"/>
  <c r="D109" i="3"/>
  <c r="K112" i="3"/>
  <c r="D112" i="3"/>
  <c r="K113" i="3"/>
  <c r="D113" i="3"/>
  <c r="K114" i="3"/>
  <c r="D114" i="3"/>
  <c r="K119" i="3"/>
  <c r="D119" i="3"/>
  <c r="K120" i="3"/>
  <c r="D120" i="3"/>
  <c r="K121" i="3"/>
  <c r="D121" i="3"/>
  <c r="K122" i="3"/>
  <c r="D122" i="3"/>
  <c r="K123" i="3"/>
  <c r="D123" i="3"/>
  <c r="K126" i="3"/>
  <c r="K127" i="3"/>
  <c r="D127" i="3"/>
  <c r="D127" i="1"/>
  <c r="D126" i="1"/>
  <c r="D123" i="1"/>
  <c r="D122" i="1"/>
  <c r="D121" i="1"/>
  <c r="D120" i="1"/>
  <c r="D114" i="1"/>
  <c r="D113" i="1"/>
  <c r="D112" i="1"/>
  <c r="D109" i="1"/>
  <c r="D108" i="1"/>
  <c r="D107" i="1"/>
  <c r="D106" i="1"/>
  <c r="D105" i="1"/>
  <c r="D102" i="1"/>
  <c r="D101" i="1"/>
  <c r="D100" i="1"/>
  <c r="D99" i="1"/>
  <c r="D98" i="1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7" i="34"/>
  <c r="E118" i="34"/>
  <c r="E120" i="34"/>
  <c r="E121" i="34"/>
  <c r="E122" i="34"/>
  <c r="E123" i="34"/>
  <c r="E124" i="34"/>
  <c r="E125" i="34"/>
  <c r="E126" i="34"/>
  <c r="E127" i="34"/>
  <c r="E95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7" i="34"/>
  <c r="H118" i="34"/>
  <c r="H120" i="34"/>
  <c r="H121" i="34"/>
  <c r="H122" i="34"/>
  <c r="H123" i="34"/>
  <c r="H124" i="34"/>
  <c r="H125" i="34"/>
  <c r="H126" i="34"/>
  <c r="H127" i="34"/>
  <c r="L127" i="34"/>
  <c r="L98" i="34"/>
  <c r="L99" i="34"/>
  <c r="L100" i="34"/>
  <c r="L101" i="34"/>
  <c r="L102" i="34"/>
  <c r="L103" i="34"/>
  <c r="L104" i="34"/>
  <c r="L105" i="34"/>
  <c r="L106" i="34"/>
  <c r="L107" i="34"/>
  <c r="L108" i="34"/>
  <c r="L109" i="34"/>
  <c r="L110" i="34"/>
  <c r="L111" i="34"/>
  <c r="L112" i="34"/>
  <c r="L113" i="34"/>
  <c r="L114" i="34"/>
  <c r="L115" i="34"/>
  <c r="L117" i="34"/>
  <c r="L118" i="34"/>
  <c r="L120" i="34"/>
  <c r="L121" i="34"/>
  <c r="L122" i="34"/>
  <c r="L123" i="34"/>
  <c r="L124" i="34"/>
  <c r="L125" i="34"/>
  <c r="L126" i="34"/>
  <c r="D98" i="7"/>
  <c r="L98" i="7"/>
  <c r="Q143" i="30" l="1"/>
  <c r="R143" i="30" s="1"/>
  <c r="Q150" i="30"/>
  <c r="R150" i="30" s="1"/>
  <c r="Q149" i="30"/>
  <c r="R149" i="30" s="1"/>
  <c r="Q157" i="30"/>
  <c r="R157" i="30" s="1"/>
  <c r="Q152" i="30"/>
  <c r="R152" i="30" s="1"/>
  <c r="Q151" i="30"/>
  <c r="R151" i="30" s="1"/>
  <c r="D156" i="11"/>
  <c r="O98" i="11"/>
  <c r="P98" i="11" s="1"/>
  <c r="L142" i="11"/>
  <c r="L128" i="11"/>
  <c r="L129" i="11"/>
  <c r="L133" i="11"/>
  <c r="L134" i="11"/>
  <c r="L135" i="11"/>
  <c r="L136" i="11"/>
  <c r="L137" i="11"/>
  <c r="L140" i="11"/>
  <c r="L141" i="11"/>
  <c r="L143" i="11"/>
  <c r="L144" i="11"/>
  <c r="L147" i="11"/>
  <c r="L148" i="11"/>
  <c r="L149" i="11"/>
  <c r="L150" i="11"/>
  <c r="L151" i="11"/>
  <c r="L155" i="11"/>
  <c r="L156" i="11"/>
  <c r="L157" i="11"/>
  <c r="L158" i="11"/>
  <c r="P102" i="10"/>
  <c r="Q102" i="10" s="1"/>
  <c r="R102" i="10" s="1"/>
  <c r="J99" i="10"/>
  <c r="D99" i="10" s="1"/>
  <c r="J98" i="10"/>
  <c r="D98" i="10" s="1"/>
  <c r="J108" i="10"/>
  <c r="P98" i="10"/>
  <c r="Q98" i="10" s="1"/>
  <c r="R98" i="10" s="1"/>
  <c r="P95" i="10"/>
  <c r="P94" i="10"/>
  <c r="P93" i="10"/>
  <c r="P92" i="10"/>
  <c r="P100" i="10"/>
  <c r="Q100" i="10" s="1"/>
  <c r="R100" i="10" s="1"/>
  <c r="P99" i="10"/>
  <c r="Q99" i="10" s="1"/>
  <c r="R99" i="10" s="1"/>
  <c r="P101" i="10"/>
  <c r="Q101" i="10" s="1"/>
  <c r="R101" i="10" s="1"/>
  <c r="F98" i="7"/>
  <c r="L127" i="3"/>
  <c r="L126" i="3"/>
  <c r="L123" i="3"/>
  <c r="L122" i="3"/>
  <c r="L121" i="3"/>
  <c r="L120" i="3"/>
  <c r="L119" i="3"/>
  <c r="L114" i="3"/>
  <c r="L113" i="3"/>
  <c r="L112" i="3"/>
  <c r="L109" i="3"/>
  <c r="L108" i="3"/>
  <c r="L107" i="3"/>
  <c r="L106" i="3"/>
  <c r="L105" i="3"/>
  <c r="L102" i="3"/>
  <c r="L101" i="3"/>
  <c r="L98" i="3"/>
  <c r="L100" i="3"/>
  <c r="L99" i="3"/>
  <c r="K127" i="11"/>
  <c r="K126" i="11"/>
  <c r="K122" i="11"/>
  <c r="K121" i="11"/>
  <c r="K123" i="11"/>
  <c r="K120" i="11"/>
  <c r="K119" i="11"/>
  <c r="K115" i="11"/>
  <c r="K112" i="11"/>
  <c r="K114" i="11"/>
  <c r="K113" i="11"/>
  <c r="K105" i="11"/>
  <c r="K109" i="11"/>
  <c r="K108" i="11"/>
  <c r="K107" i="11"/>
  <c r="K106" i="11"/>
  <c r="K102" i="11"/>
  <c r="K101" i="11"/>
  <c r="K98" i="11"/>
  <c r="K100" i="11"/>
  <c r="K99" i="11"/>
  <c r="K127" i="12"/>
  <c r="L127" i="12"/>
  <c r="L126" i="12"/>
  <c r="K126" i="12"/>
  <c r="K123" i="12"/>
  <c r="K122" i="12"/>
  <c r="L120" i="12"/>
  <c r="L123" i="12"/>
  <c r="L119" i="12"/>
  <c r="L122" i="12"/>
  <c r="L121" i="12"/>
  <c r="K121" i="12"/>
  <c r="K120" i="12"/>
  <c r="K119" i="12"/>
  <c r="L115" i="12"/>
  <c r="K115" i="12"/>
  <c r="L114" i="12"/>
  <c r="K114" i="12"/>
  <c r="K113" i="12"/>
  <c r="K112" i="12"/>
  <c r="L113" i="12"/>
  <c r="L112" i="12"/>
  <c r="L109" i="12"/>
  <c r="K109" i="12"/>
  <c r="L108" i="12"/>
  <c r="K108" i="12"/>
  <c r="L107" i="12"/>
  <c r="K107" i="12"/>
  <c r="L106" i="12"/>
  <c r="K106" i="12"/>
  <c r="L105" i="12"/>
  <c r="K105" i="12"/>
  <c r="L101" i="12"/>
  <c r="K100" i="12"/>
  <c r="L99" i="12"/>
  <c r="K102" i="12"/>
  <c r="K99" i="12"/>
  <c r="L98" i="12"/>
  <c r="L102" i="12"/>
  <c r="K101" i="12"/>
  <c r="L100" i="12"/>
  <c r="K98" i="12"/>
  <c r="K127" i="5"/>
  <c r="D127" i="5" s="1"/>
  <c r="O126" i="5"/>
  <c r="N126" i="5"/>
  <c r="K126" i="5"/>
  <c r="D126" i="5" s="1"/>
  <c r="O127" i="5"/>
  <c r="N127" i="5"/>
  <c r="O123" i="5"/>
  <c r="N123" i="5"/>
  <c r="K123" i="5"/>
  <c r="D123" i="5" s="1"/>
  <c r="O122" i="5"/>
  <c r="N122" i="5"/>
  <c r="K122" i="5"/>
  <c r="D122" i="5" s="1"/>
  <c r="O121" i="5"/>
  <c r="N121" i="5"/>
  <c r="K121" i="5"/>
  <c r="D121" i="5" s="1"/>
  <c r="O120" i="5"/>
  <c r="N120" i="5"/>
  <c r="K120" i="5"/>
  <c r="D120" i="5" s="1"/>
  <c r="O119" i="5"/>
  <c r="N119" i="5"/>
  <c r="K119" i="5"/>
  <c r="D119" i="5" s="1"/>
  <c r="O115" i="5"/>
  <c r="N115" i="5"/>
  <c r="K115" i="5"/>
  <c r="D115" i="5" s="1"/>
  <c r="O114" i="5"/>
  <c r="N114" i="5"/>
  <c r="K114" i="5"/>
  <c r="D114" i="5" s="1"/>
  <c r="O113" i="5"/>
  <c r="N113" i="5"/>
  <c r="K113" i="5"/>
  <c r="D113" i="5" s="1"/>
  <c r="O112" i="5"/>
  <c r="N112" i="5"/>
  <c r="K112" i="5"/>
  <c r="D112" i="5" s="1"/>
  <c r="O108" i="5"/>
  <c r="O106" i="5"/>
  <c r="N105" i="5"/>
  <c r="K105" i="5"/>
  <c r="D105" i="5" s="1"/>
  <c r="N109" i="5"/>
  <c r="K106" i="5"/>
  <c r="D106" i="5" s="1"/>
  <c r="O105" i="5"/>
  <c r="O109" i="5"/>
  <c r="K109" i="5"/>
  <c r="D109" i="5" s="1"/>
  <c r="N108" i="5"/>
  <c r="K108" i="5"/>
  <c r="D108" i="5" s="1"/>
  <c r="O107" i="5"/>
  <c r="N107" i="5"/>
  <c r="K107" i="5"/>
  <c r="D107" i="5" s="1"/>
  <c r="N106" i="5"/>
  <c r="O101" i="5"/>
  <c r="N100" i="5"/>
  <c r="K100" i="5"/>
  <c r="D100" i="5" s="1"/>
  <c r="O99" i="5"/>
  <c r="N99" i="5"/>
  <c r="O98" i="5"/>
  <c r="O102" i="5"/>
  <c r="N102" i="5"/>
  <c r="K102" i="5"/>
  <c r="D102" i="5" s="1"/>
  <c r="N101" i="5"/>
  <c r="K101" i="5"/>
  <c r="D101" i="5" s="1"/>
  <c r="O100" i="5"/>
  <c r="K99" i="5"/>
  <c r="D99" i="5" s="1"/>
  <c r="N98" i="5"/>
  <c r="K98" i="5"/>
  <c r="D98" i="5" s="1"/>
  <c r="D109" i="10"/>
  <c r="J112" i="10"/>
  <c r="D112" i="10" s="1"/>
  <c r="J113" i="10"/>
  <c r="D113" i="10" s="1"/>
  <c r="J114" i="10"/>
  <c r="D114" i="10" s="1"/>
  <c r="J119" i="10"/>
  <c r="D119" i="10" s="1"/>
  <c r="J105" i="10"/>
  <c r="D105" i="10" s="1"/>
  <c r="J106" i="10"/>
  <c r="D106" i="10" s="1"/>
  <c r="D107" i="10"/>
  <c r="J115" i="10"/>
  <c r="D115" i="10" s="1"/>
  <c r="J120" i="10"/>
  <c r="D120" i="10" s="1"/>
  <c r="J122" i="10"/>
  <c r="D122" i="10" s="1"/>
  <c r="J127" i="10"/>
  <c r="D127" i="10" s="1"/>
  <c r="J100" i="10"/>
  <c r="D100" i="10" s="1"/>
  <c r="J101" i="10"/>
  <c r="D101" i="10" s="1"/>
  <c r="J102" i="10"/>
  <c r="D102" i="10" s="1"/>
  <c r="J121" i="10"/>
  <c r="D121" i="10" s="1"/>
  <c r="J123" i="10"/>
  <c r="D123" i="10" s="1"/>
  <c r="J126" i="10"/>
  <c r="D126" i="10" s="1"/>
  <c r="F108" i="7"/>
  <c r="F127" i="7"/>
  <c r="F99" i="7"/>
  <c r="F100" i="7"/>
  <c r="F101" i="7"/>
  <c r="F106" i="7"/>
  <c r="F112" i="7"/>
  <c r="F113" i="7"/>
  <c r="F119" i="7"/>
  <c r="F123" i="7"/>
  <c r="F114" i="7"/>
  <c r="F115" i="7"/>
  <c r="F122" i="7"/>
  <c r="F102" i="7"/>
  <c r="F105" i="7"/>
  <c r="F107" i="7"/>
  <c r="F109" i="7"/>
  <c r="F120" i="7"/>
  <c r="F121" i="7"/>
  <c r="F126" i="7"/>
  <c r="I63" i="10"/>
  <c r="J63" i="10" s="1"/>
  <c r="L95" i="34"/>
  <c r="L94" i="34"/>
  <c r="L93" i="34"/>
  <c r="L92" i="34"/>
  <c r="L88" i="34"/>
  <c r="H95" i="34"/>
  <c r="H94" i="34"/>
  <c r="H93" i="34"/>
  <c r="H92" i="34"/>
  <c r="H88" i="34"/>
  <c r="H87" i="34"/>
  <c r="H86" i="34"/>
  <c r="E87" i="34"/>
  <c r="E88" i="34"/>
  <c r="E92" i="34"/>
  <c r="E93" i="34"/>
  <c r="E94" i="34"/>
  <c r="E86" i="34"/>
  <c r="L112" i="11" l="1"/>
  <c r="D108" i="10"/>
  <c r="L127" i="11"/>
  <c r="L126" i="11"/>
  <c r="L122" i="11"/>
  <c r="L121" i="11"/>
  <c r="L123" i="11"/>
  <c r="L120" i="11"/>
  <c r="L119" i="11"/>
  <c r="L115" i="11"/>
  <c r="L114" i="11"/>
  <c r="L113" i="11"/>
  <c r="L105" i="11"/>
  <c r="L109" i="11"/>
  <c r="L108" i="11"/>
  <c r="L107" i="11"/>
  <c r="L106" i="11"/>
  <c r="L102" i="11"/>
  <c r="L101" i="11"/>
  <c r="L98" i="11"/>
  <c r="L100" i="11"/>
  <c r="L99" i="11"/>
  <c r="E95" i="30"/>
  <c r="E100" i="30"/>
  <c r="E101" i="30"/>
  <c r="E102" i="30"/>
  <c r="E103" i="30"/>
  <c r="E106" i="30"/>
  <c r="E107" i="30"/>
  <c r="E108" i="30"/>
  <c r="E54" i="30" l="1"/>
  <c r="D92" i="1" l="1"/>
  <c r="L89" i="30" l="1"/>
  <c r="D6" i="2" l="1"/>
  <c r="D7" i="2"/>
  <c r="D8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14" i="2"/>
  <c r="P33" i="30"/>
  <c r="P24" i="30"/>
  <c r="P25" i="30"/>
  <c r="Q25" i="30" s="1"/>
  <c r="P26" i="30"/>
  <c r="P30" i="30"/>
  <c r="P31" i="30"/>
  <c r="P32" i="30"/>
  <c r="P36" i="30"/>
  <c r="P37" i="30"/>
  <c r="P38" i="30"/>
  <c r="P39" i="30"/>
  <c r="P43" i="30"/>
  <c r="P44" i="30"/>
  <c r="P45" i="30"/>
  <c r="P46" i="30"/>
  <c r="P47" i="30"/>
  <c r="P50" i="30"/>
  <c r="P51" i="30"/>
  <c r="P52" i="30"/>
  <c r="P53" i="30"/>
  <c r="P54" i="30"/>
  <c r="P57" i="30"/>
  <c r="P58" i="30"/>
  <c r="Q58" i="30" s="1"/>
  <c r="P59" i="30"/>
  <c r="P60" i="30"/>
  <c r="P61" i="30"/>
  <c r="P64" i="30"/>
  <c r="Q64" i="30" s="1"/>
  <c r="P65" i="30"/>
  <c r="P66" i="30"/>
  <c r="P67" i="30"/>
  <c r="P68" i="30"/>
  <c r="R68" i="30" s="1"/>
  <c r="P71" i="30"/>
  <c r="P72" i="30"/>
  <c r="P73" i="30"/>
  <c r="P74" i="30"/>
  <c r="P75" i="30"/>
  <c r="P78" i="30"/>
  <c r="P79" i="30"/>
  <c r="P80" i="30"/>
  <c r="P81" i="30"/>
  <c r="P82" i="30"/>
  <c r="P85" i="30"/>
  <c r="P86" i="30"/>
  <c r="P87" i="30"/>
  <c r="Q87" i="30" s="1"/>
  <c r="P88" i="30"/>
  <c r="P89" i="30"/>
  <c r="P93" i="30"/>
  <c r="P94" i="30"/>
  <c r="P95" i="30"/>
  <c r="P96" i="30"/>
  <c r="Q99" i="30" s="1"/>
  <c r="P100" i="30"/>
  <c r="Q100" i="30" s="1"/>
  <c r="P101" i="30"/>
  <c r="P102" i="30"/>
  <c r="P103" i="30"/>
  <c r="P106" i="30"/>
  <c r="P107" i="30"/>
  <c r="P108" i="30"/>
  <c r="P109" i="30"/>
  <c r="P110" i="30"/>
  <c r="P113" i="30"/>
  <c r="P114" i="30"/>
  <c r="P115" i="30"/>
  <c r="P116" i="30"/>
  <c r="P120" i="30"/>
  <c r="P121" i="30"/>
  <c r="P122" i="30"/>
  <c r="P123" i="30"/>
  <c r="P124" i="30"/>
  <c r="P127" i="30"/>
  <c r="P128" i="30"/>
  <c r="P129" i="30"/>
  <c r="P130" i="30"/>
  <c r="P134" i="30"/>
  <c r="P135" i="30"/>
  <c r="P136" i="30"/>
  <c r="P137" i="30"/>
  <c r="P138" i="30"/>
  <c r="P141" i="30"/>
  <c r="P144" i="30"/>
  <c r="P145" i="30"/>
  <c r="P155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P188" i="30"/>
  <c r="P189" i="30"/>
  <c r="P190" i="30"/>
  <c r="P191" i="30"/>
  <c r="P192" i="30"/>
  <c r="P193" i="30"/>
  <c r="P194" i="30"/>
  <c r="P195" i="30"/>
  <c r="P196" i="30"/>
  <c r="P197" i="30"/>
  <c r="P198" i="30"/>
  <c r="P199" i="30"/>
  <c r="P200" i="30"/>
  <c r="P201" i="30"/>
  <c r="P202" i="30"/>
  <c r="P203" i="30"/>
  <c r="P204" i="30"/>
  <c r="P205" i="30"/>
  <c r="P206" i="30"/>
  <c r="P207" i="30"/>
  <c r="P208" i="30"/>
  <c r="P209" i="30"/>
  <c r="P210" i="30"/>
  <c r="P211" i="30"/>
  <c r="P212" i="30"/>
  <c r="P213" i="30"/>
  <c r="P214" i="30"/>
  <c r="P215" i="30"/>
  <c r="P216" i="30"/>
  <c r="P217" i="30"/>
  <c r="P218" i="30"/>
  <c r="P219" i="30"/>
  <c r="P220" i="30"/>
  <c r="P221" i="30"/>
  <c r="P222" i="30"/>
  <c r="P223" i="30"/>
  <c r="P224" i="30"/>
  <c r="P225" i="30"/>
  <c r="P226" i="30"/>
  <c r="P227" i="30"/>
  <c r="P228" i="30"/>
  <c r="P229" i="30"/>
  <c r="P230" i="30"/>
  <c r="P231" i="30"/>
  <c r="P232" i="30"/>
  <c r="P233" i="30"/>
  <c r="P234" i="30"/>
  <c r="P235" i="30"/>
  <c r="P236" i="30"/>
  <c r="P237" i="30"/>
  <c r="P238" i="30"/>
  <c r="P239" i="30"/>
  <c r="P240" i="30"/>
  <c r="P241" i="30"/>
  <c r="P242" i="30"/>
  <c r="P243" i="30"/>
  <c r="P244" i="30"/>
  <c r="P245" i="30"/>
  <c r="P246" i="30"/>
  <c r="P247" i="30"/>
  <c r="P248" i="30"/>
  <c r="P249" i="30"/>
  <c r="P250" i="30"/>
  <c r="P251" i="30"/>
  <c r="P252" i="30"/>
  <c r="P253" i="30"/>
  <c r="P254" i="30"/>
  <c r="P255" i="30"/>
  <c r="P256" i="30"/>
  <c r="P257" i="30"/>
  <c r="P258" i="30"/>
  <c r="P259" i="30"/>
  <c r="P260" i="30"/>
  <c r="P261" i="30"/>
  <c r="P262" i="30"/>
  <c r="P263" i="30"/>
  <c r="P264" i="30"/>
  <c r="P265" i="30"/>
  <c r="P266" i="30"/>
  <c r="P267" i="30"/>
  <c r="P268" i="30"/>
  <c r="P269" i="30"/>
  <c r="P270" i="30"/>
  <c r="P271" i="30"/>
  <c r="P272" i="30"/>
  <c r="P273" i="30"/>
  <c r="P274" i="30"/>
  <c r="P275" i="30"/>
  <c r="P276" i="30"/>
  <c r="P277" i="30"/>
  <c r="P278" i="30"/>
  <c r="P279" i="30"/>
  <c r="P280" i="30"/>
  <c r="P281" i="30"/>
  <c r="P282" i="30"/>
  <c r="P283" i="30"/>
  <c r="P284" i="30"/>
  <c r="P285" i="30"/>
  <c r="P286" i="30"/>
  <c r="P287" i="30"/>
  <c r="P288" i="30"/>
  <c r="P289" i="30"/>
  <c r="P290" i="30"/>
  <c r="P291" i="30"/>
  <c r="P292" i="30"/>
  <c r="P293" i="30"/>
  <c r="P294" i="30"/>
  <c r="P295" i="30"/>
  <c r="P296" i="30"/>
  <c r="P297" i="30"/>
  <c r="P298" i="30"/>
  <c r="P299" i="30"/>
  <c r="P300" i="30"/>
  <c r="P301" i="30"/>
  <c r="P302" i="30"/>
  <c r="P303" i="30"/>
  <c r="P304" i="30"/>
  <c r="P305" i="30"/>
  <c r="P306" i="30"/>
  <c r="P307" i="30"/>
  <c r="P308" i="30"/>
  <c r="P309" i="30"/>
  <c r="P310" i="30"/>
  <c r="P311" i="30"/>
  <c r="P312" i="30"/>
  <c r="P313" i="30"/>
  <c r="P314" i="30"/>
  <c r="P315" i="30"/>
  <c r="P316" i="30"/>
  <c r="P317" i="30"/>
  <c r="P318" i="30"/>
  <c r="P319" i="30"/>
  <c r="P320" i="30"/>
  <c r="P321" i="30"/>
  <c r="P322" i="30"/>
  <c r="P323" i="30"/>
  <c r="P324" i="30"/>
  <c r="P325" i="30"/>
  <c r="P326" i="30"/>
  <c r="P327" i="30"/>
  <c r="P328" i="30"/>
  <c r="P329" i="30"/>
  <c r="P330" i="30"/>
  <c r="P331" i="30"/>
  <c r="P332" i="30"/>
  <c r="P333" i="30"/>
  <c r="P334" i="30"/>
  <c r="P335" i="30"/>
  <c r="P336" i="30"/>
  <c r="P337" i="30"/>
  <c r="P338" i="30"/>
  <c r="P339" i="30"/>
  <c r="P340" i="30"/>
  <c r="P341" i="30"/>
  <c r="P342" i="30"/>
  <c r="P343" i="30"/>
  <c r="P344" i="30"/>
  <c r="P345" i="30"/>
  <c r="P346" i="30"/>
  <c r="P347" i="30"/>
  <c r="P348" i="30"/>
  <c r="P349" i="30"/>
  <c r="P350" i="30"/>
  <c r="P351" i="30"/>
  <c r="P352" i="30"/>
  <c r="P353" i="30"/>
  <c r="P354" i="30"/>
  <c r="P355" i="30"/>
  <c r="P356" i="30"/>
  <c r="P357" i="30"/>
  <c r="P358" i="30"/>
  <c r="P359" i="30"/>
  <c r="P360" i="30"/>
  <c r="P361" i="30"/>
  <c r="P362" i="30"/>
  <c r="P363" i="30"/>
  <c r="P364" i="30"/>
  <c r="P365" i="30"/>
  <c r="P366" i="30"/>
  <c r="P367" i="30"/>
  <c r="P368" i="30"/>
  <c r="P369" i="30"/>
  <c r="P370" i="30"/>
  <c r="P23" i="30"/>
  <c r="B6" i="34"/>
  <c r="A6" i="34"/>
  <c r="I86" i="1"/>
  <c r="Q114" i="30" l="1"/>
  <c r="Q78" i="30"/>
  <c r="R52" i="30"/>
  <c r="R37" i="30"/>
  <c r="R38" i="30"/>
  <c r="Q47" i="30"/>
  <c r="Q53" i="30"/>
  <c r="R50" i="30"/>
  <c r="R86" i="30"/>
  <c r="Q66" i="30"/>
  <c r="Q43" i="30"/>
  <c r="R30" i="30"/>
  <c r="R89" i="30"/>
  <c r="R51" i="30"/>
  <c r="R85" i="30"/>
  <c r="R45" i="30"/>
  <c r="Q80" i="30"/>
  <c r="R79" i="30"/>
  <c r="Q54" i="30"/>
  <c r="R39" i="30"/>
  <c r="R134" i="30"/>
  <c r="R135" i="30"/>
  <c r="R75" i="30"/>
  <c r="R138" i="30"/>
  <c r="R141" i="30"/>
  <c r="Q141" i="30"/>
  <c r="Q145" i="30"/>
  <c r="R145" i="30" s="1"/>
  <c r="Q144" i="30"/>
  <c r="R144" i="30" s="1"/>
  <c r="Q148" i="30"/>
  <c r="R148" i="30"/>
  <c r="Q156" i="30"/>
  <c r="R156" i="30" s="1"/>
  <c r="Q155" i="30"/>
  <c r="R155" i="30"/>
  <c r="Q44" i="30"/>
  <c r="R72" i="30"/>
  <c r="R67" i="30"/>
  <c r="R73" i="30"/>
  <c r="Q82" i="30"/>
  <c r="R59" i="30"/>
  <c r="Q142" i="30"/>
  <c r="R142" i="30" s="1"/>
  <c r="Q136" i="30"/>
  <c r="R137" i="30"/>
  <c r="R136" i="30"/>
  <c r="R60" i="30"/>
  <c r="R110" i="30"/>
  <c r="R124" i="30"/>
  <c r="R127" i="30"/>
  <c r="Q127" i="30"/>
  <c r="Q129" i="30"/>
  <c r="R130" i="30"/>
  <c r="Q134" i="30"/>
  <c r="R26" i="30"/>
  <c r="R31" i="30"/>
  <c r="R114" i="30"/>
  <c r="R121" i="30"/>
  <c r="R122" i="30"/>
  <c r="R128" i="30"/>
  <c r="Q128" i="30"/>
  <c r="R129" i="30"/>
  <c r="Q130" i="30"/>
  <c r="Q137" i="30"/>
  <c r="Q138" i="30"/>
  <c r="R120" i="30"/>
  <c r="Q120" i="30"/>
  <c r="Q122" i="30"/>
  <c r="R123" i="30"/>
  <c r="Q124" i="30"/>
  <c r="Q123" i="30"/>
  <c r="R81" i="30"/>
  <c r="R103" i="30"/>
  <c r="R113" i="30"/>
  <c r="Q113" i="30"/>
  <c r="Q121" i="30"/>
  <c r="Q116" i="30"/>
  <c r="R116" i="30"/>
  <c r="R115" i="30"/>
  <c r="Q115" i="30"/>
  <c r="R95" i="30"/>
  <c r="Q106" i="30"/>
  <c r="R106" i="30"/>
  <c r="Q107" i="30"/>
  <c r="R107" i="30"/>
  <c r="R108" i="30"/>
  <c r="Q108" i="30"/>
  <c r="R109" i="30"/>
  <c r="Q109" i="30"/>
  <c r="Q110" i="30"/>
  <c r="R36" i="30"/>
  <c r="R66" i="30"/>
  <c r="R25" i="30"/>
  <c r="R58" i="30"/>
  <c r="R102" i="30"/>
  <c r="R99" i="30"/>
  <c r="R101" i="30"/>
  <c r="Q135" i="30"/>
  <c r="Q102" i="30"/>
  <c r="Q103" i="30"/>
  <c r="R100" i="30"/>
  <c r="R96" i="30"/>
  <c r="Q96" i="30"/>
  <c r="Q101" i="30"/>
  <c r="Q41" i="30"/>
  <c r="R32" i="30"/>
  <c r="Q33" i="30"/>
  <c r="R47" i="30"/>
  <c r="R71" i="30"/>
  <c r="R44" i="30"/>
  <c r="Q57" i="30"/>
  <c r="Q67" i="30"/>
  <c r="Q79" i="30"/>
  <c r="Q89" i="30"/>
  <c r="Q39" i="30"/>
  <c r="Q30" i="30"/>
  <c r="R53" i="30"/>
  <c r="Q68" i="30"/>
  <c r="Q31" i="30"/>
  <c r="R43" i="30"/>
  <c r="R61" i="30"/>
  <c r="R54" i="30"/>
  <c r="Q59" i="30"/>
  <c r="Q71" i="30"/>
  <c r="Q81" i="30"/>
  <c r="Q45" i="30"/>
  <c r="Q32" i="30"/>
  <c r="Q60" i="30"/>
  <c r="Q72" i="30"/>
  <c r="Q46" i="30"/>
  <c r="Q95" i="30"/>
  <c r="R94" i="30"/>
  <c r="R78" i="30"/>
  <c r="Q52" i="30"/>
  <c r="Q61" i="30"/>
  <c r="Q73" i="30"/>
  <c r="Q85" i="30"/>
  <c r="Q24" i="30"/>
  <c r="R93" i="30"/>
  <c r="Q93" i="30"/>
  <c r="R82" i="30"/>
  <c r="R74" i="30"/>
  <c r="R87" i="30"/>
  <c r="Q51" i="30"/>
  <c r="Q74" i="30"/>
  <c r="Q86" i="30"/>
  <c r="Q36" i="30"/>
  <c r="R33" i="30"/>
  <c r="Q65" i="30"/>
  <c r="Q75" i="30"/>
  <c r="Q37" i="30"/>
  <c r="Q26" i="30"/>
  <c r="R88" i="30"/>
  <c r="R80" i="30"/>
  <c r="R64" i="30"/>
  <c r="Q50" i="30"/>
  <c r="Q88" i="30"/>
  <c r="Q38" i="30"/>
  <c r="Q94" i="30"/>
  <c r="R57" i="30"/>
  <c r="R24" i="30"/>
  <c r="R46" i="30"/>
  <c r="R65" i="30"/>
  <c r="G84" i="11"/>
  <c r="I85" i="1"/>
  <c r="L47" i="11"/>
  <c r="L48" i="11"/>
  <c r="L54" i="11"/>
  <c r="L55" i="11"/>
  <c r="L61" i="11"/>
  <c r="L62" i="11"/>
  <c r="L68" i="11"/>
  <c r="L69" i="11"/>
  <c r="L75" i="11"/>
  <c r="L76" i="11"/>
  <c r="M14" i="12" l="1"/>
  <c r="M15" i="12"/>
  <c r="M16" i="12"/>
  <c r="M17" i="12"/>
  <c r="M18" i="12"/>
  <c r="M21" i="12"/>
  <c r="M22" i="12"/>
  <c r="M23" i="12"/>
  <c r="M24" i="12"/>
  <c r="M25" i="12"/>
  <c r="M29" i="12"/>
  <c r="M30" i="12"/>
  <c r="M31" i="12"/>
  <c r="M32" i="12"/>
  <c r="M35" i="12"/>
  <c r="M36" i="12"/>
  <c r="M37" i="12"/>
  <c r="M38" i="12"/>
  <c r="M42" i="12"/>
  <c r="M43" i="12"/>
  <c r="M44" i="12"/>
  <c r="M45" i="12"/>
  <c r="M46" i="12"/>
  <c r="M49" i="12"/>
  <c r="M50" i="12"/>
  <c r="M51" i="12"/>
  <c r="M52" i="12"/>
  <c r="M53" i="12"/>
  <c r="M56" i="12"/>
  <c r="M57" i="12"/>
  <c r="M58" i="12"/>
  <c r="M59" i="12"/>
  <c r="M60" i="12"/>
  <c r="M63" i="12"/>
  <c r="M64" i="12"/>
  <c r="M65" i="12"/>
  <c r="M66" i="12"/>
  <c r="M67" i="12"/>
  <c r="M70" i="12"/>
  <c r="M71" i="12"/>
  <c r="M72" i="12"/>
  <c r="M84" i="12"/>
  <c r="M85" i="12"/>
  <c r="M86" i="12"/>
  <c r="M87" i="12"/>
  <c r="M88" i="12"/>
  <c r="M92" i="12"/>
  <c r="M93" i="12"/>
  <c r="M94" i="12"/>
  <c r="M95" i="12"/>
  <c r="K63" i="10"/>
  <c r="K64" i="10"/>
  <c r="K66" i="10"/>
  <c r="K67" i="10"/>
  <c r="K70" i="10"/>
  <c r="K78" i="10"/>
  <c r="K79" i="10"/>
  <c r="K80" i="10"/>
  <c r="K81" i="10"/>
  <c r="K84" i="10"/>
  <c r="K85" i="10"/>
  <c r="K86" i="10"/>
  <c r="K87" i="10"/>
  <c r="K88" i="10"/>
  <c r="K92" i="10"/>
  <c r="K93" i="10"/>
  <c r="K94" i="10"/>
  <c r="K95" i="10"/>
  <c r="K77" i="10"/>
  <c r="D77" i="1"/>
  <c r="G7" i="29"/>
  <c r="G73" i="12" l="1"/>
  <c r="G65" i="11"/>
  <c r="G72" i="11"/>
  <c r="I73" i="5"/>
  <c r="I74" i="5" s="1"/>
  <c r="G74" i="12" l="1"/>
  <c r="I74" i="12" s="1"/>
  <c r="K74" i="12" s="1"/>
  <c r="M73" i="12"/>
  <c r="D84" i="1"/>
  <c r="D70" i="1"/>
  <c r="D71" i="1"/>
  <c r="D72" i="1"/>
  <c r="D73" i="1"/>
  <c r="D74" i="1"/>
  <c r="D78" i="1"/>
  <c r="D79" i="1"/>
  <c r="D80" i="1"/>
  <c r="D81" i="1"/>
  <c r="D85" i="1"/>
  <c r="D86" i="1"/>
  <c r="D87" i="1"/>
  <c r="D88" i="1"/>
  <c r="D93" i="1"/>
  <c r="D94" i="1"/>
  <c r="D95" i="1"/>
  <c r="D70" i="12"/>
  <c r="I70" i="12"/>
  <c r="K70" i="12" s="1"/>
  <c r="J70" i="12"/>
  <c r="L70" i="12" s="1"/>
  <c r="D71" i="12"/>
  <c r="I71" i="12"/>
  <c r="K71" i="12" s="1"/>
  <c r="J71" i="12"/>
  <c r="L71" i="12" s="1"/>
  <c r="D72" i="12"/>
  <c r="I72" i="12"/>
  <c r="K72" i="12" s="1"/>
  <c r="J72" i="12"/>
  <c r="L72" i="12" s="1"/>
  <c r="D73" i="12"/>
  <c r="I73" i="12"/>
  <c r="K73" i="12" s="1"/>
  <c r="J73" i="12"/>
  <c r="L73" i="12" s="1"/>
  <c r="D74" i="12"/>
  <c r="D77" i="12"/>
  <c r="D78" i="12"/>
  <c r="D79" i="12"/>
  <c r="D80" i="12"/>
  <c r="D81" i="12"/>
  <c r="D84" i="12"/>
  <c r="I84" i="12"/>
  <c r="K84" i="12" s="1"/>
  <c r="J84" i="12"/>
  <c r="L84" i="12" s="1"/>
  <c r="D85" i="12"/>
  <c r="I85" i="12"/>
  <c r="K85" i="12" s="1"/>
  <c r="J85" i="12"/>
  <c r="L85" i="12" s="1"/>
  <c r="D86" i="12"/>
  <c r="I86" i="12"/>
  <c r="K86" i="12" s="1"/>
  <c r="J86" i="12"/>
  <c r="L86" i="12" s="1"/>
  <c r="D87" i="12"/>
  <c r="I87" i="12"/>
  <c r="K87" i="12" s="1"/>
  <c r="J87" i="12"/>
  <c r="L87" i="12" s="1"/>
  <c r="D88" i="12"/>
  <c r="I88" i="12"/>
  <c r="K88" i="12" s="1"/>
  <c r="J88" i="12"/>
  <c r="L88" i="12" s="1"/>
  <c r="D92" i="12"/>
  <c r="I92" i="12"/>
  <c r="K92" i="12" s="1"/>
  <c r="J92" i="12"/>
  <c r="L92" i="12" s="1"/>
  <c r="D93" i="12"/>
  <c r="I93" i="12"/>
  <c r="K93" i="12" s="1"/>
  <c r="J93" i="12"/>
  <c r="L93" i="12" s="1"/>
  <c r="D94" i="12"/>
  <c r="I94" i="12"/>
  <c r="K94" i="12" s="1"/>
  <c r="J94" i="12"/>
  <c r="L94" i="12" s="1"/>
  <c r="D95" i="12"/>
  <c r="I95" i="12"/>
  <c r="K95" i="12" s="1"/>
  <c r="J95" i="12"/>
  <c r="L95" i="12" s="1"/>
  <c r="E70" i="2"/>
  <c r="I70" i="2"/>
  <c r="E71" i="2"/>
  <c r="I71" i="2"/>
  <c r="E72" i="2"/>
  <c r="I72" i="2"/>
  <c r="E73" i="2"/>
  <c r="I73" i="2"/>
  <c r="E74" i="2"/>
  <c r="I74" i="2"/>
  <c r="E77" i="2"/>
  <c r="I77" i="2"/>
  <c r="E78" i="2"/>
  <c r="I78" i="2"/>
  <c r="E79" i="2"/>
  <c r="I79" i="2"/>
  <c r="E80" i="2"/>
  <c r="I80" i="2"/>
  <c r="E81" i="2"/>
  <c r="I81" i="2"/>
  <c r="E84" i="2"/>
  <c r="I84" i="2"/>
  <c r="E85" i="2"/>
  <c r="I85" i="2"/>
  <c r="E86" i="2"/>
  <c r="I86" i="2"/>
  <c r="E87" i="2"/>
  <c r="I87" i="2"/>
  <c r="E88" i="2"/>
  <c r="I88" i="2"/>
  <c r="E92" i="2"/>
  <c r="I92" i="2"/>
  <c r="E93" i="2"/>
  <c r="I93" i="2"/>
  <c r="E94" i="2"/>
  <c r="I94" i="2"/>
  <c r="E95" i="2"/>
  <c r="I95" i="2"/>
  <c r="D70" i="4"/>
  <c r="D71" i="4"/>
  <c r="D72" i="4"/>
  <c r="D73" i="4"/>
  <c r="D74" i="4"/>
  <c r="D77" i="4"/>
  <c r="D78" i="4"/>
  <c r="D79" i="4"/>
  <c r="D80" i="4"/>
  <c r="D81" i="4"/>
  <c r="D84" i="4"/>
  <c r="D85" i="4"/>
  <c r="D86" i="4"/>
  <c r="D87" i="4"/>
  <c r="D88" i="4"/>
  <c r="D92" i="4"/>
  <c r="D93" i="4"/>
  <c r="D94" i="4"/>
  <c r="D95" i="4"/>
  <c r="J70" i="11"/>
  <c r="K70" i="11" s="1"/>
  <c r="J71" i="11"/>
  <c r="K71" i="11" s="1"/>
  <c r="J72" i="11"/>
  <c r="K72" i="11" s="1"/>
  <c r="L72" i="11" s="1"/>
  <c r="J73" i="11"/>
  <c r="K73" i="11" s="1"/>
  <c r="J74" i="11"/>
  <c r="K74" i="11" s="1"/>
  <c r="J77" i="11"/>
  <c r="K77" i="11" s="1"/>
  <c r="J78" i="11"/>
  <c r="K78" i="11" s="1"/>
  <c r="J79" i="11"/>
  <c r="K79" i="11" s="1"/>
  <c r="J80" i="11"/>
  <c r="K80" i="11" s="1"/>
  <c r="J81" i="11"/>
  <c r="K81" i="11" s="1"/>
  <c r="J84" i="11"/>
  <c r="K84" i="11" s="1"/>
  <c r="J85" i="11"/>
  <c r="K85" i="11" s="1"/>
  <c r="J86" i="11"/>
  <c r="K86" i="11" s="1"/>
  <c r="J87" i="11"/>
  <c r="K87" i="11" s="1"/>
  <c r="J88" i="11"/>
  <c r="K88" i="11" s="1"/>
  <c r="J92" i="11"/>
  <c r="J93" i="11"/>
  <c r="K93" i="11" s="1"/>
  <c r="J94" i="11"/>
  <c r="K94" i="11" s="1"/>
  <c r="J95" i="11"/>
  <c r="K95" i="11" s="1"/>
  <c r="I70" i="10"/>
  <c r="J70" i="10" s="1"/>
  <c r="I71" i="10"/>
  <c r="J71" i="10" s="1"/>
  <c r="I72" i="10"/>
  <c r="J72" i="10" s="1"/>
  <c r="I73" i="10"/>
  <c r="J73" i="10" s="1"/>
  <c r="I74" i="10"/>
  <c r="J74" i="10" s="1"/>
  <c r="I77" i="10"/>
  <c r="J77" i="10" s="1"/>
  <c r="I78" i="10"/>
  <c r="J78" i="10" s="1"/>
  <c r="I79" i="10"/>
  <c r="J79" i="10" s="1"/>
  <c r="I80" i="10"/>
  <c r="J80" i="10" s="1"/>
  <c r="I81" i="10"/>
  <c r="J81" i="10" s="1"/>
  <c r="I84" i="10"/>
  <c r="J84" i="10" s="1"/>
  <c r="I85" i="10"/>
  <c r="J85" i="10" s="1"/>
  <c r="I86" i="10"/>
  <c r="J86" i="10" s="1"/>
  <c r="I87" i="10"/>
  <c r="J87" i="10" s="1"/>
  <c r="I88" i="10"/>
  <c r="J88" i="10" s="1"/>
  <c r="I92" i="10"/>
  <c r="Q92" i="10" s="1"/>
  <c r="R92" i="10" s="1"/>
  <c r="I93" i="10"/>
  <c r="I94" i="10"/>
  <c r="I95" i="10"/>
  <c r="D70" i="16"/>
  <c r="H70" i="16"/>
  <c r="D71" i="16"/>
  <c r="H71" i="16"/>
  <c r="D72" i="16"/>
  <c r="H72" i="16"/>
  <c r="D73" i="16"/>
  <c r="H73" i="16"/>
  <c r="D74" i="16"/>
  <c r="H74" i="16"/>
  <c r="D77" i="16"/>
  <c r="H77" i="16"/>
  <c r="D78" i="16"/>
  <c r="H78" i="16"/>
  <c r="D79" i="16"/>
  <c r="H79" i="16"/>
  <c r="D80" i="16"/>
  <c r="H80" i="16"/>
  <c r="D81" i="16"/>
  <c r="H81" i="16"/>
  <c r="D84" i="16"/>
  <c r="H84" i="16"/>
  <c r="D85" i="16"/>
  <c r="H85" i="16"/>
  <c r="D86" i="16"/>
  <c r="H86" i="16"/>
  <c r="D87" i="16"/>
  <c r="H87" i="16"/>
  <c r="D88" i="16"/>
  <c r="H88" i="16"/>
  <c r="D92" i="16"/>
  <c r="H92" i="16"/>
  <c r="D93" i="16"/>
  <c r="H93" i="16"/>
  <c r="D94" i="16"/>
  <c r="H94" i="16"/>
  <c r="D95" i="16"/>
  <c r="H95" i="16"/>
  <c r="J70" i="5"/>
  <c r="K70" i="5" s="1"/>
  <c r="D70" i="5" s="1"/>
  <c r="L70" i="5"/>
  <c r="N70" i="5" s="1"/>
  <c r="M70" i="5"/>
  <c r="O70" i="5" s="1"/>
  <c r="P70" i="5"/>
  <c r="J71" i="5"/>
  <c r="K71" i="5" s="1"/>
  <c r="D71" i="5" s="1"/>
  <c r="L71" i="5"/>
  <c r="N71" i="5" s="1"/>
  <c r="M71" i="5"/>
  <c r="O71" i="5" s="1"/>
  <c r="P71" i="5"/>
  <c r="J72" i="5"/>
  <c r="K72" i="5" s="1"/>
  <c r="D72" i="5" s="1"/>
  <c r="L72" i="5"/>
  <c r="N72" i="5" s="1"/>
  <c r="M72" i="5"/>
  <c r="O72" i="5" s="1"/>
  <c r="P72" i="5"/>
  <c r="J73" i="5"/>
  <c r="K73" i="5" s="1"/>
  <c r="D73" i="5" s="1"/>
  <c r="L73" i="5"/>
  <c r="N73" i="5" s="1"/>
  <c r="M73" i="5"/>
  <c r="O73" i="5" s="1"/>
  <c r="P73" i="5"/>
  <c r="J74" i="5"/>
  <c r="K74" i="5" s="1"/>
  <c r="D74" i="5" s="1"/>
  <c r="L74" i="5"/>
  <c r="N74" i="5" s="1"/>
  <c r="M74" i="5"/>
  <c r="O74" i="5" s="1"/>
  <c r="P74" i="5"/>
  <c r="J77" i="5"/>
  <c r="K77" i="5" s="1"/>
  <c r="D77" i="5" s="1"/>
  <c r="L77" i="5"/>
  <c r="N77" i="5" s="1"/>
  <c r="M77" i="5"/>
  <c r="O77" i="5" s="1"/>
  <c r="P77" i="5"/>
  <c r="J78" i="5"/>
  <c r="K78" i="5" s="1"/>
  <c r="D78" i="5" s="1"/>
  <c r="L78" i="5"/>
  <c r="N78" i="5" s="1"/>
  <c r="M78" i="5"/>
  <c r="O78" i="5" s="1"/>
  <c r="P78" i="5"/>
  <c r="J79" i="5"/>
  <c r="K79" i="5" s="1"/>
  <c r="D79" i="5" s="1"/>
  <c r="L79" i="5"/>
  <c r="N79" i="5" s="1"/>
  <c r="M79" i="5"/>
  <c r="O79" i="5" s="1"/>
  <c r="P79" i="5"/>
  <c r="J80" i="5"/>
  <c r="K80" i="5" s="1"/>
  <c r="D80" i="5" s="1"/>
  <c r="L80" i="5"/>
  <c r="N80" i="5" s="1"/>
  <c r="M80" i="5"/>
  <c r="O80" i="5" s="1"/>
  <c r="P80" i="5"/>
  <c r="J81" i="5"/>
  <c r="K81" i="5" s="1"/>
  <c r="D81" i="5" s="1"/>
  <c r="L81" i="5"/>
  <c r="N81" i="5" s="1"/>
  <c r="M81" i="5"/>
  <c r="O81" i="5" s="1"/>
  <c r="P81" i="5"/>
  <c r="J84" i="5"/>
  <c r="K84" i="5" s="1"/>
  <c r="D84" i="5" s="1"/>
  <c r="L84" i="5"/>
  <c r="N84" i="5" s="1"/>
  <c r="M84" i="5"/>
  <c r="O84" i="5" s="1"/>
  <c r="P84" i="5"/>
  <c r="J85" i="5"/>
  <c r="K85" i="5" s="1"/>
  <c r="D85" i="5" s="1"/>
  <c r="L85" i="5"/>
  <c r="N85" i="5" s="1"/>
  <c r="M85" i="5"/>
  <c r="O85" i="5" s="1"/>
  <c r="P85" i="5"/>
  <c r="J86" i="5"/>
  <c r="K86" i="5" s="1"/>
  <c r="D86" i="5" s="1"/>
  <c r="L86" i="5"/>
  <c r="N86" i="5" s="1"/>
  <c r="M86" i="5"/>
  <c r="O86" i="5" s="1"/>
  <c r="P86" i="5"/>
  <c r="J87" i="5"/>
  <c r="K87" i="5" s="1"/>
  <c r="D87" i="5" s="1"/>
  <c r="L87" i="5"/>
  <c r="N87" i="5" s="1"/>
  <c r="M87" i="5"/>
  <c r="O87" i="5" s="1"/>
  <c r="P87" i="5"/>
  <c r="J88" i="5"/>
  <c r="K88" i="5" s="1"/>
  <c r="D88" i="5" s="1"/>
  <c r="L88" i="5"/>
  <c r="N88" i="5" s="1"/>
  <c r="M88" i="5"/>
  <c r="O88" i="5" s="1"/>
  <c r="P88" i="5"/>
  <c r="J92" i="5"/>
  <c r="K92" i="5" s="1"/>
  <c r="D92" i="5" s="1"/>
  <c r="L92" i="5"/>
  <c r="N92" i="5" s="1"/>
  <c r="M92" i="5"/>
  <c r="O92" i="5" s="1"/>
  <c r="P92" i="5"/>
  <c r="J93" i="5"/>
  <c r="K93" i="5" s="1"/>
  <c r="D93" i="5" s="1"/>
  <c r="L93" i="5"/>
  <c r="N93" i="5" s="1"/>
  <c r="M93" i="5"/>
  <c r="O93" i="5" s="1"/>
  <c r="P93" i="5"/>
  <c r="J94" i="5"/>
  <c r="K94" i="5" s="1"/>
  <c r="D94" i="5" s="1"/>
  <c r="L94" i="5"/>
  <c r="N94" i="5" s="1"/>
  <c r="M94" i="5"/>
  <c r="O94" i="5" s="1"/>
  <c r="P94" i="5"/>
  <c r="J95" i="5"/>
  <c r="K95" i="5" s="1"/>
  <c r="D95" i="5" s="1"/>
  <c r="L95" i="5"/>
  <c r="N95" i="5" s="1"/>
  <c r="M95" i="5"/>
  <c r="O95" i="5" s="1"/>
  <c r="P95" i="5"/>
  <c r="K70" i="3"/>
  <c r="D70" i="3" s="1"/>
  <c r="L70" i="3"/>
  <c r="K71" i="3"/>
  <c r="D71" i="3" s="1"/>
  <c r="L71" i="3"/>
  <c r="K72" i="3"/>
  <c r="D72" i="3" s="1"/>
  <c r="L72" i="3"/>
  <c r="K73" i="3"/>
  <c r="D73" i="3" s="1"/>
  <c r="L73" i="3"/>
  <c r="K74" i="3"/>
  <c r="D74" i="3" s="1"/>
  <c r="L74" i="3"/>
  <c r="K77" i="3"/>
  <c r="D77" i="3" s="1"/>
  <c r="L77" i="3"/>
  <c r="K78" i="3"/>
  <c r="D78" i="3" s="1"/>
  <c r="L78" i="3"/>
  <c r="K79" i="3"/>
  <c r="D79" i="3" s="1"/>
  <c r="L79" i="3"/>
  <c r="K80" i="3"/>
  <c r="D80" i="3" s="1"/>
  <c r="L80" i="3"/>
  <c r="K81" i="3"/>
  <c r="D81" i="3" s="1"/>
  <c r="L81" i="3"/>
  <c r="K84" i="3"/>
  <c r="D84" i="3" s="1"/>
  <c r="L84" i="3"/>
  <c r="K85" i="3"/>
  <c r="D85" i="3" s="1"/>
  <c r="L85" i="3"/>
  <c r="K86" i="3"/>
  <c r="D86" i="3" s="1"/>
  <c r="L86" i="3"/>
  <c r="K87" i="3"/>
  <c r="L87" i="3" s="1"/>
  <c r="D87" i="3"/>
  <c r="K88" i="3"/>
  <c r="L88" i="3" s="1"/>
  <c r="D88" i="3"/>
  <c r="K92" i="3"/>
  <c r="L92" i="3" s="1"/>
  <c r="D92" i="3"/>
  <c r="K93" i="3"/>
  <c r="L93" i="3" s="1"/>
  <c r="D93" i="3"/>
  <c r="K94" i="3"/>
  <c r="L94" i="3" s="1"/>
  <c r="D94" i="3"/>
  <c r="K95" i="3"/>
  <c r="L95" i="3" s="1"/>
  <c r="D95" i="3"/>
  <c r="K92" i="11" l="1"/>
  <c r="D72" i="11"/>
  <c r="J93" i="10"/>
  <c r="D93" i="10" s="1"/>
  <c r="Q93" i="10"/>
  <c r="R93" i="10" s="1"/>
  <c r="J94" i="10"/>
  <c r="D94" i="10" s="1"/>
  <c r="Q94" i="10"/>
  <c r="R94" i="10" s="1"/>
  <c r="J95" i="10"/>
  <c r="D95" i="10" s="1"/>
  <c r="Q95" i="10"/>
  <c r="R95" i="10" s="1"/>
  <c r="D84" i="10"/>
  <c r="J92" i="10"/>
  <c r="D92" i="10" s="1"/>
  <c r="D87" i="10"/>
  <c r="D78" i="10"/>
  <c r="D77" i="10"/>
  <c r="D85" i="10"/>
  <c r="D74" i="10"/>
  <c r="D73" i="10"/>
  <c r="D72" i="10"/>
  <c r="D81" i="10"/>
  <c r="D71" i="10"/>
  <c r="D86" i="10"/>
  <c r="D80" i="10"/>
  <c r="D70" i="10"/>
  <c r="D88" i="10"/>
  <c r="D79" i="10"/>
  <c r="D73" i="11"/>
  <c r="L73" i="11"/>
  <c r="J74" i="12"/>
  <c r="L74" i="12" s="1"/>
  <c r="D88" i="11"/>
  <c r="L88" i="11"/>
  <c r="L84" i="11"/>
  <c r="D84" i="11"/>
  <c r="D87" i="11"/>
  <c r="L87" i="11"/>
  <c r="D86" i="11"/>
  <c r="L86" i="11"/>
  <c r="D78" i="11"/>
  <c r="L78" i="11"/>
  <c r="D71" i="11"/>
  <c r="L71" i="11"/>
  <c r="D80" i="11"/>
  <c r="L80" i="11"/>
  <c r="L70" i="11"/>
  <c r="D70" i="11"/>
  <c r="L77" i="11"/>
  <c r="D77" i="11"/>
  <c r="D81" i="11"/>
  <c r="L81" i="11"/>
  <c r="D79" i="11"/>
  <c r="L79" i="11"/>
  <c r="D85" i="11"/>
  <c r="L85" i="11"/>
  <c r="L74" i="11"/>
  <c r="D74" i="11"/>
  <c r="M74" i="12"/>
  <c r="G77" i="12"/>
  <c r="D70" i="7"/>
  <c r="D71" i="7"/>
  <c r="D72" i="7"/>
  <c r="D73" i="7"/>
  <c r="D74" i="7"/>
  <c r="D77" i="7"/>
  <c r="D78" i="7"/>
  <c r="D79" i="7"/>
  <c r="D80" i="7"/>
  <c r="D81" i="7"/>
  <c r="D84" i="7"/>
  <c r="D85" i="7"/>
  <c r="D86" i="7"/>
  <c r="D87" i="7"/>
  <c r="D88" i="7"/>
  <c r="D92" i="7"/>
  <c r="D93" i="7"/>
  <c r="D94" i="7"/>
  <c r="D95" i="7"/>
  <c r="L70" i="7"/>
  <c r="F70" i="7" s="1"/>
  <c r="L71" i="7"/>
  <c r="F71" i="7" s="1"/>
  <c r="L72" i="7"/>
  <c r="F72" i="7" s="1"/>
  <c r="L73" i="7"/>
  <c r="F73" i="7" s="1"/>
  <c r="L74" i="7"/>
  <c r="F74" i="7" s="1"/>
  <c r="L77" i="7"/>
  <c r="F77" i="7" s="1"/>
  <c r="L78" i="7"/>
  <c r="F78" i="7" s="1"/>
  <c r="L79" i="7"/>
  <c r="F79" i="7" s="1"/>
  <c r="L80" i="7"/>
  <c r="F80" i="7" s="1"/>
  <c r="L81" i="7"/>
  <c r="F81" i="7" s="1"/>
  <c r="L84" i="7"/>
  <c r="F84" i="7" s="1"/>
  <c r="L85" i="7"/>
  <c r="F85" i="7" s="1"/>
  <c r="L86" i="7"/>
  <c r="F86" i="7" s="1"/>
  <c r="L87" i="7"/>
  <c r="F87" i="7" s="1"/>
  <c r="L88" i="7"/>
  <c r="F88" i="7" s="1"/>
  <c r="L92" i="7"/>
  <c r="F92" i="7" s="1"/>
  <c r="L93" i="7"/>
  <c r="F93" i="7" s="1"/>
  <c r="L94" i="7"/>
  <c r="F94" i="7" s="1"/>
  <c r="L95" i="7"/>
  <c r="F95" i="7" s="1"/>
  <c r="G78" i="12" l="1"/>
  <c r="M77" i="12"/>
  <c r="I77" i="12"/>
  <c r="K77" i="12" s="1"/>
  <c r="J77" i="12"/>
  <c r="L77" i="12" s="1"/>
  <c r="D64" i="7"/>
  <c r="L64" i="7"/>
  <c r="L65" i="7"/>
  <c r="L66" i="7"/>
  <c r="L67" i="7"/>
  <c r="G79" i="12" l="1"/>
  <c r="G80" i="12" s="1"/>
  <c r="M78" i="12"/>
  <c r="J78" i="12"/>
  <c r="L78" i="12" s="1"/>
  <c r="I78" i="12"/>
  <c r="K78" i="12" s="1"/>
  <c r="L32" i="7"/>
  <c r="L31" i="7"/>
  <c r="L30" i="7"/>
  <c r="L38" i="7"/>
  <c r="L37" i="7"/>
  <c r="L36" i="7"/>
  <c r="L35" i="7"/>
  <c r="L46" i="7"/>
  <c r="L45" i="7"/>
  <c r="L44" i="7"/>
  <c r="L43" i="7"/>
  <c r="L42" i="7"/>
  <c r="L53" i="7"/>
  <c r="L52" i="7"/>
  <c r="L51" i="7"/>
  <c r="L50" i="7"/>
  <c r="L49" i="7"/>
  <c r="L59" i="7"/>
  <c r="L58" i="7"/>
  <c r="L57" i="7"/>
  <c r="L56" i="7"/>
  <c r="L63" i="7"/>
  <c r="F64" i="7"/>
  <c r="G81" i="12" l="1"/>
  <c r="M80" i="12"/>
  <c r="I80" i="12"/>
  <c r="K80" i="12" s="1"/>
  <c r="J80" i="12"/>
  <c r="L80" i="12" s="1"/>
  <c r="M79" i="12"/>
  <c r="I79" i="12"/>
  <c r="K79" i="12" s="1"/>
  <c r="J79" i="12"/>
  <c r="L79" i="12" s="1"/>
  <c r="D63" i="1"/>
  <c r="K63" i="3"/>
  <c r="C22" i="30"/>
  <c r="H24" i="7"/>
  <c r="H23" i="7"/>
  <c r="H22" i="7"/>
  <c r="H21" i="7"/>
  <c r="L371" i="30"/>
  <c r="K371" i="30"/>
  <c r="J371" i="30"/>
  <c r="H371" i="30"/>
  <c r="G371" i="30"/>
  <c r="F371" i="30"/>
  <c r="D371" i="30"/>
  <c r="C371" i="30"/>
  <c r="L370" i="30"/>
  <c r="K370" i="30"/>
  <c r="J370" i="30"/>
  <c r="H370" i="30"/>
  <c r="G370" i="30"/>
  <c r="F370" i="30"/>
  <c r="D370" i="30"/>
  <c r="C370" i="30"/>
  <c r="L369" i="30"/>
  <c r="K369" i="30"/>
  <c r="J369" i="30"/>
  <c r="H369" i="30"/>
  <c r="G369" i="30"/>
  <c r="F369" i="30"/>
  <c r="D369" i="30"/>
  <c r="C369" i="30"/>
  <c r="L368" i="30"/>
  <c r="K368" i="30"/>
  <c r="J368" i="30"/>
  <c r="H368" i="30"/>
  <c r="G368" i="30"/>
  <c r="F368" i="30"/>
  <c r="D368" i="30"/>
  <c r="C368" i="30"/>
  <c r="L367" i="30"/>
  <c r="K367" i="30"/>
  <c r="J367" i="30"/>
  <c r="H367" i="30"/>
  <c r="G367" i="30"/>
  <c r="F367" i="30"/>
  <c r="D367" i="30"/>
  <c r="C367" i="30"/>
  <c r="L366" i="30"/>
  <c r="K366" i="30"/>
  <c r="J366" i="30"/>
  <c r="H366" i="30"/>
  <c r="G366" i="30"/>
  <c r="F366" i="30"/>
  <c r="D366" i="30"/>
  <c r="C366" i="30"/>
  <c r="L365" i="30"/>
  <c r="K365" i="30"/>
  <c r="J365" i="30"/>
  <c r="H365" i="30"/>
  <c r="G365" i="30"/>
  <c r="F365" i="30"/>
  <c r="D365" i="30"/>
  <c r="C365" i="30"/>
  <c r="L364" i="30"/>
  <c r="K364" i="30"/>
  <c r="J364" i="30"/>
  <c r="H364" i="30"/>
  <c r="G364" i="30"/>
  <c r="F364" i="30"/>
  <c r="D364" i="30"/>
  <c r="C364" i="30"/>
  <c r="L363" i="30"/>
  <c r="K363" i="30"/>
  <c r="J363" i="30"/>
  <c r="H363" i="30"/>
  <c r="G363" i="30"/>
  <c r="F363" i="30"/>
  <c r="D363" i="30"/>
  <c r="C363" i="30"/>
  <c r="L362" i="30"/>
  <c r="K362" i="30"/>
  <c r="J362" i="30"/>
  <c r="H362" i="30"/>
  <c r="G362" i="30"/>
  <c r="F362" i="30"/>
  <c r="D362" i="30"/>
  <c r="C362" i="30"/>
  <c r="L361" i="30"/>
  <c r="K361" i="30"/>
  <c r="J361" i="30"/>
  <c r="H361" i="30"/>
  <c r="G361" i="30"/>
  <c r="F361" i="30"/>
  <c r="D361" i="30"/>
  <c r="C361" i="30"/>
  <c r="L360" i="30"/>
  <c r="K360" i="30"/>
  <c r="J360" i="30"/>
  <c r="H360" i="30"/>
  <c r="G360" i="30"/>
  <c r="F360" i="30"/>
  <c r="D360" i="30"/>
  <c r="C360" i="30"/>
  <c r="L359" i="30"/>
  <c r="K359" i="30"/>
  <c r="J359" i="30"/>
  <c r="H359" i="30"/>
  <c r="G359" i="30"/>
  <c r="F359" i="30"/>
  <c r="D359" i="30"/>
  <c r="C359" i="30"/>
  <c r="L358" i="30"/>
  <c r="K358" i="30"/>
  <c r="J358" i="30"/>
  <c r="H358" i="30"/>
  <c r="G358" i="30"/>
  <c r="F358" i="30"/>
  <c r="D358" i="30"/>
  <c r="C358" i="30"/>
  <c r="L357" i="30"/>
  <c r="K357" i="30"/>
  <c r="J357" i="30"/>
  <c r="H357" i="30"/>
  <c r="G357" i="30"/>
  <c r="F357" i="30"/>
  <c r="D357" i="30"/>
  <c r="C357" i="30"/>
  <c r="L356" i="30"/>
  <c r="K356" i="30"/>
  <c r="J356" i="30"/>
  <c r="H356" i="30"/>
  <c r="G356" i="30"/>
  <c r="F356" i="30"/>
  <c r="D356" i="30"/>
  <c r="C356" i="30"/>
  <c r="L355" i="30"/>
  <c r="K355" i="30"/>
  <c r="J355" i="30"/>
  <c r="H355" i="30"/>
  <c r="G355" i="30"/>
  <c r="F355" i="30"/>
  <c r="D355" i="30"/>
  <c r="C355" i="30"/>
  <c r="L354" i="30"/>
  <c r="K354" i="30"/>
  <c r="J354" i="30"/>
  <c r="H354" i="30"/>
  <c r="G354" i="30"/>
  <c r="F354" i="30"/>
  <c r="D354" i="30"/>
  <c r="C354" i="30"/>
  <c r="L353" i="30"/>
  <c r="K353" i="30"/>
  <c r="J353" i="30"/>
  <c r="H353" i="30"/>
  <c r="G353" i="30"/>
  <c r="F353" i="30"/>
  <c r="D353" i="30"/>
  <c r="C353" i="30"/>
  <c r="L352" i="30"/>
  <c r="K352" i="30"/>
  <c r="J352" i="30"/>
  <c r="H352" i="30"/>
  <c r="G352" i="30"/>
  <c r="F352" i="30"/>
  <c r="D352" i="30"/>
  <c r="C352" i="30"/>
  <c r="L351" i="30"/>
  <c r="K351" i="30"/>
  <c r="J351" i="30"/>
  <c r="H351" i="30"/>
  <c r="G351" i="30"/>
  <c r="F351" i="30"/>
  <c r="D351" i="30"/>
  <c r="C351" i="30"/>
  <c r="L350" i="30"/>
  <c r="K350" i="30"/>
  <c r="J350" i="30"/>
  <c r="H350" i="30"/>
  <c r="G350" i="30"/>
  <c r="F350" i="30"/>
  <c r="D350" i="30"/>
  <c r="C350" i="30"/>
  <c r="L349" i="30"/>
  <c r="K349" i="30"/>
  <c r="J349" i="30"/>
  <c r="H349" i="30"/>
  <c r="G349" i="30"/>
  <c r="F349" i="30"/>
  <c r="D349" i="30"/>
  <c r="C349" i="30"/>
  <c r="L348" i="30"/>
  <c r="K348" i="30"/>
  <c r="J348" i="30"/>
  <c r="H348" i="30"/>
  <c r="G348" i="30"/>
  <c r="F348" i="30"/>
  <c r="D348" i="30"/>
  <c r="C348" i="30"/>
  <c r="L347" i="30"/>
  <c r="K347" i="30"/>
  <c r="J347" i="30"/>
  <c r="H347" i="30"/>
  <c r="G347" i="30"/>
  <c r="F347" i="30"/>
  <c r="D347" i="30"/>
  <c r="C347" i="30"/>
  <c r="L346" i="30"/>
  <c r="K346" i="30"/>
  <c r="J346" i="30"/>
  <c r="H346" i="30"/>
  <c r="G346" i="30"/>
  <c r="F346" i="30"/>
  <c r="D346" i="30"/>
  <c r="C346" i="30"/>
  <c r="L345" i="30"/>
  <c r="K345" i="30"/>
  <c r="J345" i="30"/>
  <c r="H345" i="30"/>
  <c r="G345" i="30"/>
  <c r="F345" i="30"/>
  <c r="D345" i="30"/>
  <c r="C345" i="30"/>
  <c r="L344" i="30"/>
  <c r="K344" i="30"/>
  <c r="J344" i="30"/>
  <c r="H344" i="30"/>
  <c r="G344" i="30"/>
  <c r="F344" i="30"/>
  <c r="D344" i="30"/>
  <c r="C344" i="30"/>
  <c r="L343" i="30"/>
  <c r="K343" i="30"/>
  <c r="J343" i="30"/>
  <c r="H343" i="30"/>
  <c r="G343" i="30"/>
  <c r="F343" i="30"/>
  <c r="D343" i="30"/>
  <c r="C343" i="30"/>
  <c r="L342" i="30"/>
  <c r="K342" i="30"/>
  <c r="J342" i="30"/>
  <c r="H342" i="30"/>
  <c r="G342" i="30"/>
  <c r="F342" i="30"/>
  <c r="D342" i="30"/>
  <c r="C342" i="30"/>
  <c r="L341" i="30"/>
  <c r="K341" i="30"/>
  <c r="J341" i="30"/>
  <c r="H341" i="30"/>
  <c r="G341" i="30"/>
  <c r="F341" i="30"/>
  <c r="D341" i="30"/>
  <c r="C341" i="30"/>
  <c r="L340" i="30"/>
  <c r="K340" i="30"/>
  <c r="J340" i="30"/>
  <c r="H340" i="30"/>
  <c r="G340" i="30"/>
  <c r="F340" i="30"/>
  <c r="D340" i="30"/>
  <c r="C340" i="30"/>
  <c r="L339" i="30"/>
  <c r="K339" i="30"/>
  <c r="J339" i="30"/>
  <c r="H339" i="30"/>
  <c r="G339" i="30"/>
  <c r="F339" i="30"/>
  <c r="D339" i="30"/>
  <c r="C339" i="30"/>
  <c r="L338" i="30"/>
  <c r="K338" i="30"/>
  <c r="J338" i="30"/>
  <c r="H338" i="30"/>
  <c r="G338" i="30"/>
  <c r="F338" i="30"/>
  <c r="D338" i="30"/>
  <c r="C338" i="30"/>
  <c r="L337" i="30"/>
  <c r="K337" i="30"/>
  <c r="J337" i="30"/>
  <c r="H337" i="30"/>
  <c r="G337" i="30"/>
  <c r="F337" i="30"/>
  <c r="D337" i="30"/>
  <c r="C337" i="30"/>
  <c r="L336" i="30"/>
  <c r="K336" i="30"/>
  <c r="J336" i="30"/>
  <c r="H336" i="30"/>
  <c r="G336" i="30"/>
  <c r="F336" i="30"/>
  <c r="D336" i="30"/>
  <c r="C336" i="30"/>
  <c r="L335" i="30"/>
  <c r="K335" i="30"/>
  <c r="J335" i="30"/>
  <c r="H335" i="30"/>
  <c r="G335" i="30"/>
  <c r="F335" i="30"/>
  <c r="D335" i="30"/>
  <c r="C335" i="30"/>
  <c r="L334" i="30"/>
  <c r="K334" i="30"/>
  <c r="J334" i="30"/>
  <c r="H334" i="30"/>
  <c r="G334" i="30"/>
  <c r="F334" i="30"/>
  <c r="D334" i="30"/>
  <c r="C334" i="30"/>
  <c r="L333" i="30"/>
  <c r="K333" i="30"/>
  <c r="J333" i="30"/>
  <c r="H333" i="30"/>
  <c r="G333" i="30"/>
  <c r="F333" i="30"/>
  <c r="D333" i="30"/>
  <c r="C333" i="30"/>
  <c r="L332" i="30"/>
  <c r="K332" i="30"/>
  <c r="J332" i="30"/>
  <c r="H332" i="30"/>
  <c r="G332" i="30"/>
  <c r="F332" i="30"/>
  <c r="D332" i="30"/>
  <c r="C332" i="30"/>
  <c r="L331" i="30"/>
  <c r="K331" i="30"/>
  <c r="J331" i="30"/>
  <c r="H331" i="30"/>
  <c r="G331" i="30"/>
  <c r="F331" i="30"/>
  <c r="D331" i="30"/>
  <c r="C331" i="30"/>
  <c r="L330" i="30"/>
  <c r="K330" i="30"/>
  <c r="J330" i="30"/>
  <c r="H330" i="30"/>
  <c r="G330" i="30"/>
  <c r="F330" i="30"/>
  <c r="D330" i="30"/>
  <c r="C330" i="30"/>
  <c r="L329" i="30"/>
  <c r="K329" i="30"/>
  <c r="J329" i="30"/>
  <c r="H329" i="30"/>
  <c r="G329" i="30"/>
  <c r="F329" i="30"/>
  <c r="D329" i="30"/>
  <c r="C329" i="30"/>
  <c r="L328" i="30"/>
  <c r="K328" i="30"/>
  <c r="J328" i="30"/>
  <c r="H328" i="30"/>
  <c r="G328" i="30"/>
  <c r="F328" i="30"/>
  <c r="D328" i="30"/>
  <c r="C328" i="30"/>
  <c r="L327" i="30"/>
  <c r="K327" i="30"/>
  <c r="J327" i="30"/>
  <c r="H327" i="30"/>
  <c r="G327" i="30"/>
  <c r="F327" i="30"/>
  <c r="D327" i="30"/>
  <c r="C327" i="30"/>
  <c r="L326" i="30"/>
  <c r="K326" i="30"/>
  <c r="J326" i="30"/>
  <c r="H326" i="30"/>
  <c r="G326" i="30"/>
  <c r="F326" i="30"/>
  <c r="D326" i="30"/>
  <c r="C326" i="30"/>
  <c r="L325" i="30"/>
  <c r="K325" i="30"/>
  <c r="J325" i="30"/>
  <c r="H325" i="30"/>
  <c r="G325" i="30"/>
  <c r="F325" i="30"/>
  <c r="D325" i="30"/>
  <c r="C325" i="30"/>
  <c r="L324" i="30"/>
  <c r="K324" i="30"/>
  <c r="J324" i="30"/>
  <c r="H324" i="30"/>
  <c r="G324" i="30"/>
  <c r="F324" i="30"/>
  <c r="D324" i="30"/>
  <c r="C324" i="30"/>
  <c r="L323" i="30"/>
  <c r="K323" i="30"/>
  <c r="J323" i="30"/>
  <c r="H323" i="30"/>
  <c r="G323" i="30"/>
  <c r="F323" i="30"/>
  <c r="D323" i="30"/>
  <c r="C323" i="30"/>
  <c r="L322" i="30"/>
  <c r="K322" i="30"/>
  <c r="J322" i="30"/>
  <c r="H322" i="30"/>
  <c r="G322" i="30"/>
  <c r="F322" i="30"/>
  <c r="D322" i="30"/>
  <c r="C322" i="30"/>
  <c r="L321" i="30"/>
  <c r="K321" i="30"/>
  <c r="J321" i="30"/>
  <c r="H321" i="30"/>
  <c r="G321" i="30"/>
  <c r="F321" i="30"/>
  <c r="D321" i="30"/>
  <c r="C321" i="30"/>
  <c r="L320" i="30"/>
  <c r="K320" i="30"/>
  <c r="J320" i="30"/>
  <c r="H320" i="30"/>
  <c r="G320" i="30"/>
  <c r="F320" i="30"/>
  <c r="D320" i="30"/>
  <c r="C320" i="30"/>
  <c r="L319" i="30"/>
  <c r="K319" i="30"/>
  <c r="J319" i="30"/>
  <c r="H319" i="30"/>
  <c r="G319" i="30"/>
  <c r="F319" i="30"/>
  <c r="D319" i="30"/>
  <c r="C319" i="30"/>
  <c r="L318" i="30"/>
  <c r="K318" i="30"/>
  <c r="J318" i="30"/>
  <c r="H318" i="30"/>
  <c r="G318" i="30"/>
  <c r="F318" i="30"/>
  <c r="D318" i="30"/>
  <c r="C318" i="30"/>
  <c r="L317" i="30"/>
  <c r="K317" i="30"/>
  <c r="J317" i="30"/>
  <c r="H317" i="30"/>
  <c r="G317" i="30"/>
  <c r="F317" i="30"/>
  <c r="D317" i="30"/>
  <c r="C317" i="30"/>
  <c r="L316" i="30"/>
  <c r="K316" i="30"/>
  <c r="J316" i="30"/>
  <c r="H316" i="30"/>
  <c r="G316" i="30"/>
  <c r="F316" i="30"/>
  <c r="D316" i="30"/>
  <c r="C316" i="30"/>
  <c r="L315" i="30"/>
  <c r="K315" i="30"/>
  <c r="J315" i="30"/>
  <c r="H315" i="30"/>
  <c r="G315" i="30"/>
  <c r="F315" i="30"/>
  <c r="D315" i="30"/>
  <c r="C315" i="30"/>
  <c r="L314" i="30"/>
  <c r="K314" i="30"/>
  <c r="J314" i="30"/>
  <c r="H314" i="30"/>
  <c r="G314" i="30"/>
  <c r="F314" i="30"/>
  <c r="D314" i="30"/>
  <c r="C314" i="30"/>
  <c r="L313" i="30"/>
  <c r="K313" i="30"/>
  <c r="J313" i="30"/>
  <c r="H313" i="30"/>
  <c r="G313" i="30"/>
  <c r="F313" i="30"/>
  <c r="D313" i="30"/>
  <c r="C313" i="30"/>
  <c r="L312" i="30"/>
  <c r="K312" i="30"/>
  <c r="J312" i="30"/>
  <c r="H312" i="30"/>
  <c r="G312" i="30"/>
  <c r="F312" i="30"/>
  <c r="D312" i="30"/>
  <c r="C312" i="30"/>
  <c r="L311" i="30"/>
  <c r="K311" i="30"/>
  <c r="J311" i="30"/>
  <c r="H311" i="30"/>
  <c r="G311" i="30"/>
  <c r="F311" i="30"/>
  <c r="D311" i="30"/>
  <c r="C311" i="30"/>
  <c r="L310" i="30"/>
  <c r="K310" i="30"/>
  <c r="J310" i="30"/>
  <c r="H310" i="30"/>
  <c r="G310" i="30"/>
  <c r="F310" i="30"/>
  <c r="D310" i="30"/>
  <c r="C310" i="30"/>
  <c r="L309" i="30"/>
  <c r="K309" i="30"/>
  <c r="J309" i="30"/>
  <c r="H309" i="30"/>
  <c r="G309" i="30"/>
  <c r="F309" i="30"/>
  <c r="D309" i="30"/>
  <c r="C309" i="30"/>
  <c r="L308" i="30"/>
  <c r="K308" i="30"/>
  <c r="J308" i="30"/>
  <c r="H308" i="30"/>
  <c r="G308" i="30"/>
  <c r="F308" i="30"/>
  <c r="D308" i="30"/>
  <c r="C308" i="30"/>
  <c r="L307" i="30"/>
  <c r="K307" i="30"/>
  <c r="J307" i="30"/>
  <c r="H307" i="30"/>
  <c r="G307" i="30"/>
  <c r="F307" i="30"/>
  <c r="D307" i="30"/>
  <c r="C307" i="30"/>
  <c r="L306" i="30"/>
  <c r="K306" i="30"/>
  <c r="J306" i="30"/>
  <c r="H306" i="30"/>
  <c r="G306" i="30"/>
  <c r="F306" i="30"/>
  <c r="D306" i="30"/>
  <c r="C306" i="30"/>
  <c r="L305" i="30"/>
  <c r="K305" i="30"/>
  <c r="J305" i="30"/>
  <c r="H305" i="30"/>
  <c r="G305" i="30"/>
  <c r="F305" i="30"/>
  <c r="D305" i="30"/>
  <c r="C305" i="30"/>
  <c r="L304" i="30"/>
  <c r="K304" i="30"/>
  <c r="J304" i="30"/>
  <c r="H304" i="30"/>
  <c r="G304" i="30"/>
  <c r="F304" i="30"/>
  <c r="D304" i="30"/>
  <c r="C304" i="30"/>
  <c r="L303" i="30"/>
  <c r="K303" i="30"/>
  <c r="J303" i="30"/>
  <c r="H303" i="30"/>
  <c r="G303" i="30"/>
  <c r="F303" i="30"/>
  <c r="D303" i="30"/>
  <c r="C303" i="30"/>
  <c r="L302" i="30"/>
  <c r="K302" i="30"/>
  <c r="J302" i="30"/>
  <c r="H302" i="30"/>
  <c r="G302" i="30"/>
  <c r="F302" i="30"/>
  <c r="D302" i="30"/>
  <c r="C302" i="30"/>
  <c r="L301" i="30"/>
  <c r="K301" i="30"/>
  <c r="J301" i="30"/>
  <c r="H301" i="30"/>
  <c r="G301" i="30"/>
  <c r="F301" i="30"/>
  <c r="D301" i="30"/>
  <c r="C301" i="30"/>
  <c r="L300" i="30"/>
  <c r="K300" i="30"/>
  <c r="J300" i="30"/>
  <c r="H300" i="30"/>
  <c r="G300" i="30"/>
  <c r="F300" i="30"/>
  <c r="D300" i="30"/>
  <c r="C300" i="30"/>
  <c r="L299" i="30"/>
  <c r="K299" i="30"/>
  <c r="J299" i="30"/>
  <c r="H299" i="30"/>
  <c r="G299" i="30"/>
  <c r="F299" i="30"/>
  <c r="D299" i="30"/>
  <c r="C299" i="30"/>
  <c r="L298" i="30"/>
  <c r="K298" i="30"/>
  <c r="J298" i="30"/>
  <c r="H298" i="30"/>
  <c r="G298" i="30"/>
  <c r="F298" i="30"/>
  <c r="D298" i="30"/>
  <c r="C298" i="30"/>
  <c r="L297" i="30"/>
  <c r="K297" i="30"/>
  <c r="J297" i="30"/>
  <c r="H297" i="30"/>
  <c r="G297" i="30"/>
  <c r="F297" i="30"/>
  <c r="D297" i="30"/>
  <c r="C297" i="30"/>
  <c r="L296" i="30"/>
  <c r="K296" i="30"/>
  <c r="J296" i="30"/>
  <c r="H296" i="30"/>
  <c r="G296" i="30"/>
  <c r="F296" i="30"/>
  <c r="D296" i="30"/>
  <c r="C296" i="30"/>
  <c r="L295" i="30"/>
  <c r="K295" i="30"/>
  <c r="J295" i="30"/>
  <c r="H295" i="30"/>
  <c r="G295" i="30"/>
  <c r="F295" i="30"/>
  <c r="D295" i="30"/>
  <c r="C295" i="30"/>
  <c r="L294" i="30"/>
  <c r="K294" i="30"/>
  <c r="J294" i="30"/>
  <c r="H294" i="30"/>
  <c r="G294" i="30"/>
  <c r="F294" i="30"/>
  <c r="D294" i="30"/>
  <c r="C294" i="30"/>
  <c r="L293" i="30"/>
  <c r="K293" i="30"/>
  <c r="J293" i="30"/>
  <c r="H293" i="30"/>
  <c r="G293" i="30"/>
  <c r="F293" i="30"/>
  <c r="D293" i="30"/>
  <c r="C293" i="30"/>
  <c r="L292" i="30"/>
  <c r="K292" i="30"/>
  <c r="J292" i="30"/>
  <c r="H292" i="30"/>
  <c r="G292" i="30"/>
  <c r="F292" i="30"/>
  <c r="D292" i="30"/>
  <c r="C292" i="30"/>
  <c r="L291" i="30"/>
  <c r="K291" i="30"/>
  <c r="J291" i="30"/>
  <c r="H291" i="30"/>
  <c r="G291" i="30"/>
  <c r="F291" i="30"/>
  <c r="D291" i="30"/>
  <c r="C291" i="30"/>
  <c r="L290" i="30"/>
  <c r="K290" i="30"/>
  <c r="J290" i="30"/>
  <c r="H290" i="30"/>
  <c r="G290" i="30"/>
  <c r="F290" i="30"/>
  <c r="D290" i="30"/>
  <c r="C290" i="30"/>
  <c r="L289" i="30"/>
  <c r="K289" i="30"/>
  <c r="J289" i="30"/>
  <c r="H289" i="30"/>
  <c r="G289" i="30"/>
  <c r="F289" i="30"/>
  <c r="D289" i="30"/>
  <c r="C289" i="30"/>
  <c r="L288" i="30"/>
  <c r="K288" i="30"/>
  <c r="J288" i="30"/>
  <c r="H288" i="30"/>
  <c r="G288" i="30"/>
  <c r="F288" i="30"/>
  <c r="D288" i="30"/>
  <c r="C288" i="30"/>
  <c r="L287" i="30"/>
  <c r="K287" i="30"/>
  <c r="J287" i="30"/>
  <c r="H287" i="30"/>
  <c r="G287" i="30"/>
  <c r="F287" i="30"/>
  <c r="D287" i="30"/>
  <c r="C287" i="30"/>
  <c r="L286" i="30"/>
  <c r="K286" i="30"/>
  <c r="J286" i="30"/>
  <c r="H286" i="30"/>
  <c r="G286" i="30"/>
  <c r="F286" i="30"/>
  <c r="D286" i="30"/>
  <c r="C286" i="30"/>
  <c r="L285" i="30"/>
  <c r="K285" i="30"/>
  <c r="J285" i="30"/>
  <c r="H285" i="30"/>
  <c r="G285" i="30"/>
  <c r="F285" i="30"/>
  <c r="D285" i="30"/>
  <c r="C285" i="30"/>
  <c r="L284" i="30"/>
  <c r="K284" i="30"/>
  <c r="J284" i="30"/>
  <c r="H284" i="30"/>
  <c r="G284" i="30"/>
  <c r="F284" i="30"/>
  <c r="D284" i="30"/>
  <c r="C284" i="30"/>
  <c r="L283" i="30"/>
  <c r="K283" i="30"/>
  <c r="J283" i="30"/>
  <c r="H283" i="30"/>
  <c r="G283" i="30"/>
  <c r="F283" i="30"/>
  <c r="D283" i="30"/>
  <c r="C283" i="30"/>
  <c r="L282" i="30"/>
  <c r="K282" i="30"/>
  <c r="J282" i="30"/>
  <c r="H282" i="30"/>
  <c r="G282" i="30"/>
  <c r="F282" i="30"/>
  <c r="D282" i="30"/>
  <c r="C282" i="30"/>
  <c r="L281" i="30"/>
  <c r="K281" i="30"/>
  <c r="J281" i="30"/>
  <c r="H281" i="30"/>
  <c r="G281" i="30"/>
  <c r="F281" i="30"/>
  <c r="D281" i="30"/>
  <c r="C281" i="30"/>
  <c r="L280" i="30"/>
  <c r="K280" i="30"/>
  <c r="J280" i="30"/>
  <c r="H280" i="30"/>
  <c r="G280" i="30"/>
  <c r="F280" i="30"/>
  <c r="D280" i="30"/>
  <c r="C280" i="30"/>
  <c r="L279" i="30"/>
  <c r="K279" i="30"/>
  <c r="J279" i="30"/>
  <c r="H279" i="30"/>
  <c r="G279" i="30"/>
  <c r="F279" i="30"/>
  <c r="D279" i="30"/>
  <c r="C279" i="30"/>
  <c r="L278" i="30"/>
  <c r="K278" i="30"/>
  <c r="J278" i="30"/>
  <c r="H278" i="30"/>
  <c r="G278" i="30"/>
  <c r="F278" i="30"/>
  <c r="D278" i="30"/>
  <c r="C278" i="30"/>
  <c r="L277" i="30"/>
  <c r="K277" i="30"/>
  <c r="J277" i="30"/>
  <c r="H277" i="30"/>
  <c r="G277" i="30"/>
  <c r="F277" i="30"/>
  <c r="D277" i="30"/>
  <c r="C277" i="30"/>
  <c r="L276" i="30"/>
  <c r="K276" i="30"/>
  <c r="J276" i="30"/>
  <c r="H276" i="30"/>
  <c r="G276" i="30"/>
  <c r="F276" i="30"/>
  <c r="D276" i="30"/>
  <c r="C276" i="30"/>
  <c r="L275" i="30"/>
  <c r="K275" i="30"/>
  <c r="J275" i="30"/>
  <c r="H275" i="30"/>
  <c r="G275" i="30"/>
  <c r="F275" i="30"/>
  <c r="D275" i="30"/>
  <c r="C275" i="30"/>
  <c r="L274" i="30"/>
  <c r="K274" i="30"/>
  <c r="J274" i="30"/>
  <c r="H274" i="30"/>
  <c r="G274" i="30"/>
  <c r="F274" i="30"/>
  <c r="D274" i="30"/>
  <c r="C274" i="30"/>
  <c r="L273" i="30"/>
  <c r="K273" i="30"/>
  <c r="J273" i="30"/>
  <c r="H273" i="30"/>
  <c r="G273" i="30"/>
  <c r="F273" i="30"/>
  <c r="D273" i="30"/>
  <c r="C273" i="30"/>
  <c r="L272" i="30"/>
  <c r="K272" i="30"/>
  <c r="J272" i="30"/>
  <c r="H272" i="30"/>
  <c r="G272" i="30"/>
  <c r="F272" i="30"/>
  <c r="D272" i="30"/>
  <c r="C272" i="30"/>
  <c r="L271" i="30"/>
  <c r="K271" i="30"/>
  <c r="J271" i="30"/>
  <c r="H271" i="30"/>
  <c r="G271" i="30"/>
  <c r="F271" i="30"/>
  <c r="D271" i="30"/>
  <c r="C271" i="30"/>
  <c r="L270" i="30"/>
  <c r="K270" i="30"/>
  <c r="J270" i="30"/>
  <c r="H270" i="30"/>
  <c r="G270" i="30"/>
  <c r="F270" i="30"/>
  <c r="D270" i="30"/>
  <c r="C270" i="30"/>
  <c r="L269" i="30"/>
  <c r="K269" i="30"/>
  <c r="J269" i="30"/>
  <c r="H269" i="30"/>
  <c r="G269" i="30"/>
  <c r="F269" i="30"/>
  <c r="D269" i="30"/>
  <c r="C269" i="30"/>
  <c r="L268" i="30"/>
  <c r="K268" i="30"/>
  <c r="J268" i="30"/>
  <c r="H268" i="30"/>
  <c r="G268" i="30"/>
  <c r="F268" i="30"/>
  <c r="D268" i="30"/>
  <c r="C268" i="30"/>
  <c r="L267" i="30"/>
  <c r="K267" i="30"/>
  <c r="J267" i="30"/>
  <c r="H267" i="30"/>
  <c r="G267" i="30"/>
  <c r="F267" i="30"/>
  <c r="D267" i="30"/>
  <c r="C267" i="30"/>
  <c r="L266" i="30"/>
  <c r="K266" i="30"/>
  <c r="J266" i="30"/>
  <c r="H266" i="30"/>
  <c r="G266" i="30"/>
  <c r="F266" i="30"/>
  <c r="D266" i="30"/>
  <c r="C266" i="30"/>
  <c r="L265" i="30"/>
  <c r="K265" i="30"/>
  <c r="J265" i="30"/>
  <c r="H265" i="30"/>
  <c r="G265" i="30"/>
  <c r="F265" i="30"/>
  <c r="D265" i="30"/>
  <c r="C265" i="30"/>
  <c r="L264" i="30"/>
  <c r="K264" i="30"/>
  <c r="J264" i="30"/>
  <c r="H264" i="30"/>
  <c r="G264" i="30"/>
  <c r="F264" i="30"/>
  <c r="D264" i="30"/>
  <c r="C264" i="30"/>
  <c r="L263" i="30"/>
  <c r="K263" i="30"/>
  <c r="J263" i="30"/>
  <c r="H263" i="30"/>
  <c r="G263" i="30"/>
  <c r="F263" i="30"/>
  <c r="D263" i="30"/>
  <c r="C263" i="30"/>
  <c r="L262" i="30"/>
  <c r="K262" i="30"/>
  <c r="J262" i="30"/>
  <c r="H262" i="30"/>
  <c r="G262" i="30"/>
  <c r="F262" i="30"/>
  <c r="D262" i="30"/>
  <c r="C262" i="30"/>
  <c r="L261" i="30"/>
  <c r="K261" i="30"/>
  <c r="J261" i="30"/>
  <c r="H261" i="30"/>
  <c r="G261" i="30"/>
  <c r="F261" i="30"/>
  <c r="D261" i="30"/>
  <c r="C261" i="30"/>
  <c r="L260" i="30"/>
  <c r="K260" i="30"/>
  <c r="J260" i="30"/>
  <c r="H260" i="30"/>
  <c r="G260" i="30"/>
  <c r="F260" i="30"/>
  <c r="D260" i="30"/>
  <c r="C260" i="30"/>
  <c r="L259" i="30"/>
  <c r="K259" i="30"/>
  <c r="J259" i="30"/>
  <c r="H259" i="30"/>
  <c r="G259" i="30"/>
  <c r="F259" i="30"/>
  <c r="D259" i="30"/>
  <c r="C259" i="30"/>
  <c r="L258" i="30"/>
  <c r="K258" i="30"/>
  <c r="J258" i="30"/>
  <c r="H258" i="30"/>
  <c r="G258" i="30"/>
  <c r="F258" i="30"/>
  <c r="D258" i="30"/>
  <c r="C258" i="30"/>
  <c r="L257" i="30"/>
  <c r="K257" i="30"/>
  <c r="J257" i="30"/>
  <c r="H257" i="30"/>
  <c r="G257" i="30"/>
  <c r="F257" i="30"/>
  <c r="D257" i="30"/>
  <c r="C257" i="30"/>
  <c r="L256" i="30"/>
  <c r="K256" i="30"/>
  <c r="J256" i="30"/>
  <c r="H256" i="30"/>
  <c r="G256" i="30"/>
  <c r="F256" i="30"/>
  <c r="D256" i="30"/>
  <c r="C256" i="30"/>
  <c r="L255" i="30"/>
  <c r="K255" i="30"/>
  <c r="J255" i="30"/>
  <c r="H255" i="30"/>
  <c r="G255" i="30"/>
  <c r="F255" i="30"/>
  <c r="D255" i="30"/>
  <c r="C255" i="30"/>
  <c r="L254" i="30"/>
  <c r="K254" i="30"/>
  <c r="J254" i="30"/>
  <c r="H254" i="30"/>
  <c r="G254" i="30"/>
  <c r="F254" i="30"/>
  <c r="D254" i="30"/>
  <c r="C254" i="30"/>
  <c r="L253" i="30"/>
  <c r="K253" i="30"/>
  <c r="J253" i="30"/>
  <c r="H253" i="30"/>
  <c r="G253" i="30"/>
  <c r="F253" i="30"/>
  <c r="D253" i="30"/>
  <c r="C253" i="30"/>
  <c r="L252" i="30"/>
  <c r="K252" i="30"/>
  <c r="J252" i="30"/>
  <c r="H252" i="30"/>
  <c r="G252" i="30"/>
  <c r="F252" i="30"/>
  <c r="D252" i="30"/>
  <c r="C252" i="30"/>
  <c r="L251" i="30"/>
  <c r="K251" i="30"/>
  <c r="J251" i="30"/>
  <c r="H251" i="30"/>
  <c r="G251" i="30"/>
  <c r="F251" i="30"/>
  <c r="D251" i="30"/>
  <c r="C251" i="30"/>
  <c r="L250" i="30"/>
  <c r="K250" i="30"/>
  <c r="J250" i="30"/>
  <c r="H250" i="30"/>
  <c r="G250" i="30"/>
  <c r="F250" i="30"/>
  <c r="D250" i="30"/>
  <c r="C250" i="30"/>
  <c r="L249" i="30"/>
  <c r="K249" i="30"/>
  <c r="J249" i="30"/>
  <c r="H249" i="30"/>
  <c r="G249" i="30"/>
  <c r="F249" i="30"/>
  <c r="D249" i="30"/>
  <c r="C249" i="30"/>
  <c r="L248" i="30"/>
  <c r="K248" i="30"/>
  <c r="J248" i="30"/>
  <c r="H248" i="30"/>
  <c r="G248" i="30"/>
  <c r="F248" i="30"/>
  <c r="D248" i="30"/>
  <c r="C248" i="30"/>
  <c r="L247" i="30"/>
  <c r="K247" i="30"/>
  <c r="J247" i="30"/>
  <c r="H247" i="30"/>
  <c r="G247" i="30"/>
  <c r="F247" i="30"/>
  <c r="D247" i="30"/>
  <c r="C247" i="30"/>
  <c r="L246" i="30"/>
  <c r="K246" i="30"/>
  <c r="J246" i="30"/>
  <c r="H246" i="30"/>
  <c r="G246" i="30"/>
  <c r="F246" i="30"/>
  <c r="D246" i="30"/>
  <c r="C246" i="30"/>
  <c r="L245" i="30"/>
  <c r="K245" i="30"/>
  <c r="J245" i="30"/>
  <c r="H245" i="30"/>
  <c r="G245" i="30"/>
  <c r="F245" i="30"/>
  <c r="D245" i="30"/>
  <c r="C245" i="30"/>
  <c r="L244" i="30"/>
  <c r="K244" i="30"/>
  <c r="J244" i="30"/>
  <c r="H244" i="30"/>
  <c r="G244" i="30"/>
  <c r="F244" i="30"/>
  <c r="D244" i="30"/>
  <c r="C244" i="30"/>
  <c r="L243" i="30"/>
  <c r="K243" i="30"/>
  <c r="J243" i="30"/>
  <c r="H243" i="30"/>
  <c r="G243" i="30"/>
  <c r="F243" i="30"/>
  <c r="D243" i="30"/>
  <c r="C243" i="30"/>
  <c r="L242" i="30"/>
  <c r="K242" i="30"/>
  <c r="J242" i="30"/>
  <c r="H242" i="30"/>
  <c r="G242" i="30"/>
  <c r="F242" i="30"/>
  <c r="D242" i="30"/>
  <c r="C242" i="30"/>
  <c r="L241" i="30"/>
  <c r="K241" i="30"/>
  <c r="J241" i="30"/>
  <c r="H241" i="30"/>
  <c r="G241" i="30"/>
  <c r="F241" i="30"/>
  <c r="D241" i="30"/>
  <c r="C241" i="30"/>
  <c r="L240" i="30"/>
  <c r="K240" i="30"/>
  <c r="J240" i="30"/>
  <c r="H240" i="30"/>
  <c r="G240" i="30"/>
  <c r="F240" i="30"/>
  <c r="D240" i="30"/>
  <c r="C240" i="30"/>
  <c r="L239" i="30"/>
  <c r="K239" i="30"/>
  <c r="J239" i="30"/>
  <c r="H239" i="30"/>
  <c r="G239" i="30"/>
  <c r="F239" i="30"/>
  <c r="D239" i="30"/>
  <c r="C239" i="30"/>
  <c r="L238" i="30"/>
  <c r="K238" i="30"/>
  <c r="J238" i="30"/>
  <c r="H238" i="30"/>
  <c r="G238" i="30"/>
  <c r="F238" i="30"/>
  <c r="D238" i="30"/>
  <c r="C238" i="30"/>
  <c r="L237" i="30"/>
  <c r="K237" i="30"/>
  <c r="J237" i="30"/>
  <c r="H237" i="30"/>
  <c r="G237" i="30"/>
  <c r="F237" i="30"/>
  <c r="D237" i="30"/>
  <c r="C237" i="30"/>
  <c r="L236" i="30"/>
  <c r="K236" i="30"/>
  <c r="J236" i="30"/>
  <c r="H236" i="30"/>
  <c r="G236" i="30"/>
  <c r="F236" i="30"/>
  <c r="D236" i="30"/>
  <c r="C236" i="30"/>
  <c r="L235" i="30"/>
  <c r="K235" i="30"/>
  <c r="J235" i="30"/>
  <c r="H235" i="30"/>
  <c r="G235" i="30"/>
  <c r="F235" i="30"/>
  <c r="D235" i="30"/>
  <c r="C235" i="30"/>
  <c r="L234" i="30"/>
  <c r="K234" i="30"/>
  <c r="J234" i="30"/>
  <c r="H234" i="30"/>
  <c r="G234" i="30"/>
  <c r="F234" i="30"/>
  <c r="D234" i="30"/>
  <c r="C234" i="30"/>
  <c r="L233" i="30"/>
  <c r="K233" i="30"/>
  <c r="J233" i="30"/>
  <c r="H233" i="30"/>
  <c r="G233" i="30"/>
  <c r="F233" i="30"/>
  <c r="D233" i="30"/>
  <c r="C233" i="30"/>
  <c r="L232" i="30"/>
  <c r="K232" i="30"/>
  <c r="J232" i="30"/>
  <c r="H232" i="30"/>
  <c r="G232" i="30"/>
  <c r="F232" i="30"/>
  <c r="D232" i="30"/>
  <c r="C232" i="30"/>
  <c r="L231" i="30"/>
  <c r="K231" i="30"/>
  <c r="J231" i="30"/>
  <c r="H231" i="30"/>
  <c r="G231" i="30"/>
  <c r="F231" i="30"/>
  <c r="D231" i="30"/>
  <c r="C231" i="30"/>
  <c r="L230" i="30"/>
  <c r="K230" i="30"/>
  <c r="J230" i="30"/>
  <c r="H230" i="30"/>
  <c r="G230" i="30"/>
  <c r="F230" i="30"/>
  <c r="D230" i="30"/>
  <c r="C230" i="30"/>
  <c r="L229" i="30"/>
  <c r="K229" i="30"/>
  <c r="J229" i="30"/>
  <c r="H229" i="30"/>
  <c r="G229" i="30"/>
  <c r="F229" i="30"/>
  <c r="D229" i="30"/>
  <c r="C229" i="30"/>
  <c r="L228" i="30"/>
  <c r="K228" i="30"/>
  <c r="J228" i="30"/>
  <c r="H228" i="30"/>
  <c r="G228" i="30"/>
  <c r="F228" i="30"/>
  <c r="D228" i="30"/>
  <c r="C228" i="30"/>
  <c r="L227" i="30"/>
  <c r="K227" i="30"/>
  <c r="J227" i="30"/>
  <c r="H227" i="30"/>
  <c r="G227" i="30"/>
  <c r="F227" i="30"/>
  <c r="D227" i="30"/>
  <c r="C227" i="30"/>
  <c r="L226" i="30"/>
  <c r="K226" i="30"/>
  <c r="J226" i="30"/>
  <c r="H226" i="30"/>
  <c r="G226" i="30"/>
  <c r="F226" i="30"/>
  <c r="D226" i="30"/>
  <c r="C226" i="30"/>
  <c r="L225" i="30"/>
  <c r="K225" i="30"/>
  <c r="J225" i="30"/>
  <c r="H225" i="30"/>
  <c r="G225" i="30"/>
  <c r="F225" i="30"/>
  <c r="D225" i="30"/>
  <c r="C225" i="30"/>
  <c r="L224" i="30"/>
  <c r="K224" i="30"/>
  <c r="J224" i="30"/>
  <c r="H224" i="30"/>
  <c r="G224" i="30"/>
  <c r="F224" i="30"/>
  <c r="D224" i="30"/>
  <c r="C224" i="30"/>
  <c r="L223" i="30"/>
  <c r="K223" i="30"/>
  <c r="J223" i="30"/>
  <c r="H223" i="30"/>
  <c r="G223" i="30"/>
  <c r="F223" i="30"/>
  <c r="D223" i="30"/>
  <c r="C223" i="30"/>
  <c r="L222" i="30"/>
  <c r="K222" i="30"/>
  <c r="J222" i="30"/>
  <c r="H222" i="30"/>
  <c r="G222" i="30"/>
  <c r="F222" i="30"/>
  <c r="D222" i="30"/>
  <c r="C222" i="30"/>
  <c r="L221" i="30"/>
  <c r="K221" i="30"/>
  <c r="J221" i="30"/>
  <c r="H221" i="30"/>
  <c r="G221" i="30"/>
  <c r="F221" i="30"/>
  <c r="D221" i="30"/>
  <c r="C221" i="30"/>
  <c r="L220" i="30"/>
  <c r="K220" i="30"/>
  <c r="J220" i="30"/>
  <c r="H220" i="30"/>
  <c r="G220" i="30"/>
  <c r="F220" i="30"/>
  <c r="D220" i="30"/>
  <c r="C220" i="30"/>
  <c r="L219" i="30"/>
  <c r="K219" i="30"/>
  <c r="J219" i="30"/>
  <c r="H219" i="30"/>
  <c r="G219" i="30"/>
  <c r="F219" i="30"/>
  <c r="D219" i="30"/>
  <c r="C219" i="30"/>
  <c r="L218" i="30"/>
  <c r="K218" i="30"/>
  <c r="J218" i="30"/>
  <c r="H218" i="30"/>
  <c r="G218" i="30"/>
  <c r="F218" i="30"/>
  <c r="D218" i="30"/>
  <c r="C218" i="30"/>
  <c r="L217" i="30"/>
  <c r="K217" i="30"/>
  <c r="J217" i="30"/>
  <c r="H217" i="30"/>
  <c r="G217" i="30"/>
  <c r="F217" i="30"/>
  <c r="D217" i="30"/>
  <c r="C217" i="30"/>
  <c r="L216" i="30"/>
  <c r="K216" i="30"/>
  <c r="J216" i="30"/>
  <c r="H216" i="30"/>
  <c r="G216" i="30"/>
  <c r="F216" i="30"/>
  <c r="D216" i="30"/>
  <c r="C216" i="30"/>
  <c r="L215" i="30"/>
  <c r="K215" i="30"/>
  <c r="J215" i="30"/>
  <c r="H215" i="30"/>
  <c r="G215" i="30"/>
  <c r="F215" i="30"/>
  <c r="D215" i="30"/>
  <c r="C215" i="30"/>
  <c r="L214" i="30"/>
  <c r="K214" i="30"/>
  <c r="J214" i="30"/>
  <c r="H214" i="30"/>
  <c r="G214" i="30"/>
  <c r="F214" i="30"/>
  <c r="D214" i="30"/>
  <c r="C214" i="30"/>
  <c r="L213" i="30"/>
  <c r="K213" i="30"/>
  <c r="J213" i="30"/>
  <c r="H213" i="30"/>
  <c r="G213" i="30"/>
  <c r="F213" i="30"/>
  <c r="D213" i="30"/>
  <c r="C213" i="30"/>
  <c r="L212" i="30"/>
  <c r="K212" i="30"/>
  <c r="J212" i="30"/>
  <c r="H212" i="30"/>
  <c r="G212" i="30"/>
  <c r="F212" i="30"/>
  <c r="D212" i="30"/>
  <c r="C212" i="30"/>
  <c r="L211" i="30"/>
  <c r="K211" i="30"/>
  <c r="J211" i="30"/>
  <c r="H211" i="30"/>
  <c r="G211" i="30"/>
  <c r="F211" i="30"/>
  <c r="D211" i="30"/>
  <c r="C211" i="30"/>
  <c r="L210" i="30"/>
  <c r="K210" i="30"/>
  <c r="J210" i="30"/>
  <c r="H210" i="30"/>
  <c r="G210" i="30"/>
  <c r="F210" i="30"/>
  <c r="D210" i="30"/>
  <c r="C210" i="30"/>
  <c r="L209" i="30"/>
  <c r="K209" i="30"/>
  <c r="J209" i="30"/>
  <c r="H209" i="30"/>
  <c r="G209" i="30"/>
  <c r="F209" i="30"/>
  <c r="D209" i="30"/>
  <c r="C209" i="30"/>
  <c r="L208" i="30"/>
  <c r="K208" i="30"/>
  <c r="J208" i="30"/>
  <c r="H208" i="30"/>
  <c r="G208" i="30"/>
  <c r="F208" i="30"/>
  <c r="D208" i="30"/>
  <c r="C208" i="30"/>
  <c r="L207" i="30"/>
  <c r="K207" i="30"/>
  <c r="J207" i="30"/>
  <c r="H207" i="30"/>
  <c r="G207" i="30"/>
  <c r="F207" i="30"/>
  <c r="D207" i="30"/>
  <c r="C207" i="30"/>
  <c r="L206" i="30"/>
  <c r="K206" i="30"/>
  <c r="J206" i="30"/>
  <c r="H206" i="30"/>
  <c r="G206" i="30"/>
  <c r="F206" i="30"/>
  <c r="D206" i="30"/>
  <c r="C206" i="30"/>
  <c r="L205" i="30"/>
  <c r="K205" i="30"/>
  <c r="J205" i="30"/>
  <c r="H205" i="30"/>
  <c r="G205" i="30"/>
  <c r="F205" i="30"/>
  <c r="D205" i="30"/>
  <c r="C205" i="30"/>
  <c r="L204" i="30"/>
  <c r="K204" i="30"/>
  <c r="J204" i="30"/>
  <c r="H204" i="30"/>
  <c r="G204" i="30"/>
  <c r="F204" i="30"/>
  <c r="D204" i="30"/>
  <c r="C204" i="30"/>
  <c r="L203" i="30"/>
  <c r="K203" i="30"/>
  <c r="J203" i="30"/>
  <c r="H203" i="30"/>
  <c r="G203" i="30"/>
  <c r="F203" i="30"/>
  <c r="D203" i="30"/>
  <c r="C203" i="30"/>
  <c r="L202" i="30"/>
  <c r="K202" i="30"/>
  <c r="J202" i="30"/>
  <c r="H202" i="30"/>
  <c r="G202" i="30"/>
  <c r="F202" i="30"/>
  <c r="D202" i="30"/>
  <c r="C202" i="30"/>
  <c r="L201" i="30"/>
  <c r="K201" i="30"/>
  <c r="J201" i="30"/>
  <c r="H201" i="30"/>
  <c r="G201" i="30"/>
  <c r="F201" i="30"/>
  <c r="D201" i="30"/>
  <c r="C201" i="30"/>
  <c r="L200" i="30"/>
  <c r="K200" i="30"/>
  <c r="J200" i="30"/>
  <c r="H200" i="30"/>
  <c r="G200" i="30"/>
  <c r="F200" i="30"/>
  <c r="D200" i="30"/>
  <c r="C200" i="30"/>
  <c r="L199" i="30"/>
  <c r="K199" i="30"/>
  <c r="J199" i="30"/>
  <c r="H199" i="30"/>
  <c r="G199" i="30"/>
  <c r="F199" i="30"/>
  <c r="D199" i="30"/>
  <c r="C199" i="30"/>
  <c r="L198" i="30"/>
  <c r="K198" i="30"/>
  <c r="J198" i="30"/>
  <c r="H198" i="30"/>
  <c r="G198" i="30"/>
  <c r="F198" i="30"/>
  <c r="D198" i="30"/>
  <c r="C198" i="30"/>
  <c r="L197" i="30"/>
  <c r="K197" i="30"/>
  <c r="J197" i="30"/>
  <c r="H197" i="30"/>
  <c r="G197" i="30"/>
  <c r="F197" i="30"/>
  <c r="D197" i="30"/>
  <c r="C197" i="30"/>
  <c r="L196" i="30"/>
  <c r="K196" i="30"/>
  <c r="J196" i="30"/>
  <c r="H196" i="30"/>
  <c r="G196" i="30"/>
  <c r="F196" i="30"/>
  <c r="D196" i="30"/>
  <c r="C196" i="30"/>
  <c r="L195" i="30"/>
  <c r="K195" i="30"/>
  <c r="J195" i="30"/>
  <c r="H195" i="30"/>
  <c r="G195" i="30"/>
  <c r="F195" i="30"/>
  <c r="D195" i="30"/>
  <c r="C195" i="30"/>
  <c r="L194" i="30"/>
  <c r="K194" i="30"/>
  <c r="J194" i="30"/>
  <c r="H194" i="30"/>
  <c r="G194" i="30"/>
  <c r="F194" i="30"/>
  <c r="D194" i="30"/>
  <c r="C194" i="30"/>
  <c r="L193" i="30"/>
  <c r="K193" i="30"/>
  <c r="J193" i="30"/>
  <c r="H193" i="30"/>
  <c r="G193" i="30"/>
  <c r="F193" i="30"/>
  <c r="D193" i="30"/>
  <c r="C193" i="30"/>
  <c r="L192" i="30"/>
  <c r="K192" i="30"/>
  <c r="J192" i="30"/>
  <c r="H192" i="30"/>
  <c r="G192" i="30"/>
  <c r="F192" i="30"/>
  <c r="D192" i="30"/>
  <c r="C192" i="30"/>
  <c r="L191" i="30"/>
  <c r="K191" i="30"/>
  <c r="J191" i="30"/>
  <c r="H191" i="30"/>
  <c r="G191" i="30"/>
  <c r="F191" i="30"/>
  <c r="D191" i="30"/>
  <c r="C191" i="30"/>
  <c r="L190" i="30"/>
  <c r="K190" i="30"/>
  <c r="J190" i="30"/>
  <c r="H190" i="30"/>
  <c r="G190" i="30"/>
  <c r="F190" i="30"/>
  <c r="D190" i="30"/>
  <c r="C190" i="30"/>
  <c r="L189" i="30"/>
  <c r="K189" i="30"/>
  <c r="J189" i="30"/>
  <c r="H189" i="30"/>
  <c r="G189" i="30"/>
  <c r="F189" i="30"/>
  <c r="D189" i="30"/>
  <c r="C189" i="30"/>
  <c r="L188" i="30"/>
  <c r="K188" i="30"/>
  <c r="J188" i="30"/>
  <c r="H188" i="30"/>
  <c r="G188" i="30"/>
  <c r="F188" i="30"/>
  <c r="D188" i="30"/>
  <c r="C188" i="30"/>
  <c r="L187" i="30"/>
  <c r="K187" i="30"/>
  <c r="J187" i="30"/>
  <c r="H187" i="30"/>
  <c r="G187" i="30"/>
  <c r="F187" i="30"/>
  <c r="D187" i="30"/>
  <c r="C187" i="30"/>
  <c r="L186" i="30"/>
  <c r="K186" i="30"/>
  <c r="J186" i="30"/>
  <c r="H186" i="30"/>
  <c r="G186" i="30"/>
  <c r="F186" i="30"/>
  <c r="D186" i="30"/>
  <c r="C186" i="30"/>
  <c r="L185" i="30"/>
  <c r="K185" i="30"/>
  <c r="J185" i="30"/>
  <c r="H185" i="30"/>
  <c r="G185" i="30"/>
  <c r="F185" i="30"/>
  <c r="D185" i="30"/>
  <c r="C185" i="30"/>
  <c r="L184" i="30"/>
  <c r="K184" i="30"/>
  <c r="J184" i="30"/>
  <c r="H184" i="30"/>
  <c r="G184" i="30"/>
  <c r="F184" i="30"/>
  <c r="D184" i="30"/>
  <c r="C184" i="30"/>
  <c r="L183" i="30"/>
  <c r="K183" i="30"/>
  <c r="J183" i="30"/>
  <c r="H183" i="30"/>
  <c r="G183" i="30"/>
  <c r="F183" i="30"/>
  <c r="D183" i="30"/>
  <c r="C183" i="30"/>
  <c r="L182" i="30"/>
  <c r="K182" i="30"/>
  <c r="J182" i="30"/>
  <c r="H182" i="30"/>
  <c r="G182" i="30"/>
  <c r="F182" i="30"/>
  <c r="D182" i="30"/>
  <c r="C182" i="30"/>
  <c r="L181" i="30"/>
  <c r="K181" i="30"/>
  <c r="J181" i="30"/>
  <c r="H181" i="30"/>
  <c r="G181" i="30"/>
  <c r="F181" i="30"/>
  <c r="D181" i="30"/>
  <c r="C181" i="30"/>
  <c r="L180" i="30"/>
  <c r="K180" i="30"/>
  <c r="J180" i="30"/>
  <c r="H180" i="30"/>
  <c r="G180" i="30"/>
  <c r="F180" i="30"/>
  <c r="D180" i="30"/>
  <c r="C180" i="30"/>
  <c r="L179" i="30"/>
  <c r="K179" i="30"/>
  <c r="J179" i="30"/>
  <c r="H179" i="30"/>
  <c r="G179" i="30"/>
  <c r="F179" i="30"/>
  <c r="D179" i="30"/>
  <c r="C179" i="30"/>
  <c r="L178" i="30"/>
  <c r="K178" i="30"/>
  <c r="J178" i="30"/>
  <c r="H178" i="30"/>
  <c r="G178" i="30"/>
  <c r="F178" i="30"/>
  <c r="D178" i="30"/>
  <c r="C178" i="30"/>
  <c r="L177" i="30"/>
  <c r="K177" i="30"/>
  <c r="J177" i="30"/>
  <c r="H177" i="30"/>
  <c r="G177" i="30"/>
  <c r="F177" i="30"/>
  <c r="D177" i="30"/>
  <c r="C177" i="30"/>
  <c r="L176" i="30"/>
  <c r="K176" i="30"/>
  <c r="J176" i="30"/>
  <c r="H176" i="30"/>
  <c r="G176" i="30"/>
  <c r="F176" i="30"/>
  <c r="D176" i="30"/>
  <c r="C176" i="30"/>
  <c r="L175" i="30"/>
  <c r="K175" i="30"/>
  <c r="J175" i="30"/>
  <c r="H175" i="30"/>
  <c r="G175" i="30"/>
  <c r="F175" i="30"/>
  <c r="D175" i="30"/>
  <c r="C175" i="30"/>
  <c r="L174" i="30"/>
  <c r="K174" i="30"/>
  <c r="J174" i="30"/>
  <c r="H174" i="30"/>
  <c r="G174" i="30"/>
  <c r="F174" i="30"/>
  <c r="D174" i="30"/>
  <c r="C174" i="30"/>
  <c r="L173" i="30"/>
  <c r="K173" i="30"/>
  <c r="J173" i="30"/>
  <c r="H173" i="30"/>
  <c r="G173" i="30"/>
  <c r="F173" i="30"/>
  <c r="D173" i="30"/>
  <c r="C173" i="30"/>
  <c r="L172" i="30"/>
  <c r="K172" i="30"/>
  <c r="J172" i="30"/>
  <c r="H172" i="30"/>
  <c r="G172" i="30"/>
  <c r="F172" i="30"/>
  <c r="D172" i="30"/>
  <c r="C172" i="30"/>
  <c r="L171" i="30"/>
  <c r="K171" i="30"/>
  <c r="J171" i="30"/>
  <c r="H171" i="30"/>
  <c r="G171" i="30"/>
  <c r="F171" i="30"/>
  <c r="D171" i="30"/>
  <c r="C171" i="30"/>
  <c r="L170" i="30"/>
  <c r="K170" i="30"/>
  <c r="J170" i="30"/>
  <c r="H170" i="30"/>
  <c r="G170" i="30"/>
  <c r="F170" i="30"/>
  <c r="D170" i="30"/>
  <c r="C170" i="30"/>
  <c r="L169" i="30"/>
  <c r="K169" i="30"/>
  <c r="J169" i="30"/>
  <c r="H169" i="30"/>
  <c r="G169" i="30"/>
  <c r="F169" i="30"/>
  <c r="D169" i="30"/>
  <c r="C169" i="30"/>
  <c r="L168" i="30"/>
  <c r="K168" i="30"/>
  <c r="J168" i="30"/>
  <c r="H168" i="30"/>
  <c r="G168" i="30"/>
  <c r="F168" i="30"/>
  <c r="D168" i="30"/>
  <c r="C168" i="30"/>
  <c r="L167" i="30"/>
  <c r="K167" i="30"/>
  <c r="J167" i="30"/>
  <c r="H167" i="30"/>
  <c r="G167" i="30"/>
  <c r="F167" i="30"/>
  <c r="D167" i="30"/>
  <c r="C167" i="30"/>
  <c r="L166" i="30"/>
  <c r="K166" i="30"/>
  <c r="J166" i="30"/>
  <c r="H166" i="30"/>
  <c r="G166" i="30"/>
  <c r="F166" i="30"/>
  <c r="D166" i="30"/>
  <c r="C166" i="30"/>
  <c r="L165" i="30"/>
  <c r="K165" i="30"/>
  <c r="J165" i="30"/>
  <c r="H165" i="30"/>
  <c r="G165" i="30"/>
  <c r="F165" i="30"/>
  <c r="D165" i="30"/>
  <c r="C165" i="30"/>
  <c r="L164" i="30"/>
  <c r="K164" i="30"/>
  <c r="J164" i="30"/>
  <c r="H164" i="30"/>
  <c r="G164" i="30"/>
  <c r="F164" i="30"/>
  <c r="D164" i="30"/>
  <c r="C164" i="30"/>
  <c r="L163" i="30"/>
  <c r="K163" i="30"/>
  <c r="J163" i="30"/>
  <c r="H163" i="30"/>
  <c r="G163" i="30"/>
  <c r="F163" i="30"/>
  <c r="D163" i="30"/>
  <c r="C163" i="30"/>
  <c r="L162" i="30"/>
  <c r="K162" i="30"/>
  <c r="J162" i="30"/>
  <c r="H162" i="30"/>
  <c r="G162" i="30"/>
  <c r="F162" i="30"/>
  <c r="D162" i="30"/>
  <c r="C162" i="30"/>
  <c r="L161" i="30"/>
  <c r="K161" i="30"/>
  <c r="J161" i="30"/>
  <c r="H161" i="30"/>
  <c r="G161" i="30"/>
  <c r="F161" i="30"/>
  <c r="D161" i="30"/>
  <c r="C161" i="30"/>
  <c r="L160" i="30"/>
  <c r="K160" i="30"/>
  <c r="J160" i="30"/>
  <c r="H160" i="30"/>
  <c r="G160" i="30"/>
  <c r="F160" i="30"/>
  <c r="D160" i="30"/>
  <c r="C160" i="30"/>
  <c r="L159" i="30"/>
  <c r="K159" i="30"/>
  <c r="J159" i="30"/>
  <c r="H159" i="30"/>
  <c r="G159" i="30"/>
  <c r="F159" i="30"/>
  <c r="D159" i="30"/>
  <c r="C159" i="30"/>
  <c r="L158" i="30"/>
  <c r="K158" i="30"/>
  <c r="J158" i="30"/>
  <c r="H158" i="30"/>
  <c r="G158" i="30"/>
  <c r="F158" i="30"/>
  <c r="D158" i="30"/>
  <c r="C158" i="30"/>
  <c r="L157" i="30"/>
  <c r="K157" i="30"/>
  <c r="J157" i="30"/>
  <c r="H157" i="30"/>
  <c r="G157" i="30"/>
  <c r="F157" i="30"/>
  <c r="D157" i="30"/>
  <c r="C157" i="30"/>
  <c r="L156" i="30"/>
  <c r="K156" i="30"/>
  <c r="J156" i="30"/>
  <c r="H156" i="30"/>
  <c r="G156" i="30"/>
  <c r="F156" i="30"/>
  <c r="D156" i="30"/>
  <c r="C156" i="30"/>
  <c r="L155" i="30"/>
  <c r="K155" i="30"/>
  <c r="J155" i="30"/>
  <c r="H155" i="30"/>
  <c r="F155" i="30"/>
  <c r="C155" i="30"/>
  <c r="L152" i="30"/>
  <c r="K152" i="30"/>
  <c r="J152" i="30"/>
  <c r="H152" i="30"/>
  <c r="G152" i="30"/>
  <c r="G155" i="30" s="1"/>
  <c r="F152" i="30"/>
  <c r="D152" i="30"/>
  <c r="D155" i="30" s="1"/>
  <c r="C152" i="30"/>
  <c r="L151" i="30"/>
  <c r="K151" i="30"/>
  <c r="J151" i="30"/>
  <c r="H151" i="30"/>
  <c r="G151" i="30"/>
  <c r="F151" i="30"/>
  <c r="D151" i="30"/>
  <c r="C151" i="30"/>
  <c r="L150" i="30"/>
  <c r="K150" i="30"/>
  <c r="J150" i="30"/>
  <c r="H150" i="30"/>
  <c r="G150" i="30"/>
  <c r="F150" i="30"/>
  <c r="D150" i="30"/>
  <c r="C150" i="30"/>
  <c r="L149" i="30"/>
  <c r="K149" i="30"/>
  <c r="J149" i="30"/>
  <c r="H149" i="30"/>
  <c r="G149" i="30"/>
  <c r="F149" i="30"/>
  <c r="D149" i="30"/>
  <c r="C149" i="30"/>
  <c r="L148" i="30"/>
  <c r="K148" i="30"/>
  <c r="J148" i="30"/>
  <c r="H148" i="30"/>
  <c r="G148" i="30"/>
  <c r="F148" i="30"/>
  <c r="D148" i="30"/>
  <c r="C148" i="30"/>
  <c r="L145" i="30"/>
  <c r="K145" i="30"/>
  <c r="J145" i="30"/>
  <c r="H145" i="30"/>
  <c r="G145" i="30"/>
  <c r="F145" i="30"/>
  <c r="D145" i="30"/>
  <c r="C145" i="30"/>
  <c r="L144" i="30"/>
  <c r="K144" i="30"/>
  <c r="J144" i="30"/>
  <c r="H144" i="30"/>
  <c r="G144" i="30"/>
  <c r="F144" i="30"/>
  <c r="D144" i="30"/>
  <c r="C144" i="30"/>
  <c r="L143" i="30"/>
  <c r="K143" i="30"/>
  <c r="J143" i="30"/>
  <c r="H143" i="30"/>
  <c r="G143" i="30"/>
  <c r="F143" i="30"/>
  <c r="D143" i="30"/>
  <c r="C143" i="30"/>
  <c r="L142" i="30"/>
  <c r="J142" i="30"/>
  <c r="H142" i="30"/>
  <c r="G142" i="30"/>
  <c r="F142" i="30"/>
  <c r="D142" i="30"/>
  <c r="C142" i="30"/>
  <c r="L141" i="30"/>
  <c r="K141" i="30"/>
  <c r="J141" i="30"/>
  <c r="H141" i="30"/>
  <c r="G141" i="30"/>
  <c r="F141" i="30"/>
  <c r="D141" i="30"/>
  <c r="C141" i="30"/>
  <c r="L138" i="30"/>
  <c r="K138" i="30"/>
  <c r="J138" i="30"/>
  <c r="H138" i="30"/>
  <c r="G138" i="30"/>
  <c r="F138" i="30"/>
  <c r="D138" i="30"/>
  <c r="C138" i="30"/>
  <c r="L137" i="30"/>
  <c r="K137" i="30"/>
  <c r="J137" i="30"/>
  <c r="H137" i="30"/>
  <c r="G137" i="30"/>
  <c r="F137" i="30"/>
  <c r="D137" i="30"/>
  <c r="C137" i="30"/>
  <c r="L136" i="30"/>
  <c r="K136" i="30"/>
  <c r="J136" i="30"/>
  <c r="H136" i="30"/>
  <c r="G136" i="30"/>
  <c r="F136" i="30"/>
  <c r="D136" i="30"/>
  <c r="C136" i="30"/>
  <c r="L135" i="30"/>
  <c r="K135" i="30"/>
  <c r="J135" i="30"/>
  <c r="H135" i="30"/>
  <c r="G135" i="30"/>
  <c r="F135" i="30"/>
  <c r="D135" i="30"/>
  <c r="C135" i="30"/>
  <c r="L134" i="30"/>
  <c r="K134" i="30"/>
  <c r="J134" i="30"/>
  <c r="H134" i="30"/>
  <c r="G134" i="30"/>
  <c r="F134" i="30"/>
  <c r="D134" i="30"/>
  <c r="C134" i="30"/>
  <c r="L130" i="30"/>
  <c r="K130" i="30"/>
  <c r="J130" i="30"/>
  <c r="H130" i="30"/>
  <c r="G130" i="30"/>
  <c r="F130" i="30"/>
  <c r="D130" i="30"/>
  <c r="C130" i="30"/>
  <c r="L129" i="30"/>
  <c r="K129" i="30"/>
  <c r="J129" i="30"/>
  <c r="H129" i="30"/>
  <c r="G129" i="30"/>
  <c r="F129" i="30"/>
  <c r="D129" i="30"/>
  <c r="C129" i="30"/>
  <c r="L128" i="30"/>
  <c r="K128" i="30"/>
  <c r="J128" i="30"/>
  <c r="H128" i="30"/>
  <c r="G128" i="30"/>
  <c r="F128" i="30"/>
  <c r="D128" i="30"/>
  <c r="C128" i="30"/>
  <c r="L127" i="30"/>
  <c r="K127" i="30"/>
  <c r="J127" i="30"/>
  <c r="H127" i="30"/>
  <c r="G127" i="30"/>
  <c r="F127" i="30"/>
  <c r="D127" i="30"/>
  <c r="C127" i="30"/>
  <c r="L124" i="30"/>
  <c r="K124" i="30"/>
  <c r="J124" i="30"/>
  <c r="H124" i="30"/>
  <c r="G124" i="30"/>
  <c r="F124" i="30"/>
  <c r="D124" i="30"/>
  <c r="C124" i="30"/>
  <c r="L123" i="30"/>
  <c r="K123" i="30"/>
  <c r="J123" i="30"/>
  <c r="H123" i="30"/>
  <c r="G123" i="30"/>
  <c r="F123" i="30"/>
  <c r="D123" i="30"/>
  <c r="C123" i="30"/>
  <c r="L122" i="30"/>
  <c r="K122" i="30"/>
  <c r="J122" i="30"/>
  <c r="H122" i="30"/>
  <c r="G122" i="30"/>
  <c r="F122" i="30"/>
  <c r="D122" i="30"/>
  <c r="C122" i="30"/>
  <c r="L121" i="30"/>
  <c r="K121" i="30"/>
  <c r="J121" i="30"/>
  <c r="H121" i="30"/>
  <c r="G121" i="30"/>
  <c r="F121" i="30"/>
  <c r="D121" i="30"/>
  <c r="C121" i="30"/>
  <c r="L120" i="30"/>
  <c r="K120" i="30"/>
  <c r="J120" i="30"/>
  <c r="H120" i="30"/>
  <c r="G120" i="30"/>
  <c r="F120" i="30"/>
  <c r="D120" i="30"/>
  <c r="C120" i="30"/>
  <c r="L116" i="30"/>
  <c r="K116" i="30"/>
  <c r="J116" i="30"/>
  <c r="H116" i="30"/>
  <c r="G116" i="30"/>
  <c r="F116" i="30"/>
  <c r="D116" i="30"/>
  <c r="L115" i="30"/>
  <c r="K115" i="30"/>
  <c r="J115" i="30"/>
  <c r="H115" i="30"/>
  <c r="G115" i="30"/>
  <c r="F115" i="30"/>
  <c r="D115" i="30"/>
  <c r="C115" i="30"/>
  <c r="C116" i="30" s="1"/>
  <c r="L114" i="30"/>
  <c r="K114" i="30"/>
  <c r="J114" i="30"/>
  <c r="H114" i="30"/>
  <c r="G114" i="30"/>
  <c r="F114" i="30"/>
  <c r="D114" i="30"/>
  <c r="C114" i="30"/>
  <c r="L113" i="30"/>
  <c r="K113" i="30"/>
  <c r="J113" i="30"/>
  <c r="H113" i="30"/>
  <c r="G113" i="30"/>
  <c r="F113" i="30"/>
  <c r="D113" i="30"/>
  <c r="C113" i="30"/>
  <c r="L110" i="30"/>
  <c r="K110" i="30"/>
  <c r="J110" i="30"/>
  <c r="H110" i="30"/>
  <c r="G110" i="30"/>
  <c r="F110" i="30"/>
  <c r="D110" i="30"/>
  <c r="C110" i="30"/>
  <c r="L109" i="30"/>
  <c r="K109" i="30"/>
  <c r="J109" i="30"/>
  <c r="H109" i="30"/>
  <c r="G109" i="30"/>
  <c r="F109" i="30"/>
  <c r="D109" i="30"/>
  <c r="C109" i="30"/>
  <c r="L108" i="30"/>
  <c r="K108" i="30"/>
  <c r="J108" i="30"/>
  <c r="H108" i="30"/>
  <c r="G108" i="30"/>
  <c r="F108" i="30"/>
  <c r="D108" i="30"/>
  <c r="C108" i="30"/>
  <c r="L107" i="30"/>
  <c r="K107" i="30"/>
  <c r="J107" i="30"/>
  <c r="H107" i="30"/>
  <c r="G107" i="30"/>
  <c r="F107" i="30"/>
  <c r="D107" i="30"/>
  <c r="C107" i="30"/>
  <c r="L106" i="30"/>
  <c r="K106" i="30"/>
  <c r="J106" i="30"/>
  <c r="H106" i="30"/>
  <c r="G106" i="30"/>
  <c r="F106" i="30"/>
  <c r="D106" i="30"/>
  <c r="C106" i="30"/>
  <c r="L103" i="30"/>
  <c r="K103" i="30"/>
  <c r="J103" i="30"/>
  <c r="H103" i="30"/>
  <c r="G103" i="30"/>
  <c r="F103" i="30"/>
  <c r="D103" i="30"/>
  <c r="C103" i="30"/>
  <c r="L102" i="30"/>
  <c r="K102" i="30"/>
  <c r="J102" i="30"/>
  <c r="H102" i="30"/>
  <c r="G102" i="30"/>
  <c r="F102" i="30"/>
  <c r="D102" i="30"/>
  <c r="C102" i="30"/>
  <c r="L101" i="30"/>
  <c r="K101" i="30"/>
  <c r="J101" i="30"/>
  <c r="H101" i="30"/>
  <c r="G101" i="30"/>
  <c r="F101" i="30"/>
  <c r="D101" i="30"/>
  <c r="C101" i="30"/>
  <c r="L100" i="30"/>
  <c r="K100" i="30"/>
  <c r="J100" i="30"/>
  <c r="H100" i="30"/>
  <c r="G100" i="30"/>
  <c r="F100" i="30"/>
  <c r="D100" i="30"/>
  <c r="C100" i="30"/>
  <c r="L99" i="30"/>
  <c r="K99" i="30"/>
  <c r="J99" i="30"/>
  <c r="H99" i="30"/>
  <c r="G99" i="30"/>
  <c r="F99" i="30"/>
  <c r="D99" i="30"/>
  <c r="C99" i="30"/>
  <c r="L96" i="30"/>
  <c r="K96" i="30"/>
  <c r="J96" i="30"/>
  <c r="H96" i="30"/>
  <c r="G96" i="30"/>
  <c r="F96" i="30"/>
  <c r="D96" i="30"/>
  <c r="C96" i="30"/>
  <c r="L95" i="30"/>
  <c r="K95" i="30"/>
  <c r="J95" i="30"/>
  <c r="H95" i="30"/>
  <c r="G95" i="30"/>
  <c r="F95" i="30"/>
  <c r="E94" i="30"/>
  <c r="D95" i="30"/>
  <c r="C95" i="30"/>
  <c r="L94" i="30"/>
  <c r="K94" i="30"/>
  <c r="J94" i="30"/>
  <c r="H94" i="30"/>
  <c r="G94" i="30"/>
  <c r="F94" i="30"/>
  <c r="E93" i="30"/>
  <c r="D94" i="30"/>
  <c r="C94" i="30"/>
  <c r="L93" i="30"/>
  <c r="K93" i="30"/>
  <c r="J93" i="30"/>
  <c r="H93" i="30"/>
  <c r="G93" i="30"/>
  <c r="F93" i="30"/>
  <c r="E89" i="30"/>
  <c r="D93" i="30"/>
  <c r="C93" i="30"/>
  <c r="K89" i="30"/>
  <c r="J89" i="30"/>
  <c r="H89" i="30"/>
  <c r="G89" i="30"/>
  <c r="F89" i="30"/>
  <c r="E88" i="30"/>
  <c r="D89" i="30"/>
  <c r="C89" i="30"/>
  <c r="L88" i="30"/>
  <c r="K88" i="30"/>
  <c r="J88" i="30"/>
  <c r="H88" i="30"/>
  <c r="G88" i="30"/>
  <c r="F88" i="30"/>
  <c r="E87" i="30"/>
  <c r="D88" i="30"/>
  <c r="C88" i="30"/>
  <c r="L87" i="30"/>
  <c r="K87" i="30"/>
  <c r="J87" i="30"/>
  <c r="H87" i="30"/>
  <c r="G87" i="30"/>
  <c r="F87" i="30"/>
  <c r="E86" i="30"/>
  <c r="D87" i="30"/>
  <c r="C87" i="30"/>
  <c r="L86" i="30"/>
  <c r="K86" i="30"/>
  <c r="J86" i="30"/>
  <c r="H86" i="30"/>
  <c r="F86" i="30"/>
  <c r="E85" i="30"/>
  <c r="D86" i="30"/>
  <c r="C86" i="30"/>
  <c r="L85" i="30"/>
  <c r="K85" i="30"/>
  <c r="J85" i="30"/>
  <c r="H85" i="30"/>
  <c r="G85" i="30"/>
  <c r="G86" i="30" s="1"/>
  <c r="F85" i="30"/>
  <c r="E82" i="30"/>
  <c r="D85" i="30"/>
  <c r="C85" i="30"/>
  <c r="L82" i="30"/>
  <c r="K82" i="30"/>
  <c r="J82" i="30"/>
  <c r="H82" i="30"/>
  <c r="G82" i="30"/>
  <c r="F82" i="30"/>
  <c r="E81" i="30"/>
  <c r="D82" i="30"/>
  <c r="C82" i="30"/>
  <c r="L81" i="30"/>
  <c r="K81" i="30"/>
  <c r="J81" i="30"/>
  <c r="H81" i="30"/>
  <c r="F81" i="30"/>
  <c r="E80" i="30"/>
  <c r="D81" i="30"/>
  <c r="C81" i="30"/>
  <c r="L80" i="30"/>
  <c r="K80" i="30"/>
  <c r="J80" i="30"/>
  <c r="H80" i="30"/>
  <c r="G80" i="30"/>
  <c r="G81" i="30" s="1"/>
  <c r="F80" i="30"/>
  <c r="E79" i="30"/>
  <c r="D80" i="30"/>
  <c r="C80" i="30"/>
  <c r="L79" i="30"/>
  <c r="K79" i="30"/>
  <c r="J79" i="30"/>
  <c r="H79" i="30"/>
  <c r="F79" i="30"/>
  <c r="E78" i="30"/>
  <c r="D79" i="30"/>
  <c r="C79" i="30"/>
  <c r="L78" i="30"/>
  <c r="K78" i="30"/>
  <c r="J78" i="30"/>
  <c r="H78" i="30"/>
  <c r="G78" i="30"/>
  <c r="G79" i="30" s="1"/>
  <c r="F78" i="30"/>
  <c r="E75" i="30"/>
  <c r="D78" i="30"/>
  <c r="C78" i="30"/>
  <c r="L75" i="30"/>
  <c r="K75" i="30"/>
  <c r="J75" i="30"/>
  <c r="H75" i="30"/>
  <c r="F75" i="30"/>
  <c r="E74" i="30"/>
  <c r="D75" i="30"/>
  <c r="C75" i="30"/>
  <c r="L74" i="30"/>
  <c r="K74" i="30"/>
  <c r="J74" i="30"/>
  <c r="H74" i="30"/>
  <c r="F74" i="30"/>
  <c r="E73" i="30"/>
  <c r="D74" i="30"/>
  <c r="C74" i="30"/>
  <c r="L73" i="30"/>
  <c r="K73" i="30"/>
  <c r="J73" i="30"/>
  <c r="H73" i="30"/>
  <c r="F73" i="30"/>
  <c r="E72" i="30"/>
  <c r="D73" i="30"/>
  <c r="C73" i="30"/>
  <c r="L72" i="30"/>
  <c r="K72" i="30"/>
  <c r="J72" i="30"/>
  <c r="H72" i="30"/>
  <c r="F72" i="30"/>
  <c r="E71" i="30"/>
  <c r="D72" i="30"/>
  <c r="C72" i="30"/>
  <c r="L71" i="30"/>
  <c r="K71" i="30"/>
  <c r="J71" i="30"/>
  <c r="H71" i="30"/>
  <c r="G71" i="30"/>
  <c r="G72" i="30" s="1"/>
  <c r="G73" i="30" s="1"/>
  <c r="G74" i="30" s="1"/>
  <c r="G75" i="30" s="1"/>
  <c r="F71" i="30"/>
  <c r="E68" i="30"/>
  <c r="D71" i="30"/>
  <c r="C71" i="30"/>
  <c r="L68" i="30"/>
  <c r="K68" i="30"/>
  <c r="J68" i="30"/>
  <c r="H68" i="30"/>
  <c r="G68" i="30"/>
  <c r="F68" i="30"/>
  <c r="E67" i="30"/>
  <c r="D68" i="30"/>
  <c r="C68" i="30"/>
  <c r="L67" i="30"/>
  <c r="K67" i="30"/>
  <c r="J67" i="30"/>
  <c r="H67" i="30"/>
  <c r="G67" i="30"/>
  <c r="F67" i="30"/>
  <c r="E66" i="30"/>
  <c r="D67" i="30"/>
  <c r="C67" i="30"/>
  <c r="L66" i="30"/>
  <c r="K66" i="30"/>
  <c r="J66" i="30"/>
  <c r="H66" i="30"/>
  <c r="F66" i="30"/>
  <c r="E65" i="30"/>
  <c r="D66" i="30"/>
  <c r="C66" i="30"/>
  <c r="L65" i="30"/>
  <c r="K65" i="30"/>
  <c r="J65" i="30"/>
  <c r="H65" i="30"/>
  <c r="G65" i="30"/>
  <c r="F65" i="30"/>
  <c r="E64" i="30"/>
  <c r="D65" i="30"/>
  <c r="C65" i="30"/>
  <c r="L64" i="30"/>
  <c r="K64" i="30"/>
  <c r="J64" i="30"/>
  <c r="H64" i="30"/>
  <c r="G64" i="30"/>
  <c r="F64" i="30"/>
  <c r="E61" i="30"/>
  <c r="E60" i="30" s="1"/>
  <c r="D64" i="30"/>
  <c r="C64" i="30"/>
  <c r="L61" i="30"/>
  <c r="K61" i="30"/>
  <c r="J61" i="30"/>
  <c r="H61" i="30"/>
  <c r="G61" i="30"/>
  <c r="F61" i="30"/>
  <c r="D61" i="30"/>
  <c r="C61" i="30"/>
  <c r="L60" i="30"/>
  <c r="K60" i="30"/>
  <c r="H60" i="30"/>
  <c r="E59" i="30"/>
  <c r="D60" i="30"/>
  <c r="C60" i="30"/>
  <c r="L59" i="30"/>
  <c r="K59" i="30"/>
  <c r="J59" i="30"/>
  <c r="H59" i="30"/>
  <c r="G59" i="30"/>
  <c r="G60" i="30" s="1"/>
  <c r="F59" i="30"/>
  <c r="E58" i="30"/>
  <c r="D59" i="30"/>
  <c r="C59" i="30"/>
  <c r="L58" i="30"/>
  <c r="K58" i="30"/>
  <c r="J58" i="30"/>
  <c r="H58" i="30"/>
  <c r="F58" i="30"/>
  <c r="E57" i="30"/>
  <c r="D58" i="30"/>
  <c r="C58" i="30"/>
  <c r="L57" i="30"/>
  <c r="K57" i="30"/>
  <c r="J57" i="30"/>
  <c r="H57" i="30"/>
  <c r="G57" i="30"/>
  <c r="G58" i="30" s="1"/>
  <c r="F57" i="30"/>
  <c r="D57" i="30"/>
  <c r="C57" i="30"/>
  <c r="L54" i="30"/>
  <c r="K54" i="30"/>
  <c r="J54" i="30"/>
  <c r="H54" i="30"/>
  <c r="F54" i="30"/>
  <c r="E53" i="30"/>
  <c r="D54" i="30"/>
  <c r="C54" i="30"/>
  <c r="L53" i="30"/>
  <c r="K53" i="30"/>
  <c r="J53" i="30"/>
  <c r="H53" i="30"/>
  <c r="F53" i="30"/>
  <c r="E52" i="30"/>
  <c r="D53" i="30"/>
  <c r="C53" i="30"/>
  <c r="L52" i="30"/>
  <c r="K52" i="30"/>
  <c r="J52" i="30"/>
  <c r="H52" i="30"/>
  <c r="G52" i="30"/>
  <c r="G53" i="30" s="1"/>
  <c r="G54" i="30" s="1"/>
  <c r="F52" i="30"/>
  <c r="E51" i="30"/>
  <c r="D52" i="30"/>
  <c r="C52" i="30"/>
  <c r="L51" i="30"/>
  <c r="K51" i="30"/>
  <c r="J51" i="30"/>
  <c r="H51" i="30"/>
  <c r="G51" i="30"/>
  <c r="F51" i="30"/>
  <c r="E50" i="30"/>
  <c r="D51" i="30"/>
  <c r="C51" i="30"/>
  <c r="L50" i="30"/>
  <c r="K50" i="30"/>
  <c r="J50" i="30"/>
  <c r="H50" i="30"/>
  <c r="G50" i="30"/>
  <c r="F50" i="30"/>
  <c r="E47" i="30"/>
  <c r="D50" i="30"/>
  <c r="C50" i="30"/>
  <c r="L47" i="30"/>
  <c r="K47" i="30"/>
  <c r="J47" i="30"/>
  <c r="H47" i="30"/>
  <c r="G47" i="30"/>
  <c r="F47" i="30"/>
  <c r="E46" i="30"/>
  <c r="D47" i="30"/>
  <c r="C47" i="30"/>
  <c r="L46" i="30"/>
  <c r="K46" i="30"/>
  <c r="J46" i="30"/>
  <c r="H46" i="30"/>
  <c r="F46" i="30"/>
  <c r="E45" i="30"/>
  <c r="D46" i="30"/>
  <c r="C46" i="30"/>
  <c r="L45" i="30"/>
  <c r="K45" i="30"/>
  <c r="J45" i="30"/>
  <c r="H45" i="30"/>
  <c r="G45" i="30"/>
  <c r="G46" i="30" s="1"/>
  <c r="F45" i="30"/>
  <c r="E44" i="30"/>
  <c r="D45" i="30"/>
  <c r="C45" i="30"/>
  <c r="L44" i="30"/>
  <c r="K44" i="30"/>
  <c r="J44" i="30"/>
  <c r="H44" i="30"/>
  <c r="G44" i="30"/>
  <c r="F44" i="30"/>
  <c r="E43" i="30"/>
  <c r="D44" i="30"/>
  <c r="C44" i="30"/>
  <c r="L43" i="30"/>
  <c r="K43" i="30"/>
  <c r="J43" i="30"/>
  <c r="H43" i="30"/>
  <c r="G43" i="30"/>
  <c r="F43" i="30"/>
  <c r="E39" i="30"/>
  <c r="D43" i="30"/>
  <c r="C43" i="30"/>
  <c r="L39" i="30"/>
  <c r="K39" i="30"/>
  <c r="J39" i="30"/>
  <c r="H39" i="30"/>
  <c r="G39" i="30"/>
  <c r="F39" i="30"/>
  <c r="E38" i="30"/>
  <c r="D39" i="30"/>
  <c r="C39" i="30"/>
  <c r="L38" i="30"/>
  <c r="K38" i="30"/>
  <c r="J38" i="30"/>
  <c r="H38" i="30"/>
  <c r="G38" i="30"/>
  <c r="F38" i="30"/>
  <c r="E37" i="30"/>
  <c r="D38" i="30"/>
  <c r="C38" i="30"/>
  <c r="L37" i="30"/>
  <c r="K37" i="30"/>
  <c r="J37" i="30"/>
  <c r="H37" i="30"/>
  <c r="F37" i="30"/>
  <c r="E36" i="30"/>
  <c r="D37" i="30"/>
  <c r="C37" i="30"/>
  <c r="L36" i="30"/>
  <c r="K36" i="30"/>
  <c r="J36" i="30"/>
  <c r="H36" i="30"/>
  <c r="G36" i="30"/>
  <c r="G37" i="30" s="1"/>
  <c r="F36" i="30"/>
  <c r="E33" i="30"/>
  <c r="D36" i="30"/>
  <c r="C36" i="30"/>
  <c r="L33" i="30"/>
  <c r="K33" i="30"/>
  <c r="J33" i="30"/>
  <c r="F33" i="30"/>
  <c r="E32" i="30"/>
  <c r="D33" i="30"/>
  <c r="L32" i="30"/>
  <c r="K32" i="30"/>
  <c r="J32" i="30"/>
  <c r="H32" i="30"/>
  <c r="H33" i="30" s="1"/>
  <c r="G32" i="30"/>
  <c r="G33" i="30" s="1"/>
  <c r="F32" i="30"/>
  <c r="E31" i="30"/>
  <c r="D32" i="30"/>
  <c r="C32" i="30"/>
  <c r="L31" i="30"/>
  <c r="K31" i="30"/>
  <c r="J31" i="30"/>
  <c r="H31" i="30"/>
  <c r="F31" i="30"/>
  <c r="E30" i="30"/>
  <c r="D31" i="30"/>
  <c r="C31" i="30"/>
  <c r="L30" i="30"/>
  <c r="K30" i="30"/>
  <c r="J30" i="30"/>
  <c r="H30" i="30"/>
  <c r="F30" i="30"/>
  <c r="E26" i="30"/>
  <c r="D30" i="30"/>
  <c r="C30" i="30"/>
  <c r="L26" i="30"/>
  <c r="K26" i="30"/>
  <c r="J26" i="30"/>
  <c r="H26" i="30"/>
  <c r="F26" i="30"/>
  <c r="E25" i="30"/>
  <c r="D26" i="30"/>
  <c r="C26" i="30"/>
  <c r="L25" i="30"/>
  <c r="K25" i="30"/>
  <c r="J25" i="30"/>
  <c r="F25" i="30"/>
  <c r="E24" i="30"/>
  <c r="D25" i="30"/>
  <c r="C25" i="30"/>
  <c r="L24" i="30"/>
  <c r="K24" i="30"/>
  <c r="J24" i="30"/>
  <c r="H24" i="30"/>
  <c r="F24" i="30"/>
  <c r="E23" i="30"/>
  <c r="D24" i="30"/>
  <c r="C24" i="30"/>
  <c r="L23" i="30"/>
  <c r="K23" i="30"/>
  <c r="J23" i="30"/>
  <c r="H23" i="30"/>
  <c r="H22" i="30" s="1"/>
  <c r="F23" i="30"/>
  <c r="E22" i="30"/>
  <c r="D23" i="30"/>
  <c r="C23" i="30"/>
  <c r="L22" i="30"/>
  <c r="K22" i="30"/>
  <c r="J22" i="30"/>
  <c r="G22" i="30"/>
  <c r="G23" i="30" s="1"/>
  <c r="G24" i="30" s="1"/>
  <c r="G25" i="30" s="1"/>
  <c r="G26" i="30" s="1"/>
  <c r="G30" i="30" s="1"/>
  <c r="G31" i="30" s="1"/>
  <c r="F22" i="30"/>
  <c r="D22" i="30"/>
  <c r="A7" i="30"/>
  <c r="K60" i="10"/>
  <c r="K7" i="29"/>
  <c r="F7" i="29"/>
  <c r="M151" i="30" l="1"/>
  <c r="M99" i="30"/>
  <c r="M152" i="30"/>
  <c r="F60" i="30"/>
  <c r="M81" i="12"/>
  <c r="J81" i="12"/>
  <c r="L81" i="12" s="1"/>
  <c r="I81" i="12"/>
  <c r="K81" i="12" s="1"/>
  <c r="J60" i="30"/>
  <c r="C33" i="30"/>
  <c r="H25" i="30"/>
  <c r="K58" i="10"/>
  <c r="N152" i="30" l="1"/>
  <c r="O152" i="30" s="1"/>
  <c r="D56" i="1"/>
  <c r="K56" i="10"/>
  <c r="K51" i="10" l="1"/>
  <c r="K50" i="10"/>
  <c r="B8" i="30" l="1"/>
  <c r="B9" i="30" s="1"/>
  <c r="B10" i="30" s="1"/>
  <c r="L4" i="30"/>
  <c r="K4" i="30"/>
  <c r="J4" i="30"/>
  <c r="I4" i="30"/>
  <c r="H4" i="30"/>
  <c r="G4" i="30"/>
  <c r="F4" i="30"/>
  <c r="E4" i="30"/>
  <c r="D4" i="30"/>
  <c r="C4" i="30"/>
  <c r="D49" i="1"/>
  <c r="K49" i="10"/>
  <c r="B11" i="30" l="1"/>
  <c r="B12" i="30" s="1"/>
  <c r="B13" i="30" l="1"/>
  <c r="B14" i="30" l="1"/>
  <c r="B15" i="30" l="1"/>
  <c r="B16" i="30" l="1"/>
  <c r="B17" i="30" l="1"/>
  <c r="B18" i="30" l="1"/>
  <c r="B19" i="30" l="1"/>
  <c r="B20" i="30" l="1"/>
  <c r="B21" i="30" l="1"/>
  <c r="B22" i="30" l="1"/>
  <c r="B23" i="30" l="1"/>
  <c r="B24" i="30" l="1"/>
  <c r="B25" i="30" l="1"/>
  <c r="B26" i="30" l="1"/>
  <c r="B27" i="30" l="1"/>
  <c r="B28" i="30" l="1"/>
  <c r="B29" i="30" l="1"/>
  <c r="B30" i="30" l="1"/>
  <c r="K46" i="10"/>
  <c r="B31" i="30" l="1"/>
  <c r="B32" i="30" l="1"/>
  <c r="B33" i="30" l="1"/>
  <c r="B34" i="30" l="1"/>
  <c r="B35" i="30" l="1"/>
  <c r="B36" i="30" l="1"/>
  <c r="B37" i="30" l="1"/>
  <c r="B38" i="30" l="1"/>
  <c r="B39" i="30" l="1"/>
  <c r="B40" i="30" l="1"/>
  <c r="B41" i="30" l="1"/>
  <c r="B42" i="30" l="1"/>
  <c r="B43" i="30" l="1"/>
  <c r="B44" i="30" l="1"/>
  <c r="B45" i="30" l="1"/>
  <c r="B46" i="30" l="1"/>
  <c r="B47" i="30" l="1"/>
  <c r="B48" i="30" l="1"/>
  <c r="B49" i="30" l="1"/>
  <c r="B50" i="30" l="1"/>
  <c r="B51" i="30" l="1"/>
  <c r="B52" i="30" l="1"/>
  <c r="B53" i="30" l="1"/>
  <c r="B54" i="30" l="1"/>
  <c r="B55" i="30" l="1"/>
  <c r="B56" i="30" l="1"/>
  <c r="B57" i="30" l="1"/>
  <c r="B58" i="30" l="1"/>
  <c r="B59" i="30" l="1"/>
  <c r="B60" i="30" l="1"/>
  <c r="B61" i="30" l="1"/>
  <c r="B62" i="30" l="1"/>
  <c r="B63" i="30" l="1"/>
  <c r="B64" i="30" l="1"/>
  <c r="B65" i="30" l="1"/>
  <c r="B66" i="30" l="1"/>
  <c r="B67" i="30" l="1"/>
  <c r="B68" i="30" l="1"/>
  <c r="B69" i="30" l="1"/>
  <c r="B70" i="30" l="1"/>
  <c r="B71" i="30" l="1"/>
  <c r="B72" i="30" l="1"/>
  <c r="B73" i="30" l="1"/>
  <c r="B74" i="30" l="1"/>
  <c r="B75" i="30" l="1"/>
  <c r="B76" i="30" l="1"/>
  <c r="B77" i="30" l="1"/>
  <c r="B78" i="30" l="1"/>
  <c r="B79" i="30" l="1"/>
  <c r="B80" i="30" l="1"/>
  <c r="B81" i="30" l="1"/>
  <c r="B82" i="30" l="1"/>
  <c r="B83" i="30" l="1"/>
  <c r="B84" i="30" l="1"/>
  <c r="B85" i="30" l="1"/>
  <c r="B86" i="30" l="1"/>
  <c r="B87" i="30" l="1"/>
  <c r="B88" i="30" l="1"/>
  <c r="B89" i="30" l="1"/>
  <c r="B90" i="30" l="1"/>
  <c r="B91" i="30" l="1"/>
  <c r="B92" i="30" l="1"/>
  <c r="B93" i="30" l="1"/>
  <c r="B94" i="30" l="1"/>
  <c r="B95" i="30" l="1"/>
  <c r="B96" i="30" l="1"/>
  <c r="B97" i="30" l="1"/>
  <c r="B98" i="30" l="1"/>
  <c r="B99" i="30" l="1"/>
  <c r="B100" i="30" l="1"/>
  <c r="B101" i="30" l="1"/>
  <c r="B102" i="30" l="1"/>
  <c r="B103" i="30" l="1"/>
  <c r="B104" i="30" l="1"/>
  <c r="B105" i="30" l="1"/>
  <c r="B106" i="30" l="1"/>
  <c r="B107" i="30" l="1"/>
  <c r="B108" i="30" l="1"/>
  <c r="B109" i="30" l="1"/>
  <c r="B110" i="30" l="1"/>
  <c r="B111" i="30" l="1"/>
  <c r="B112" i="30" l="1"/>
  <c r="B113" i="30" l="1"/>
  <c r="B114" i="30" l="1"/>
  <c r="B115" i="30" l="1"/>
  <c r="B116" i="30" l="1"/>
  <c r="B117" i="30" l="1"/>
  <c r="B118" i="30" l="1"/>
  <c r="B119" i="30" l="1"/>
  <c r="B120" i="30" l="1"/>
  <c r="B121" i="30" l="1"/>
  <c r="B122" i="30" l="1"/>
  <c r="B123" i="30" l="1"/>
  <c r="B124" i="30" l="1"/>
  <c r="B125" i="30" l="1"/>
  <c r="B126" i="30" l="1"/>
  <c r="B127" i="30" l="1"/>
  <c r="B128" i="30" l="1"/>
  <c r="B129" i="30" l="1"/>
  <c r="B130" i="30" l="1"/>
  <c r="B131" i="30" l="1"/>
  <c r="B132" i="30" l="1"/>
  <c r="B133" i="30" l="1"/>
  <c r="B134" i="30" l="1"/>
  <c r="B135" i="30" l="1"/>
  <c r="B136" i="30" l="1"/>
  <c r="B137" i="30" l="1"/>
  <c r="B138" i="30" l="1"/>
  <c r="B139" i="30" l="1"/>
  <c r="B140" i="30" l="1"/>
  <c r="B141" i="30" l="1"/>
  <c r="B142" i="30" l="1"/>
  <c r="B143" i="30" l="1"/>
  <c r="B144" i="30" l="1"/>
  <c r="B145" i="30" l="1"/>
  <c r="B146" i="30" l="1"/>
  <c r="B147" i="30" l="1"/>
  <c r="B148" i="30" l="1"/>
  <c r="B149" i="30" l="1"/>
  <c r="B150" i="30" l="1"/>
  <c r="B151" i="30" l="1"/>
  <c r="B152" i="30" l="1"/>
  <c r="B153" i="30" l="1"/>
  <c r="B154" i="30" l="1"/>
  <c r="B155" i="30" l="1"/>
  <c r="B156" i="30" l="1"/>
  <c r="B157" i="30" l="1"/>
  <c r="B158" i="30" l="1"/>
  <c r="B159" i="30" l="1"/>
  <c r="B160" i="30" l="1"/>
  <c r="B161" i="30" l="1"/>
  <c r="B162" i="30" l="1"/>
  <c r="B163" i="30" l="1"/>
  <c r="B164" i="30" l="1"/>
  <c r="B165" i="30" l="1"/>
  <c r="B166" i="30" l="1"/>
  <c r="B167" i="30" l="1"/>
  <c r="B168" i="30" l="1"/>
  <c r="B169" i="30" l="1"/>
  <c r="B170" i="30" l="1"/>
  <c r="B171" i="30" l="1"/>
  <c r="B172" i="30" l="1"/>
  <c r="B173" i="30" l="1"/>
  <c r="B174" i="30" l="1"/>
  <c r="B175" i="30" l="1"/>
  <c r="B176" i="30" l="1"/>
  <c r="B177" i="30" l="1"/>
  <c r="B178" i="30" l="1"/>
  <c r="B179" i="30" l="1"/>
  <c r="B180" i="30" l="1"/>
  <c r="B181" i="30" l="1"/>
  <c r="B182" i="30" l="1"/>
  <c r="B183" i="30" l="1"/>
  <c r="B184" i="30" l="1"/>
  <c r="B185" i="30" l="1"/>
  <c r="B186" i="30" l="1"/>
  <c r="B187" i="30" l="1"/>
  <c r="B188" i="30" l="1"/>
  <c r="B189" i="30" l="1"/>
  <c r="B190" i="30" l="1"/>
  <c r="B191" i="30" l="1"/>
  <c r="B192" i="30" l="1"/>
  <c r="B193" i="30" l="1"/>
  <c r="B194" i="30" l="1"/>
  <c r="B195" i="30" l="1"/>
  <c r="B196" i="30" l="1"/>
  <c r="B197" i="30" l="1"/>
  <c r="B198" i="30" l="1"/>
  <c r="B199" i="30" l="1"/>
  <c r="B200" i="30" l="1"/>
  <c r="B201" i="30" l="1"/>
  <c r="B202" i="30" l="1"/>
  <c r="B203" i="30" l="1"/>
  <c r="B204" i="30" l="1"/>
  <c r="B205" i="30" l="1"/>
  <c r="B206" i="30" l="1"/>
  <c r="B207" i="30" l="1"/>
  <c r="B208" i="30" l="1"/>
  <c r="B209" i="30" l="1"/>
  <c r="B210" i="30" l="1"/>
  <c r="B211" i="30" l="1"/>
  <c r="B212" i="30" l="1"/>
  <c r="B213" i="30" l="1"/>
  <c r="B214" i="30" l="1"/>
  <c r="B215" i="30" l="1"/>
  <c r="B216" i="30" l="1"/>
  <c r="B217" i="30" l="1"/>
  <c r="B218" i="30" l="1"/>
  <c r="B219" i="30" l="1"/>
  <c r="B220" i="30" l="1"/>
  <c r="B221" i="30" l="1"/>
  <c r="B222" i="30" l="1"/>
  <c r="B223" i="30" l="1"/>
  <c r="B224" i="30" l="1"/>
  <c r="B225" i="30" l="1"/>
  <c r="B226" i="30" l="1"/>
  <c r="B227" i="30" l="1"/>
  <c r="B228" i="30" l="1"/>
  <c r="B229" i="30" l="1"/>
  <c r="B230" i="30" l="1"/>
  <c r="B231" i="30" l="1"/>
  <c r="B232" i="30" l="1"/>
  <c r="B233" i="30" l="1"/>
  <c r="B234" i="30" l="1"/>
  <c r="B235" i="30" l="1"/>
  <c r="B236" i="30" l="1"/>
  <c r="B237" i="30" l="1"/>
  <c r="B238" i="30" l="1"/>
  <c r="B239" i="30" l="1"/>
  <c r="B240" i="30" l="1"/>
  <c r="B241" i="30" l="1"/>
  <c r="B242" i="30" l="1"/>
  <c r="B243" i="30" l="1"/>
  <c r="B244" i="30" l="1"/>
  <c r="B245" i="30" l="1"/>
  <c r="B246" i="30" l="1"/>
  <c r="B247" i="30" l="1"/>
  <c r="B248" i="30" l="1"/>
  <c r="B249" i="30" l="1"/>
  <c r="B250" i="30" l="1"/>
  <c r="B251" i="30" l="1"/>
  <c r="B252" i="30" l="1"/>
  <c r="B253" i="30" l="1"/>
  <c r="B254" i="30" l="1"/>
  <c r="B255" i="30" l="1"/>
  <c r="B256" i="30" l="1"/>
  <c r="B257" i="30" l="1"/>
  <c r="B258" i="30" l="1"/>
  <c r="B259" i="30" l="1"/>
  <c r="B260" i="30" l="1"/>
  <c r="B261" i="30" l="1"/>
  <c r="B262" i="30" l="1"/>
  <c r="B263" i="30" l="1"/>
  <c r="B264" i="30" l="1"/>
  <c r="B265" i="30" l="1"/>
  <c r="B266" i="30" l="1"/>
  <c r="B267" i="30" l="1"/>
  <c r="B268" i="30" l="1"/>
  <c r="B269" i="30" l="1"/>
  <c r="B270" i="30" l="1"/>
  <c r="B271" i="30" l="1"/>
  <c r="B272" i="30" l="1"/>
  <c r="B273" i="30" l="1"/>
  <c r="B274" i="30" l="1"/>
  <c r="B275" i="30" l="1"/>
  <c r="B276" i="30" l="1"/>
  <c r="B277" i="30" l="1"/>
  <c r="B278" i="30" l="1"/>
  <c r="B279" i="30" l="1"/>
  <c r="B280" i="30" l="1"/>
  <c r="B281" i="30" l="1"/>
  <c r="B282" i="30" l="1"/>
  <c r="B283" i="30" l="1"/>
  <c r="B284" i="30" l="1"/>
  <c r="B285" i="30" l="1"/>
  <c r="B286" i="30" l="1"/>
  <c r="B287" i="30" l="1"/>
  <c r="B288" i="30" l="1"/>
  <c r="B289" i="30" l="1"/>
  <c r="B290" i="30" l="1"/>
  <c r="B291" i="30" l="1"/>
  <c r="B292" i="30" l="1"/>
  <c r="B293" i="30" l="1"/>
  <c r="B294" i="30" l="1"/>
  <c r="B295" i="30" l="1"/>
  <c r="B296" i="30" l="1"/>
  <c r="B297" i="30" l="1"/>
  <c r="B298" i="30" l="1"/>
  <c r="B299" i="30" l="1"/>
  <c r="B300" i="30" l="1"/>
  <c r="B301" i="30" l="1"/>
  <c r="B302" i="30" l="1"/>
  <c r="B303" i="30" l="1"/>
  <c r="B304" i="30" l="1"/>
  <c r="B305" i="30" l="1"/>
  <c r="B306" i="30" l="1"/>
  <c r="B307" i="30" l="1"/>
  <c r="B308" i="30" l="1"/>
  <c r="B309" i="30" l="1"/>
  <c r="B310" i="30" l="1"/>
  <c r="B311" i="30" l="1"/>
  <c r="B312" i="30" l="1"/>
  <c r="B313" i="30" l="1"/>
  <c r="B314" i="30" l="1"/>
  <c r="B315" i="30" l="1"/>
  <c r="B316" i="30" l="1"/>
  <c r="B317" i="30" l="1"/>
  <c r="B318" i="30" l="1"/>
  <c r="B319" i="30" l="1"/>
  <c r="B320" i="30" l="1"/>
  <c r="B321" i="30" l="1"/>
  <c r="B322" i="30" l="1"/>
  <c r="B323" i="30" l="1"/>
  <c r="B324" i="30" l="1"/>
  <c r="B325" i="30" l="1"/>
  <c r="B326" i="30" l="1"/>
  <c r="B327" i="30" l="1"/>
  <c r="B328" i="30" l="1"/>
  <c r="B329" i="30" l="1"/>
  <c r="B330" i="30" l="1"/>
  <c r="B331" i="30" l="1"/>
  <c r="B332" i="30" l="1"/>
  <c r="B333" i="30" l="1"/>
  <c r="B334" i="30" l="1"/>
  <c r="B335" i="30" l="1"/>
  <c r="B336" i="30" l="1"/>
  <c r="B337" i="30" l="1"/>
  <c r="B338" i="30" l="1"/>
  <c r="B339" i="30" l="1"/>
  <c r="B340" i="30" l="1"/>
  <c r="B341" i="30" l="1"/>
  <c r="B342" i="30" l="1"/>
  <c r="B343" i="30" l="1"/>
  <c r="B344" i="30" l="1"/>
  <c r="B345" i="30" l="1"/>
  <c r="B346" i="30" l="1"/>
  <c r="B347" i="30" l="1"/>
  <c r="B348" i="30" l="1"/>
  <c r="B349" i="30" l="1"/>
  <c r="B350" i="30" l="1"/>
  <c r="B351" i="30" l="1"/>
  <c r="B352" i="30" l="1"/>
  <c r="B353" i="30" l="1"/>
  <c r="B354" i="30" l="1"/>
  <c r="B355" i="30" l="1"/>
  <c r="B356" i="30" l="1"/>
  <c r="B357" i="30" l="1"/>
  <c r="B358" i="30" l="1"/>
  <c r="B359" i="30" l="1"/>
  <c r="B360" i="30" l="1"/>
  <c r="B361" i="30" l="1"/>
  <c r="B362" i="30" l="1"/>
  <c r="B363" i="30" l="1"/>
  <c r="B364" i="30" l="1"/>
  <c r="B365" i="30" l="1"/>
  <c r="B366" i="30" l="1"/>
  <c r="B367" i="30" l="1"/>
  <c r="B368" i="30" l="1"/>
  <c r="B369" i="30" l="1"/>
  <c r="B370" i="30" l="1"/>
  <c r="B371" i="30" l="1"/>
  <c r="K37" i="10" l="1"/>
  <c r="K38" i="10"/>
  <c r="K42" i="10"/>
  <c r="K43" i="10"/>
  <c r="K44" i="10"/>
  <c r="D42" i="1"/>
  <c r="H38" i="11" l="1"/>
  <c r="H37" i="11"/>
  <c r="H36" i="11"/>
  <c r="H35" i="11"/>
  <c r="H31" i="11"/>
  <c r="H30" i="11"/>
  <c r="H29" i="11"/>
  <c r="H25" i="11"/>
  <c r="H23" i="11"/>
  <c r="H22" i="11"/>
  <c r="H17" i="11"/>
  <c r="H18" i="11"/>
  <c r="H16" i="11"/>
  <c r="H14" i="11"/>
  <c r="J22" i="11" l="1"/>
  <c r="K22" i="11" s="1"/>
  <c r="D22" i="11" l="1"/>
  <c r="L22" i="11"/>
  <c r="F35" i="7"/>
  <c r="L24" i="7"/>
  <c r="F24" i="7" s="1"/>
  <c r="H25" i="7"/>
  <c r="L25" i="7" l="1"/>
  <c r="F25" i="7" s="1"/>
  <c r="D35" i="1"/>
  <c r="D37" i="1"/>
  <c r="D38" i="1"/>
  <c r="D43" i="1"/>
  <c r="D44" i="1"/>
  <c r="D45" i="1"/>
  <c r="D46" i="1"/>
  <c r="D50" i="1"/>
  <c r="D51" i="1"/>
  <c r="D52" i="1"/>
  <c r="D53" i="1"/>
  <c r="D57" i="1"/>
  <c r="D58" i="1"/>
  <c r="D59" i="1"/>
  <c r="D60" i="1"/>
  <c r="D64" i="1"/>
  <c r="D65" i="1"/>
  <c r="D66" i="1"/>
  <c r="D67" i="1"/>
  <c r="D36" i="1"/>
  <c r="D36" i="4"/>
  <c r="D37" i="4"/>
  <c r="D38" i="4"/>
  <c r="D42" i="4"/>
  <c r="D43" i="4"/>
  <c r="D44" i="4"/>
  <c r="D45" i="4"/>
  <c r="D46" i="4"/>
  <c r="D49" i="4"/>
  <c r="D50" i="4"/>
  <c r="D51" i="4"/>
  <c r="D52" i="4"/>
  <c r="D53" i="4"/>
  <c r="D56" i="4"/>
  <c r="D57" i="4"/>
  <c r="D58" i="4"/>
  <c r="D59" i="4"/>
  <c r="D60" i="4"/>
  <c r="D63" i="4"/>
  <c r="D64" i="4"/>
  <c r="D65" i="4"/>
  <c r="D66" i="4"/>
  <c r="D67" i="4"/>
  <c r="D35" i="4"/>
  <c r="D36" i="12"/>
  <c r="I36" i="12"/>
  <c r="K36" i="12" s="1"/>
  <c r="J36" i="12"/>
  <c r="L36" i="12" s="1"/>
  <c r="D37" i="12"/>
  <c r="I37" i="12"/>
  <c r="K37" i="12" s="1"/>
  <c r="J37" i="12"/>
  <c r="L37" i="12" s="1"/>
  <c r="D38" i="12"/>
  <c r="I38" i="12"/>
  <c r="K38" i="12" s="1"/>
  <c r="J38" i="12"/>
  <c r="L38" i="12" s="1"/>
  <c r="D42" i="12"/>
  <c r="I42" i="12"/>
  <c r="K42" i="12" s="1"/>
  <c r="J42" i="12"/>
  <c r="L42" i="12" s="1"/>
  <c r="D43" i="12"/>
  <c r="I43" i="12"/>
  <c r="K43" i="12" s="1"/>
  <c r="J43" i="12"/>
  <c r="L43" i="12" s="1"/>
  <c r="D44" i="12"/>
  <c r="I44" i="12"/>
  <c r="K44" i="12" s="1"/>
  <c r="J44" i="12"/>
  <c r="L44" i="12" s="1"/>
  <c r="D45" i="12"/>
  <c r="I45" i="12"/>
  <c r="K45" i="12" s="1"/>
  <c r="J45" i="12"/>
  <c r="L45" i="12" s="1"/>
  <c r="D46" i="12"/>
  <c r="I46" i="12"/>
  <c r="K46" i="12" s="1"/>
  <c r="J46" i="12"/>
  <c r="L46" i="12" s="1"/>
  <c r="D49" i="12"/>
  <c r="I49" i="12"/>
  <c r="K49" i="12" s="1"/>
  <c r="J49" i="12"/>
  <c r="L49" i="12" s="1"/>
  <c r="D50" i="12"/>
  <c r="I50" i="12"/>
  <c r="K50" i="12" s="1"/>
  <c r="J50" i="12"/>
  <c r="L50" i="12" s="1"/>
  <c r="D51" i="12"/>
  <c r="I51" i="12"/>
  <c r="K51" i="12" s="1"/>
  <c r="J51" i="12"/>
  <c r="L51" i="12" s="1"/>
  <c r="D52" i="12"/>
  <c r="I52" i="12"/>
  <c r="K52" i="12" s="1"/>
  <c r="J52" i="12"/>
  <c r="L52" i="12" s="1"/>
  <c r="D53" i="12"/>
  <c r="I53" i="12"/>
  <c r="K53" i="12" s="1"/>
  <c r="J53" i="12"/>
  <c r="L53" i="12" s="1"/>
  <c r="D56" i="12"/>
  <c r="I56" i="12"/>
  <c r="K56" i="12" s="1"/>
  <c r="J56" i="12"/>
  <c r="L56" i="12" s="1"/>
  <c r="D57" i="12"/>
  <c r="I57" i="12"/>
  <c r="K57" i="12" s="1"/>
  <c r="J57" i="12"/>
  <c r="L57" i="12" s="1"/>
  <c r="D58" i="12"/>
  <c r="I58" i="12"/>
  <c r="K58" i="12" s="1"/>
  <c r="J58" i="12"/>
  <c r="L58" i="12" s="1"/>
  <c r="D59" i="12"/>
  <c r="I59" i="12"/>
  <c r="K59" i="12" s="1"/>
  <c r="J59" i="12"/>
  <c r="L59" i="12" s="1"/>
  <c r="D60" i="12"/>
  <c r="I60" i="12"/>
  <c r="K60" i="12" s="1"/>
  <c r="J60" i="12"/>
  <c r="L60" i="12" s="1"/>
  <c r="D63" i="12"/>
  <c r="I63" i="12"/>
  <c r="K63" i="12" s="1"/>
  <c r="J63" i="12"/>
  <c r="L63" i="12" s="1"/>
  <c r="D64" i="12"/>
  <c r="I64" i="12"/>
  <c r="K64" i="12" s="1"/>
  <c r="J64" i="12"/>
  <c r="L64" i="12" s="1"/>
  <c r="D65" i="12"/>
  <c r="I65" i="12"/>
  <c r="K65" i="12" s="1"/>
  <c r="J65" i="12"/>
  <c r="L65" i="12" s="1"/>
  <c r="D66" i="12"/>
  <c r="I66" i="12"/>
  <c r="K66" i="12" s="1"/>
  <c r="J66" i="12"/>
  <c r="L66" i="12" s="1"/>
  <c r="D67" i="12"/>
  <c r="I67" i="12"/>
  <c r="K67" i="12" s="1"/>
  <c r="J67" i="12"/>
  <c r="L67" i="12" s="1"/>
  <c r="J35" i="12"/>
  <c r="L35" i="12" s="1"/>
  <c r="I35" i="12"/>
  <c r="K35" i="12" s="1"/>
  <c r="D35" i="12"/>
  <c r="E65" i="2"/>
  <c r="I65" i="2"/>
  <c r="E66" i="2"/>
  <c r="I66" i="2"/>
  <c r="E67" i="2"/>
  <c r="I67" i="2"/>
  <c r="E36" i="2"/>
  <c r="I36" i="2"/>
  <c r="E37" i="2"/>
  <c r="I37" i="2"/>
  <c r="E38" i="2"/>
  <c r="I38" i="2"/>
  <c r="E42" i="2"/>
  <c r="I42" i="2"/>
  <c r="E43" i="2"/>
  <c r="I43" i="2"/>
  <c r="E44" i="2"/>
  <c r="I44" i="2"/>
  <c r="E45" i="2"/>
  <c r="I45" i="2"/>
  <c r="E46" i="2"/>
  <c r="I46" i="2"/>
  <c r="E49" i="2"/>
  <c r="I49" i="2"/>
  <c r="E50" i="2"/>
  <c r="I50" i="2"/>
  <c r="E51" i="2"/>
  <c r="I51" i="2"/>
  <c r="E52" i="2"/>
  <c r="I52" i="2"/>
  <c r="E53" i="2"/>
  <c r="I53" i="2"/>
  <c r="E56" i="2"/>
  <c r="I56" i="2"/>
  <c r="E57" i="2"/>
  <c r="I57" i="2"/>
  <c r="E58" i="2"/>
  <c r="I58" i="2"/>
  <c r="E60" i="2"/>
  <c r="I60" i="2"/>
  <c r="E63" i="2"/>
  <c r="I63" i="2"/>
  <c r="E64" i="2"/>
  <c r="I64" i="2"/>
  <c r="I35" i="2"/>
  <c r="E35" i="2"/>
  <c r="J36" i="11"/>
  <c r="J37" i="11"/>
  <c r="J38" i="11"/>
  <c r="J42" i="11"/>
  <c r="J43" i="11"/>
  <c r="K43" i="11" s="1"/>
  <c r="J44" i="11"/>
  <c r="K44" i="11" s="1"/>
  <c r="J45" i="11"/>
  <c r="K45" i="11" s="1"/>
  <c r="J46" i="11"/>
  <c r="K46" i="11" s="1"/>
  <c r="J49" i="11"/>
  <c r="K49" i="11" s="1"/>
  <c r="J50" i="11"/>
  <c r="K50" i="11" s="1"/>
  <c r="J51" i="11"/>
  <c r="K51" i="11" s="1"/>
  <c r="J52" i="11"/>
  <c r="K52" i="11" s="1"/>
  <c r="J53" i="11"/>
  <c r="K53" i="11" s="1"/>
  <c r="J56" i="11"/>
  <c r="K56" i="11" s="1"/>
  <c r="J57" i="11"/>
  <c r="K57" i="11" s="1"/>
  <c r="J58" i="11"/>
  <c r="K58" i="11" s="1"/>
  <c r="J59" i="11"/>
  <c r="K59" i="11" s="1"/>
  <c r="J60" i="11"/>
  <c r="K60" i="11" s="1"/>
  <c r="J63" i="11"/>
  <c r="K63" i="11" s="1"/>
  <c r="J64" i="11"/>
  <c r="K64" i="11" s="1"/>
  <c r="J65" i="11"/>
  <c r="K65" i="11" s="1"/>
  <c r="J66" i="11"/>
  <c r="K66" i="11" s="1"/>
  <c r="J67" i="11"/>
  <c r="K67" i="11" s="1"/>
  <c r="J35" i="11"/>
  <c r="I36" i="10"/>
  <c r="J36" i="10" s="1"/>
  <c r="I37" i="10"/>
  <c r="J37" i="10" s="1"/>
  <c r="I38" i="10"/>
  <c r="J38" i="10" s="1"/>
  <c r="I42" i="10"/>
  <c r="J42" i="10" s="1"/>
  <c r="I43" i="10"/>
  <c r="J43" i="10" s="1"/>
  <c r="I44" i="10"/>
  <c r="J44" i="10" s="1"/>
  <c r="I45" i="10"/>
  <c r="J45" i="10" s="1"/>
  <c r="I46" i="10"/>
  <c r="J46" i="10" s="1"/>
  <c r="I49" i="10"/>
  <c r="J49" i="10" s="1"/>
  <c r="I50" i="10"/>
  <c r="J50" i="10" s="1"/>
  <c r="I51" i="10"/>
  <c r="J51" i="10" s="1"/>
  <c r="I52" i="10"/>
  <c r="J52" i="10" s="1"/>
  <c r="I53" i="10"/>
  <c r="J53" i="10" s="1"/>
  <c r="P53" i="10" s="1"/>
  <c r="I56" i="10"/>
  <c r="J56" i="10" s="1"/>
  <c r="I57" i="10"/>
  <c r="J57" i="10" s="1"/>
  <c r="I58" i="10"/>
  <c r="J58" i="10" s="1"/>
  <c r="I59" i="10"/>
  <c r="J59" i="10" s="1"/>
  <c r="I60" i="10"/>
  <c r="J60" i="10" s="1"/>
  <c r="D63" i="10"/>
  <c r="I64" i="10"/>
  <c r="J64" i="10" s="1"/>
  <c r="I65" i="10"/>
  <c r="J65" i="10" s="1"/>
  <c r="I66" i="10"/>
  <c r="J66" i="10" s="1"/>
  <c r="I67" i="10"/>
  <c r="J67" i="10" s="1"/>
  <c r="I35" i="10"/>
  <c r="J35" i="10" s="1"/>
  <c r="D36" i="16"/>
  <c r="H36" i="16"/>
  <c r="D37" i="16"/>
  <c r="H37" i="16"/>
  <c r="D38" i="16"/>
  <c r="H38" i="16"/>
  <c r="D42" i="16"/>
  <c r="H42" i="16"/>
  <c r="D43" i="16"/>
  <c r="H43" i="16"/>
  <c r="D44" i="16"/>
  <c r="H44" i="16"/>
  <c r="D45" i="16"/>
  <c r="H45" i="16"/>
  <c r="D46" i="16"/>
  <c r="H46" i="16"/>
  <c r="D49" i="16"/>
  <c r="H49" i="16"/>
  <c r="D50" i="16"/>
  <c r="H50" i="16"/>
  <c r="D51" i="16"/>
  <c r="H51" i="16"/>
  <c r="D52" i="16"/>
  <c r="H52" i="16"/>
  <c r="D53" i="16"/>
  <c r="H53" i="16"/>
  <c r="D56" i="16"/>
  <c r="H56" i="16"/>
  <c r="D57" i="16"/>
  <c r="H57" i="16"/>
  <c r="D58" i="16"/>
  <c r="H58" i="16"/>
  <c r="D60" i="16"/>
  <c r="H60" i="16"/>
  <c r="D63" i="16"/>
  <c r="H63" i="16"/>
  <c r="D64" i="16"/>
  <c r="H64" i="16"/>
  <c r="D65" i="16"/>
  <c r="H65" i="16"/>
  <c r="D66" i="16"/>
  <c r="H66" i="16"/>
  <c r="D67" i="16"/>
  <c r="H67" i="16"/>
  <c r="H35" i="16"/>
  <c r="D35" i="16"/>
  <c r="D36" i="7"/>
  <c r="N37" i="7" s="1"/>
  <c r="F36" i="7"/>
  <c r="D37" i="7"/>
  <c r="N38" i="7" s="1"/>
  <c r="F37" i="7"/>
  <c r="D38" i="7"/>
  <c r="F38" i="7"/>
  <c r="D42" i="7"/>
  <c r="N43" i="7" s="1"/>
  <c r="F42" i="7"/>
  <c r="D43" i="7"/>
  <c r="N44" i="7" s="1"/>
  <c r="F43" i="7"/>
  <c r="D44" i="7"/>
  <c r="N45" i="7" s="1"/>
  <c r="F44" i="7"/>
  <c r="D45" i="7"/>
  <c r="N46" i="7" s="1"/>
  <c r="F45" i="7"/>
  <c r="D46" i="7"/>
  <c r="F46" i="7"/>
  <c r="D49" i="7"/>
  <c r="N50" i="7" s="1"/>
  <c r="F49" i="7"/>
  <c r="D50" i="7"/>
  <c r="N51" i="7" s="1"/>
  <c r="F50" i="7"/>
  <c r="D51" i="7"/>
  <c r="N52" i="7" s="1"/>
  <c r="F51" i="7"/>
  <c r="D52" i="7"/>
  <c r="N53" i="7" s="1"/>
  <c r="F52" i="7"/>
  <c r="D53" i="7"/>
  <c r="F53" i="7"/>
  <c r="D56" i="7"/>
  <c r="N57" i="7" s="1"/>
  <c r="F56" i="7"/>
  <c r="D57" i="7"/>
  <c r="N58" i="7" s="1"/>
  <c r="F57" i="7"/>
  <c r="D58" i="7"/>
  <c r="N59" i="7" s="1"/>
  <c r="F58" i="7"/>
  <c r="D59" i="7"/>
  <c r="F59" i="7"/>
  <c r="D63" i="7"/>
  <c r="F63" i="7"/>
  <c r="D65" i="7"/>
  <c r="F65" i="7"/>
  <c r="D66" i="7"/>
  <c r="F66" i="7"/>
  <c r="D67" i="7"/>
  <c r="F67" i="7"/>
  <c r="D35" i="7"/>
  <c r="N36" i="7" s="1"/>
  <c r="J36" i="5"/>
  <c r="K36" i="5" s="1"/>
  <c r="D36" i="5" s="1"/>
  <c r="L36" i="5"/>
  <c r="N36" i="5" s="1"/>
  <c r="M36" i="5"/>
  <c r="O36" i="5" s="1"/>
  <c r="P36" i="5"/>
  <c r="J37" i="5"/>
  <c r="K37" i="5" s="1"/>
  <c r="D37" i="5" s="1"/>
  <c r="L37" i="5"/>
  <c r="N37" i="5" s="1"/>
  <c r="M37" i="5"/>
  <c r="O37" i="5" s="1"/>
  <c r="P37" i="5"/>
  <c r="J38" i="5"/>
  <c r="K38" i="5" s="1"/>
  <c r="D38" i="5" s="1"/>
  <c r="L38" i="5"/>
  <c r="N38" i="5" s="1"/>
  <c r="M38" i="5"/>
  <c r="O38" i="5" s="1"/>
  <c r="P38" i="5"/>
  <c r="J42" i="5"/>
  <c r="K42" i="5" s="1"/>
  <c r="D42" i="5" s="1"/>
  <c r="L42" i="5"/>
  <c r="N42" i="5" s="1"/>
  <c r="M42" i="5"/>
  <c r="O42" i="5" s="1"/>
  <c r="P42" i="5"/>
  <c r="J43" i="5"/>
  <c r="K43" i="5" s="1"/>
  <c r="D43" i="5" s="1"/>
  <c r="L43" i="5"/>
  <c r="N43" i="5" s="1"/>
  <c r="M43" i="5"/>
  <c r="O43" i="5" s="1"/>
  <c r="P43" i="5"/>
  <c r="J44" i="5"/>
  <c r="K44" i="5" s="1"/>
  <c r="D44" i="5" s="1"/>
  <c r="L44" i="5"/>
  <c r="N44" i="5" s="1"/>
  <c r="M44" i="5"/>
  <c r="O44" i="5" s="1"/>
  <c r="P44" i="5"/>
  <c r="J45" i="5"/>
  <c r="K45" i="5" s="1"/>
  <c r="D45" i="5" s="1"/>
  <c r="L45" i="5"/>
  <c r="N45" i="5" s="1"/>
  <c r="M45" i="5"/>
  <c r="O45" i="5" s="1"/>
  <c r="P45" i="5"/>
  <c r="J46" i="5"/>
  <c r="K46" i="5" s="1"/>
  <c r="D46" i="5" s="1"/>
  <c r="L46" i="5"/>
  <c r="N46" i="5" s="1"/>
  <c r="M46" i="5"/>
  <c r="O46" i="5" s="1"/>
  <c r="P46" i="5"/>
  <c r="J49" i="5"/>
  <c r="K49" i="5" s="1"/>
  <c r="D49" i="5" s="1"/>
  <c r="L49" i="5"/>
  <c r="N49" i="5" s="1"/>
  <c r="M49" i="5"/>
  <c r="O49" i="5" s="1"/>
  <c r="P49" i="5"/>
  <c r="J50" i="5"/>
  <c r="K50" i="5" s="1"/>
  <c r="D50" i="5" s="1"/>
  <c r="L50" i="5"/>
  <c r="N50" i="5" s="1"/>
  <c r="M50" i="5"/>
  <c r="O50" i="5" s="1"/>
  <c r="P50" i="5"/>
  <c r="J51" i="5"/>
  <c r="K51" i="5" s="1"/>
  <c r="D51" i="5" s="1"/>
  <c r="L51" i="5"/>
  <c r="N51" i="5" s="1"/>
  <c r="M51" i="5"/>
  <c r="O51" i="5" s="1"/>
  <c r="P51" i="5"/>
  <c r="J52" i="5"/>
  <c r="K52" i="5" s="1"/>
  <c r="D52" i="5" s="1"/>
  <c r="L52" i="5"/>
  <c r="N52" i="5" s="1"/>
  <c r="M52" i="5"/>
  <c r="O52" i="5" s="1"/>
  <c r="P52" i="5"/>
  <c r="J53" i="5"/>
  <c r="K53" i="5" s="1"/>
  <c r="D53" i="5" s="1"/>
  <c r="L53" i="5"/>
  <c r="N53" i="5" s="1"/>
  <c r="M53" i="5"/>
  <c r="O53" i="5" s="1"/>
  <c r="P53" i="5"/>
  <c r="J56" i="5"/>
  <c r="K56" i="5" s="1"/>
  <c r="D56" i="5" s="1"/>
  <c r="L56" i="5"/>
  <c r="N56" i="5" s="1"/>
  <c r="M56" i="5"/>
  <c r="O56" i="5" s="1"/>
  <c r="P56" i="5"/>
  <c r="J57" i="5"/>
  <c r="K57" i="5" s="1"/>
  <c r="D57" i="5" s="1"/>
  <c r="L57" i="5"/>
  <c r="N57" i="5" s="1"/>
  <c r="M57" i="5"/>
  <c r="O57" i="5" s="1"/>
  <c r="P57" i="5"/>
  <c r="J58" i="5"/>
  <c r="K58" i="5" s="1"/>
  <c r="D58" i="5" s="1"/>
  <c r="L58" i="5"/>
  <c r="N58" i="5" s="1"/>
  <c r="M58" i="5"/>
  <c r="O58" i="5" s="1"/>
  <c r="P58" i="5"/>
  <c r="J59" i="5"/>
  <c r="K59" i="5" s="1"/>
  <c r="D59" i="5" s="1"/>
  <c r="L59" i="5"/>
  <c r="N59" i="5" s="1"/>
  <c r="M59" i="5"/>
  <c r="O59" i="5" s="1"/>
  <c r="P59" i="5"/>
  <c r="J60" i="5"/>
  <c r="K60" i="5" s="1"/>
  <c r="D60" i="5" s="1"/>
  <c r="L60" i="5"/>
  <c r="N60" i="5" s="1"/>
  <c r="M60" i="5"/>
  <c r="O60" i="5" s="1"/>
  <c r="P60" i="5"/>
  <c r="J63" i="5"/>
  <c r="K63" i="5" s="1"/>
  <c r="D63" i="5" s="1"/>
  <c r="L63" i="5"/>
  <c r="N63" i="5" s="1"/>
  <c r="M63" i="5"/>
  <c r="O63" i="5" s="1"/>
  <c r="P63" i="5"/>
  <c r="J64" i="5"/>
  <c r="K64" i="5" s="1"/>
  <c r="D64" i="5" s="1"/>
  <c r="L64" i="5"/>
  <c r="N64" i="5" s="1"/>
  <c r="M64" i="5"/>
  <c r="O64" i="5" s="1"/>
  <c r="P64" i="5"/>
  <c r="J65" i="5"/>
  <c r="K65" i="5" s="1"/>
  <c r="D65" i="5" s="1"/>
  <c r="L65" i="5"/>
  <c r="N65" i="5" s="1"/>
  <c r="M65" i="5"/>
  <c r="O65" i="5" s="1"/>
  <c r="P65" i="5"/>
  <c r="J66" i="5"/>
  <c r="K66" i="5" s="1"/>
  <c r="D66" i="5" s="1"/>
  <c r="L66" i="5"/>
  <c r="N66" i="5" s="1"/>
  <c r="M66" i="5"/>
  <c r="O66" i="5" s="1"/>
  <c r="P66" i="5"/>
  <c r="J67" i="5"/>
  <c r="K67" i="5" s="1"/>
  <c r="D67" i="5" s="1"/>
  <c r="L67" i="5"/>
  <c r="N67" i="5" s="1"/>
  <c r="M67" i="5"/>
  <c r="O67" i="5" s="1"/>
  <c r="P67" i="5"/>
  <c r="P35" i="5"/>
  <c r="M35" i="5"/>
  <c r="O35" i="5" s="1"/>
  <c r="L35" i="5"/>
  <c r="N35" i="5" s="1"/>
  <c r="J35" i="5"/>
  <c r="K35" i="5" s="1"/>
  <c r="D35" i="5" s="1"/>
  <c r="K64" i="3"/>
  <c r="D64" i="3" s="1"/>
  <c r="L64" i="3"/>
  <c r="K65" i="3"/>
  <c r="D65" i="3" s="1"/>
  <c r="L65" i="3"/>
  <c r="K66" i="3"/>
  <c r="D66" i="3" s="1"/>
  <c r="L66" i="3"/>
  <c r="K67" i="3"/>
  <c r="D67" i="3" s="1"/>
  <c r="L67" i="3"/>
  <c r="K44" i="3"/>
  <c r="D44" i="3" s="1"/>
  <c r="L44" i="3"/>
  <c r="K45" i="3"/>
  <c r="D45" i="3" s="1"/>
  <c r="L45" i="3"/>
  <c r="K46" i="3"/>
  <c r="D46" i="3" s="1"/>
  <c r="L46" i="3"/>
  <c r="K49" i="3"/>
  <c r="D49" i="3" s="1"/>
  <c r="L49" i="3"/>
  <c r="K50" i="3"/>
  <c r="D50" i="3" s="1"/>
  <c r="L50" i="3"/>
  <c r="K51" i="3"/>
  <c r="D51" i="3" s="1"/>
  <c r="L51" i="3"/>
  <c r="K52" i="3"/>
  <c r="D52" i="3" s="1"/>
  <c r="L52" i="3"/>
  <c r="K53" i="3"/>
  <c r="D53" i="3" s="1"/>
  <c r="L53" i="3"/>
  <c r="K56" i="3"/>
  <c r="D56" i="3" s="1"/>
  <c r="L56" i="3"/>
  <c r="K57" i="3"/>
  <c r="D57" i="3" s="1"/>
  <c r="L57" i="3"/>
  <c r="K58" i="3"/>
  <c r="D58" i="3" s="1"/>
  <c r="L58" i="3"/>
  <c r="K59" i="3"/>
  <c r="D59" i="3" s="1"/>
  <c r="L59" i="3"/>
  <c r="K60" i="3"/>
  <c r="D60" i="3" s="1"/>
  <c r="L60" i="3"/>
  <c r="D63" i="3"/>
  <c r="L63" i="3"/>
  <c r="K36" i="3"/>
  <c r="D36" i="3" s="1"/>
  <c r="L36" i="3"/>
  <c r="K37" i="3"/>
  <c r="D37" i="3" s="1"/>
  <c r="L37" i="3"/>
  <c r="K38" i="3"/>
  <c r="D38" i="3" s="1"/>
  <c r="L38" i="3"/>
  <c r="K42" i="3"/>
  <c r="D42" i="3" s="1"/>
  <c r="L42" i="3"/>
  <c r="K43" i="3"/>
  <c r="D43" i="3" s="1"/>
  <c r="L43" i="3"/>
  <c r="K35" i="3"/>
  <c r="D35" i="3" s="1"/>
  <c r="L35" i="3"/>
  <c r="P49" i="10" l="1"/>
  <c r="P50" i="10"/>
  <c r="P51" i="10"/>
  <c r="P52" i="10"/>
  <c r="D65" i="10"/>
  <c r="D53" i="10"/>
  <c r="D43" i="10"/>
  <c r="D64" i="10"/>
  <c r="D52" i="10"/>
  <c r="D42" i="10"/>
  <c r="D51" i="10"/>
  <c r="D38" i="10"/>
  <c r="D60" i="10"/>
  <c r="D50" i="10"/>
  <c r="D37" i="10"/>
  <c r="D59" i="10"/>
  <c r="D49" i="10"/>
  <c r="D36" i="10"/>
  <c r="D58" i="10"/>
  <c r="D46" i="10"/>
  <c r="D67" i="10"/>
  <c r="D57" i="10"/>
  <c r="D45" i="10"/>
  <c r="D66" i="10"/>
  <c r="D56" i="10"/>
  <c r="D44" i="10"/>
  <c r="D53" i="11"/>
  <c r="L53" i="11"/>
  <c r="D64" i="11"/>
  <c r="L64" i="11"/>
  <c r="D52" i="11"/>
  <c r="L52" i="11"/>
  <c r="L43" i="11"/>
  <c r="D43" i="11"/>
  <c r="D63" i="11"/>
  <c r="L63" i="11"/>
  <c r="D51" i="11"/>
  <c r="L51" i="11"/>
  <c r="D60" i="11"/>
  <c r="L60" i="11"/>
  <c r="L50" i="11"/>
  <c r="D50" i="11"/>
  <c r="L65" i="11"/>
  <c r="D65" i="11"/>
  <c r="L59" i="11"/>
  <c r="D59" i="11"/>
  <c r="D49" i="11"/>
  <c r="L49" i="11"/>
  <c r="L46" i="11"/>
  <c r="D46" i="11"/>
  <c r="L67" i="11"/>
  <c r="D67" i="11"/>
  <c r="D57" i="11"/>
  <c r="L57" i="11"/>
  <c r="D45" i="11"/>
  <c r="L45" i="11"/>
  <c r="L58" i="11"/>
  <c r="D58" i="11"/>
  <c r="L66" i="11"/>
  <c r="D66" i="11"/>
  <c r="D56" i="11"/>
  <c r="L56" i="11"/>
  <c r="D44" i="11"/>
  <c r="L44" i="11"/>
  <c r="K42" i="11"/>
  <c r="K37" i="11"/>
  <c r="K36" i="11"/>
  <c r="K35" i="11"/>
  <c r="K38" i="11"/>
  <c r="D35" i="10"/>
  <c r="L42" i="11" l="1"/>
  <c r="D42" i="11"/>
  <c r="L37" i="11"/>
  <c r="D37" i="11"/>
  <c r="D38" i="11"/>
  <c r="L38" i="11"/>
  <c r="L35" i="11"/>
  <c r="D35" i="11"/>
  <c r="L36" i="11"/>
  <c r="D36" i="11"/>
  <c r="I32" i="2"/>
  <c r="I31" i="2"/>
  <c r="I30" i="2"/>
  <c r="I29" i="2"/>
  <c r="I25" i="2"/>
  <c r="I24" i="2"/>
  <c r="I23" i="2"/>
  <c r="I22" i="2"/>
  <c r="I21" i="2"/>
  <c r="I18" i="2"/>
  <c r="I17" i="2"/>
  <c r="I16" i="2"/>
  <c r="H15" i="16"/>
  <c r="H16" i="16"/>
  <c r="H17" i="16"/>
  <c r="H18" i="16"/>
  <c r="H21" i="16"/>
  <c r="H22" i="16"/>
  <c r="H23" i="16"/>
  <c r="H24" i="16"/>
  <c r="H25" i="16"/>
  <c r="H29" i="16"/>
  <c r="H30" i="16"/>
  <c r="H31" i="16"/>
  <c r="H32" i="16"/>
  <c r="H14" i="16"/>
  <c r="D32" i="1"/>
  <c r="D32" i="4"/>
  <c r="D32" i="12"/>
  <c r="I32" i="12"/>
  <c r="K32" i="12" s="1"/>
  <c r="J32" i="12"/>
  <c r="L32" i="12" s="1"/>
  <c r="E32" i="2"/>
  <c r="D32" i="16"/>
  <c r="D32" i="7"/>
  <c r="F32" i="7"/>
  <c r="K32" i="5"/>
  <c r="D32" i="5" s="1"/>
  <c r="L32" i="5"/>
  <c r="N32" i="5" s="1"/>
  <c r="M32" i="5"/>
  <c r="O32" i="5" s="1"/>
  <c r="P32" i="5"/>
  <c r="D31" i="4"/>
  <c r="D31" i="12"/>
  <c r="I31" i="12"/>
  <c r="K31" i="12" s="1"/>
  <c r="J31" i="12"/>
  <c r="L31" i="12" s="1"/>
  <c r="E31" i="2"/>
  <c r="D31" i="1"/>
  <c r="J31" i="11"/>
  <c r="I31" i="10"/>
  <c r="J31" i="10" s="1"/>
  <c r="D31" i="16"/>
  <c r="D31" i="7"/>
  <c r="F31" i="7"/>
  <c r="K31" i="3"/>
  <c r="D31" i="3" s="1"/>
  <c r="L31" i="3"/>
  <c r="J31" i="5"/>
  <c r="K31" i="5" s="1"/>
  <c r="D31" i="5" s="1"/>
  <c r="L31" i="5"/>
  <c r="N31" i="5" s="1"/>
  <c r="M31" i="5"/>
  <c r="O31" i="5" s="1"/>
  <c r="P31" i="5"/>
  <c r="D31" i="10" l="1"/>
  <c r="K31" i="11"/>
  <c r="D30" i="1"/>
  <c r="D30" i="4"/>
  <c r="D30" i="12"/>
  <c r="I30" i="12"/>
  <c r="K30" i="12" s="1"/>
  <c r="J30" i="12"/>
  <c r="L30" i="12" s="1"/>
  <c r="E30" i="2"/>
  <c r="J30" i="11"/>
  <c r="K30" i="11" s="1"/>
  <c r="I30" i="10"/>
  <c r="J30" i="10" s="1"/>
  <c r="D30" i="16"/>
  <c r="D30" i="7"/>
  <c r="F30" i="7"/>
  <c r="J30" i="5"/>
  <c r="K30" i="5" s="1"/>
  <c r="D30" i="5" s="1"/>
  <c r="L30" i="5"/>
  <c r="N30" i="5" s="1"/>
  <c r="M30" i="5"/>
  <c r="O30" i="5" s="1"/>
  <c r="P30" i="5"/>
  <c r="K30" i="3"/>
  <c r="D30" i="3" s="1"/>
  <c r="L30" i="3"/>
  <c r="D29" i="4"/>
  <c r="D29" i="12"/>
  <c r="I29" i="12"/>
  <c r="K29" i="12" s="1"/>
  <c r="J29" i="12"/>
  <c r="L29" i="12" s="1"/>
  <c r="E29" i="2"/>
  <c r="J29" i="11"/>
  <c r="K29" i="11" s="1"/>
  <c r="I29" i="10"/>
  <c r="J29" i="10" s="1"/>
  <c r="D29" i="16"/>
  <c r="D29" i="7"/>
  <c r="J29" i="5"/>
  <c r="K29" i="5" s="1"/>
  <c r="D29" i="5" s="1"/>
  <c r="L29" i="5"/>
  <c r="N29" i="5" s="1"/>
  <c r="M29" i="5"/>
  <c r="O29" i="5" s="1"/>
  <c r="P29" i="5"/>
  <c r="L29" i="3"/>
  <c r="K29" i="3"/>
  <c r="D29" i="3" s="1"/>
  <c r="D25" i="1"/>
  <c r="D25" i="4"/>
  <c r="J25" i="12"/>
  <c r="L25" i="12" s="1"/>
  <c r="I25" i="12"/>
  <c r="K25" i="12" s="1"/>
  <c r="D25" i="12"/>
  <c r="E25" i="2"/>
  <c r="J25" i="11"/>
  <c r="K25" i="11" s="1"/>
  <c r="I25" i="10"/>
  <c r="J25" i="10" s="1"/>
  <c r="D25" i="16"/>
  <c r="P25" i="5"/>
  <c r="M25" i="5"/>
  <c r="O25" i="5" s="1"/>
  <c r="L25" i="5"/>
  <c r="N25" i="5" s="1"/>
  <c r="J25" i="5"/>
  <c r="K25" i="5" s="1"/>
  <c r="D25" i="5" s="1"/>
  <c r="K25" i="3"/>
  <c r="D25" i="3" s="1"/>
  <c r="L25" i="3"/>
  <c r="D24" i="1"/>
  <c r="D24" i="12"/>
  <c r="I24" i="12"/>
  <c r="K24" i="12" s="1"/>
  <c r="J24" i="12"/>
  <c r="L24" i="12" s="1"/>
  <c r="E24" i="2"/>
  <c r="D24" i="4"/>
  <c r="I24" i="10"/>
  <c r="J24" i="10" s="1"/>
  <c r="D24" i="16"/>
  <c r="D25" i="7"/>
  <c r="K24" i="3"/>
  <c r="D24" i="3" s="1"/>
  <c r="L24" i="3"/>
  <c r="J24" i="5"/>
  <c r="K24" i="5" s="1"/>
  <c r="D24" i="5" s="1"/>
  <c r="L24" i="5"/>
  <c r="N24" i="5" s="1"/>
  <c r="M24" i="5"/>
  <c r="O24" i="5" s="1"/>
  <c r="P24" i="5"/>
  <c r="D29" i="10" l="1"/>
  <c r="D30" i="10"/>
  <c r="D25" i="10"/>
  <c r="D24" i="10"/>
  <c r="L25" i="11"/>
  <c r="D25" i="11"/>
  <c r="L29" i="11"/>
  <c r="D29" i="11"/>
  <c r="D30" i="11"/>
  <c r="L30" i="11"/>
  <c r="D31" i="11"/>
  <c r="L31" i="11"/>
  <c r="D23" i="1"/>
  <c r="D23" i="12"/>
  <c r="E14" i="2"/>
  <c r="E15" i="2"/>
  <c r="E16" i="2"/>
  <c r="E17" i="2"/>
  <c r="E18" i="2"/>
  <c r="E21" i="2"/>
  <c r="E22" i="2"/>
  <c r="E23" i="2"/>
  <c r="D23" i="16"/>
  <c r="D22" i="16"/>
  <c r="D21" i="16"/>
  <c r="D18" i="16"/>
  <c r="D17" i="16"/>
  <c r="D16" i="16"/>
  <c r="D15" i="16"/>
  <c r="D14" i="16"/>
  <c r="D24" i="7"/>
  <c r="K23" i="3"/>
  <c r="D23" i="3" s="1"/>
  <c r="I23" i="12" l="1"/>
  <c r="K23" i="12" s="1"/>
  <c r="J23" i="12"/>
  <c r="L23" i="12" s="1"/>
  <c r="D23" i="4"/>
  <c r="J23" i="11"/>
  <c r="K23" i="11" s="1"/>
  <c r="I23" i="10"/>
  <c r="J23" i="10" s="1"/>
  <c r="P23" i="5"/>
  <c r="J23" i="5"/>
  <c r="K23" i="5" s="1"/>
  <c r="D23" i="5" s="1"/>
  <c r="L23" i="5"/>
  <c r="N23" i="5" s="1"/>
  <c r="M23" i="5"/>
  <c r="O23" i="5" s="1"/>
  <c r="L23" i="3"/>
  <c r="D22" i="1"/>
  <c r="D22" i="12"/>
  <c r="I22" i="12"/>
  <c r="K22" i="12" s="1"/>
  <c r="J22" i="12"/>
  <c r="L22" i="12" s="1"/>
  <c r="D22" i="4"/>
  <c r="L23" i="7"/>
  <c r="F23" i="7" s="1"/>
  <c r="D23" i="7"/>
  <c r="P22" i="5"/>
  <c r="J22" i="5"/>
  <c r="K22" i="5" s="1"/>
  <c r="D22" i="5" s="1"/>
  <c r="L22" i="5"/>
  <c r="N22" i="5" s="1"/>
  <c r="M22" i="5"/>
  <c r="O22" i="5" s="1"/>
  <c r="L22" i="3"/>
  <c r="K22" i="3"/>
  <c r="D22" i="3" s="1"/>
  <c r="D21" i="1"/>
  <c r="D21" i="12"/>
  <c r="I21" i="12"/>
  <c r="K21" i="12" s="1"/>
  <c r="J21" i="12"/>
  <c r="L21" i="12" s="1"/>
  <c r="D21" i="4"/>
  <c r="K21" i="10"/>
  <c r="I21" i="10"/>
  <c r="J21" i="10" s="1"/>
  <c r="D22" i="7"/>
  <c r="M21" i="5"/>
  <c r="O21" i="5" s="1"/>
  <c r="L21" i="5"/>
  <c r="N21" i="5" s="1"/>
  <c r="J21" i="5"/>
  <c r="K21" i="5" s="1"/>
  <c r="D21" i="5" s="1"/>
  <c r="P21" i="5"/>
  <c r="K21" i="3"/>
  <c r="D21" i="3" s="1"/>
  <c r="L21" i="3"/>
  <c r="C6" i="1"/>
  <c r="D18" i="1"/>
  <c r="D18" i="12"/>
  <c r="I18" i="12"/>
  <c r="K18" i="12" s="1"/>
  <c r="J18" i="12"/>
  <c r="L18" i="12" s="1"/>
  <c r="D18" i="4"/>
  <c r="J18" i="11"/>
  <c r="K18" i="11" s="1"/>
  <c r="K18" i="10"/>
  <c r="I18" i="10"/>
  <c r="J18" i="10" s="1"/>
  <c r="P18" i="5"/>
  <c r="P17" i="5"/>
  <c r="P16" i="5"/>
  <c r="P15" i="5"/>
  <c r="P14" i="5"/>
  <c r="L18" i="5"/>
  <c r="N18" i="5" s="1"/>
  <c r="M18" i="5"/>
  <c r="O18" i="5" s="1"/>
  <c r="J18" i="5"/>
  <c r="K18" i="5" s="1"/>
  <c r="D18" i="5" s="1"/>
  <c r="L18" i="3"/>
  <c r="K18" i="3"/>
  <c r="D18" i="3" s="1"/>
  <c r="D21" i="10" l="1"/>
  <c r="D23" i="10"/>
  <c r="D18" i="10"/>
  <c r="D23" i="11"/>
  <c r="L23" i="11"/>
  <c r="L18" i="11"/>
  <c r="D18" i="11"/>
  <c r="L22" i="7"/>
  <c r="F22" i="7" s="1"/>
  <c r="B6" i="1"/>
  <c r="D17" i="12" l="1"/>
  <c r="I17" i="12"/>
  <c r="K17" i="12" s="1"/>
  <c r="J17" i="12"/>
  <c r="L17" i="12" s="1"/>
  <c r="D17" i="4"/>
  <c r="J17" i="11"/>
  <c r="K17" i="11" s="1"/>
  <c r="K17" i="10"/>
  <c r="I17" i="10"/>
  <c r="J17" i="10" s="1"/>
  <c r="D17" i="7"/>
  <c r="L17" i="7"/>
  <c r="F17" i="7" s="1"/>
  <c r="J17" i="5"/>
  <c r="K17" i="5" s="1"/>
  <c r="D17" i="5" s="1"/>
  <c r="L17" i="5"/>
  <c r="N17" i="5" s="1"/>
  <c r="M17" i="5"/>
  <c r="O17" i="5" s="1"/>
  <c r="L17" i="3"/>
  <c r="K17" i="3"/>
  <c r="D17" i="3" s="1"/>
  <c r="D17" i="10" l="1"/>
  <c r="L17" i="11"/>
  <c r="D17" i="11"/>
  <c r="D16" i="12"/>
  <c r="I16" i="12"/>
  <c r="K16" i="12" s="1"/>
  <c r="J16" i="12"/>
  <c r="L16" i="12" s="1"/>
  <c r="D16" i="4"/>
  <c r="J16" i="11"/>
  <c r="K16" i="11" s="1"/>
  <c r="I16" i="10"/>
  <c r="J16" i="10" s="1"/>
  <c r="D16" i="7"/>
  <c r="L16" i="7"/>
  <c r="F16" i="7" s="1"/>
  <c r="J16" i="5"/>
  <c r="K16" i="5" s="1"/>
  <c r="D16" i="5" s="1"/>
  <c r="L16" i="5"/>
  <c r="N16" i="5" s="1"/>
  <c r="M16" i="5"/>
  <c r="O16" i="5" s="1"/>
  <c r="L16" i="3"/>
  <c r="K16" i="3"/>
  <c r="D16" i="3" s="1"/>
  <c r="D16" i="10" l="1"/>
  <c r="D16" i="11"/>
  <c r="L16" i="11"/>
  <c r="D15" i="12"/>
  <c r="I15" i="12"/>
  <c r="K15" i="12" s="1"/>
  <c r="D15" i="4"/>
  <c r="K15" i="10"/>
  <c r="I15" i="10"/>
  <c r="J15" i="10" s="1"/>
  <c r="D15" i="7"/>
  <c r="L15" i="7"/>
  <c r="F15" i="7" s="1"/>
  <c r="K15" i="5"/>
  <c r="D15" i="5" s="1"/>
  <c r="L15" i="5"/>
  <c r="N15" i="5" s="1"/>
  <c r="M15" i="5"/>
  <c r="O15" i="5" s="1"/>
  <c r="K15" i="3"/>
  <c r="D15" i="3" s="1"/>
  <c r="L15" i="3"/>
  <c r="D14" i="12"/>
  <c r="J14" i="12"/>
  <c r="L14" i="12" s="1"/>
  <c r="I14" i="12"/>
  <c r="K14" i="12" s="1"/>
  <c r="J14" i="2"/>
  <c r="D14" i="4"/>
  <c r="J14" i="11"/>
  <c r="K14" i="11" s="1"/>
  <c r="K14" i="10"/>
  <c r="I14" i="10"/>
  <c r="J14" i="10" s="1"/>
  <c r="D14" i="7"/>
  <c r="M14" i="5"/>
  <c r="O14" i="5" s="1"/>
  <c r="L14" i="5"/>
  <c r="N14" i="5" s="1"/>
  <c r="K14" i="5"/>
  <c r="D14" i="5" s="1"/>
  <c r="L14" i="3"/>
  <c r="K14" i="3"/>
  <c r="D14" i="3" s="1"/>
  <c r="C6" i="4"/>
  <c r="B6" i="4"/>
  <c r="C6" i="12"/>
  <c r="B6" i="12"/>
  <c r="A6" i="12"/>
  <c r="C6" i="11"/>
  <c r="B6" i="11"/>
  <c r="C6" i="10"/>
  <c r="B6" i="10"/>
  <c r="C6" i="7"/>
  <c r="B6" i="7"/>
  <c r="C6" i="3"/>
  <c r="B6" i="3"/>
  <c r="C6" i="5"/>
  <c r="B6" i="5"/>
  <c r="A6" i="5"/>
  <c r="C6" i="2"/>
  <c r="B6" i="2"/>
  <c r="A6" i="2"/>
  <c r="C6" i="16"/>
  <c r="B6" i="16"/>
  <c r="B8" i="29"/>
  <c r="B7" i="34" s="1"/>
  <c r="A6" i="1"/>
  <c r="L4" i="29"/>
  <c r="L8" i="29" s="1"/>
  <c r="K4" i="29"/>
  <c r="K8" i="29" s="1"/>
  <c r="J4" i="29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J56" i="29" s="1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I4" i="29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H4" i="29"/>
  <c r="H8" i="29" s="1"/>
  <c r="G4" i="29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F4" i="29"/>
  <c r="F8" i="29" s="1"/>
  <c r="F9" i="29" s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F48" i="29" s="1"/>
  <c r="F49" i="29" s="1"/>
  <c r="F50" i="29" s="1"/>
  <c r="F51" i="29" s="1"/>
  <c r="F52" i="29" s="1"/>
  <c r="F53" i="29" s="1"/>
  <c r="F54" i="29" s="1"/>
  <c r="F55" i="29" s="1"/>
  <c r="F56" i="29" s="1"/>
  <c r="F57" i="29" s="1"/>
  <c r="F58" i="29" s="1"/>
  <c r="F59" i="29" s="1"/>
  <c r="F60" i="29" s="1"/>
  <c r="F61" i="29" s="1"/>
  <c r="F62" i="29" s="1"/>
  <c r="F63" i="29" s="1"/>
  <c r="F64" i="29" s="1"/>
  <c r="F65" i="29" s="1"/>
  <c r="F66" i="29" s="1"/>
  <c r="F67" i="29" s="1"/>
  <c r="F68" i="29" s="1"/>
  <c r="F69" i="29" s="1"/>
  <c r="E4" i="29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D4" i="29"/>
  <c r="D8" i="29" s="1"/>
  <c r="C4" i="29"/>
  <c r="C8" i="29" s="1"/>
  <c r="D14" i="10" l="1"/>
  <c r="D15" i="10"/>
  <c r="D14" i="11"/>
  <c r="L14" i="11"/>
  <c r="D9" i="29"/>
  <c r="E70" i="29"/>
  <c r="C68" i="7"/>
  <c r="C9" i="29"/>
  <c r="G70" i="29"/>
  <c r="C68" i="10"/>
  <c r="K9" i="29"/>
  <c r="F70" i="29"/>
  <c r="C68" i="16"/>
  <c r="H9" i="29"/>
  <c r="C8" i="11" s="1"/>
  <c r="J70" i="29"/>
  <c r="C68" i="2"/>
  <c r="L9" i="29"/>
  <c r="C61" i="4"/>
  <c r="I63" i="29"/>
  <c r="C7" i="1"/>
  <c r="C36" i="16"/>
  <c r="E36" i="16" s="1"/>
  <c r="C13" i="4"/>
  <c r="C36" i="7"/>
  <c r="C36" i="10"/>
  <c r="E36" i="10" s="1"/>
  <c r="C36" i="4"/>
  <c r="E36" i="4" s="1"/>
  <c r="C8" i="16"/>
  <c r="B7" i="4"/>
  <c r="J15" i="2"/>
  <c r="I15" i="2" s="1"/>
  <c r="I14" i="2"/>
  <c r="B7" i="2"/>
  <c r="C7" i="12"/>
  <c r="B9" i="29"/>
  <c r="B8" i="34" s="1"/>
  <c r="B7" i="1"/>
  <c r="B7" i="16"/>
  <c r="B7" i="3"/>
  <c r="A6" i="7"/>
  <c r="B7" i="10"/>
  <c r="C7" i="3"/>
  <c r="A6" i="11"/>
  <c r="C12" i="4"/>
  <c r="A6" i="10"/>
  <c r="B7" i="12"/>
  <c r="B7" i="5"/>
  <c r="A6" i="4"/>
  <c r="A6" i="16"/>
  <c r="A6" i="3"/>
  <c r="B7" i="7"/>
  <c r="B7" i="11"/>
  <c r="C14" i="4"/>
  <c r="E14" i="4" s="1"/>
  <c r="J15" i="12"/>
  <c r="L15" i="12" s="1"/>
  <c r="C15" i="4"/>
  <c r="E15" i="4" s="1"/>
  <c r="C20" i="7"/>
  <c r="C32" i="7"/>
  <c r="C16" i="16"/>
  <c r="E16" i="16" s="1"/>
  <c r="C29" i="7"/>
  <c r="E29" i="7" s="1"/>
  <c r="C9" i="4"/>
  <c r="C7" i="4"/>
  <c r="C10" i="4"/>
  <c r="C8" i="4"/>
  <c r="C11" i="4"/>
  <c r="C7" i="11"/>
  <c r="C31" i="10"/>
  <c r="E31" i="10" s="1"/>
  <c r="C23" i="10"/>
  <c r="E23" i="10" s="1"/>
  <c r="C15" i="10"/>
  <c r="C9" i="10"/>
  <c r="C28" i="10"/>
  <c r="C20" i="10"/>
  <c r="C12" i="10"/>
  <c r="C33" i="10"/>
  <c r="C25" i="10"/>
  <c r="E25" i="10" s="1"/>
  <c r="C17" i="10"/>
  <c r="E17" i="10" s="1"/>
  <c r="C10" i="10"/>
  <c r="C30" i="10"/>
  <c r="E30" i="10" s="1"/>
  <c r="C22" i="10"/>
  <c r="C14" i="10"/>
  <c r="C35" i="10"/>
  <c r="E35" i="10" s="1"/>
  <c r="C27" i="10"/>
  <c r="C19" i="10"/>
  <c r="C7" i="10"/>
  <c r="C11" i="10"/>
  <c r="C32" i="10"/>
  <c r="C24" i="10"/>
  <c r="E24" i="10" s="1"/>
  <c r="C16" i="10"/>
  <c r="E16" i="10" s="1"/>
  <c r="C29" i="10"/>
  <c r="E29" i="10" s="1"/>
  <c r="C21" i="10"/>
  <c r="E21" i="10" s="1"/>
  <c r="C13" i="10"/>
  <c r="C8" i="10"/>
  <c r="C34" i="10"/>
  <c r="C26" i="10"/>
  <c r="C18" i="10"/>
  <c r="E18" i="10" s="1"/>
  <c r="C9" i="7"/>
  <c r="C35" i="7"/>
  <c r="E35" i="7" s="1"/>
  <c r="C21" i="7"/>
  <c r="C30" i="7"/>
  <c r="E30" i="7" s="1"/>
  <c r="C19" i="7"/>
  <c r="C16" i="7"/>
  <c r="E16" i="7" s="1"/>
  <c r="C28" i="7"/>
  <c r="C14" i="7"/>
  <c r="E14" i="7" s="1"/>
  <c r="C11" i="7"/>
  <c r="C27" i="7"/>
  <c r="C13" i="7"/>
  <c r="C24" i="7"/>
  <c r="E24" i="7" s="1"/>
  <c r="C12" i="7"/>
  <c r="C22" i="7"/>
  <c r="E22" i="7" s="1"/>
  <c r="C10" i="7"/>
  <c r="C33" i="7"/>
  <c r="C25" i="7"/>
  <c r="C17" i="7"/>
  <c r="E17" i="7" s="1"/>
  <c r="C8" i="7"/>
  <c r="C31" i="7"/>
  <c r="E31" i="7" s="1"/>
  <c r="C23" i="7"/>
  <c r="E23" i="7" s="1"/>
  <c r="C15" i="7"/>
  <c r="E15" i="7" s="1"/>
  <c r="C7" i="7"/>
  <c r="C34" i="7"/>
  <c r="C26" i="7"/>
  <c r="C18" i="7"/>
  <c r="C7" i="5"/>
  <c r="C35" i="16"/>
  <c r="E35" i="16" s="1"/>
  <c r="C27" i="16"/>
  <c r="C19" i="16"/>
  <c r="C11" i="16"/>
  <c r="C29" i="16"/>
  <c r="E29" i="16" s="1"/>
  <c r="C21" i="16"/>
  <c r="E21" i="16" s="1"/>
  <c r="C13" i="16"/>
  <c r="C34" i="16"/>
  <c r="C26" i="16"/>
  <c r="C18" i="16"/>
  <c r="E18" i="16" s="1"/>
  <c r="C10" i="16"/>
  <c r="C31" i="16"/>
  <c r="E31" i="16" s="1"/>
  <c r="C23" i="16"/>
  <c r="E23" i="16" s="1"/>
  <c r="C15" i="16"/>
  <c r="E15" i="16" s="1"/>
  <c r="C7" i="16"/>
  <c r="C12" i="16"/>
  <c r="C32" i="16"/>
  <c r="E32" i="16" s="1"/>
  <c r="C24" i="16"/>
  <c r="E24" i="16" s="1"/>
  <c r="C28" i="16"/>
  <c r="C20" i="16"/>
  <c r="C33" i="16"/>
  <c r="C25" i="16"/>
  <c r="E25" i="16" s="1"/>
  <c r="C17" i="16"/>
  <c r="E17" i="16" s="1"/>
  <c r="C9" i="16"/>
  <c r="C30" i="16"/>
  <c r="E30" i="16" s="1"/>
  <c r="C22" i="16"/>
  <c r="E22" i="16" s="1"/>
  <c r="C14" i="16"/>
  <c r="E14" i="16" s="1"/>
  <c r="C7" i="2"/>
  <c r="A8" i="29"/>
  <c r="A7" i="34" s="1"/>
  <c r="E36" i="7" l="1"/>
  <c r="O36" i="7"/>
  <c r="C8" i="5"/>
  <c r="C8" i="3"/>
  <c r="E14" i="10"/>
  <c r="E15" i="10"/>
  <c r="J71" i="29"/>
  <c r="C69" i="2"/>
  <c r="H10" i="29"/>
  <c r="C10" i="29"/>
  <c r="A8" i="30"/>
  <c r="F71" i="29"/>
  <c r="C69" i="16"/>
  <c r="E71" i="29"/>
  <c r="C69" i="7"/>
  <c r="G71" i="29"/>
  <c r="C69" i="10"/>
  <c r="I64" i="29"/>
  <c r="I65" i="29" s="1"/>
  <c r="I66" i="29" s="1"/>
  <c r="I67" i="29" s="1"/>
  <c r="I68" i="29" s="1"/>
  <c r="I69" i="29" s="1"/>
  <c r="C62" i="4"/>
  <c r="L10" i="29"/>
  <c r="K10" i="29"/>
  <c r="D10" i="29"/>
  <c r="C8" i="2"/>
  <c r="C37" i="10"/>
  <c r="E37" i="10" s="1"/>
  <c r="C8" i="1"/>
  <c r="C37" i="7"/>
  <c r="C37" i="4"/>
  <c r="E37" i="4" s="1"/>
  <c r="C37" i="16"/>
  <c r="E37" i="16" s="1"/>
  <c r="B10" i="29"/>
  <c r="B9" i="34" s="1"/>
  <c r="A9" i="29"/>
  <c r="A8" i="34" s="1"/>
  <c r="B8" i="1"/>
  <c r="B8" i="12"/>
  <c r="B8" i="2"/>
  <c r="B8" i="3"/>
  <c r="B8" i="16"/>
  <c r="B8" i="4"/>
  <c r="B8" i="10"/>
  <c r="B8" i="11"/>
  <c r="B8" i="7"/>
  <c r="B8" i="5"/>
  <c r="A7" i="1"/>
  <c r="A7" i="11"/>
  <c r="A7" i="7"/>
  <c r="A7" i="5"/>
  <c r="A7" i="12"/>
  <c r="A7" i="2"/>
  <c r="A7" i="3"/>
  <c r="A7" i="4"/>
  <c r="A7" i="16"/>
  <c r="A7" i="10"/>
  <c r="C16" i="4"/>
  <c r="E16" i="4" s="1"/>
  <c r="C8" i="12"/>
  <c r="E37" i="7" l="1"/>
  <c r="O37" i="7"/>
  <c r="C11" i="29"/>
  <c r="C9" i="3"/>
  <c r="D11" i="29"/>
  <c r="C9" i="5"/>
  <c r="G72" i="29"/>
  <c r="C70" i="10"/>
  <c r="E70" i="10" s="1"/>
  <c r="A9" i="30"/>
  <c r="H11" i="29"/>
  <c r="C9" i="11"/>
  <c r="F72" i="29"/>
  <c r="C70" i="16"/>
  <c r="E70" i="16" s="1"/>
  <c r="K11" i="29"/>
  <c r="E72" i="29"/>
  <c r="C70" i="7"/>
  <c r="E70" i="7" s="1"/>
  <c r="L11" i="29"/>
  <c r="I70" i="29"/>
  <c r="C68" i="4"/>
  <c r="B9" i="10"/>
  <c r="J72" i="29"/>
  <c r="C70" i="2"/>
  <c r="F70" i="2" s="1"/>
  <c r="C9" i="2"/>
  <c r="A10" i="29"/>
  <c r="B11" i="29"/>
  <c r="B9" i="7"/>
  <c r="B9" i="3"/>
  <c r="B9" i="5"/>
  <c r="B9" i="11"/>
  <c r="B9" i="2"/>
  <c r="C38" i="16"/>
  <c r="E38" i="16" s="1"/>
  <c r="C9" i="1"/>
  <c r="C38" i="4"/>
  <c r="E38" i="4" s="1"/>
  <c r="C38" i="10"/>
  <c r="E38" i="10" s="1"/>
  <c r="C38" i="7"/>
  <c r="O38" i="7" s="1"/>
  <c r="B9" i="4"/>
  <c r="B9" i="12"/>
  <c r="B9" i="1"/>
  <c r="B9" i="16"/>
  <c r="A8" i="1"/>
  <c r="A8" i="5"/>
  <c r="A8" i="16"/>
  <c r="A8" i="12"/>
  <c r="A8" i="2"/>
  <c r="A8" i="3"/>
  <c r="A8" i="4"/>
  <c r="A8" i="10"/>
  <c r="A8" i="11"/>
  <c r="A8" i="7"/>
  <c r="C17" i="4"/>
  <c r="E17" i="4" s="1"/>
  <c r="C9" i="12"/>
  <c r="B10" i="11" l="1"/>
  <c r="A9" i="4"/>
  <c r="A9" i="34"/>
  <c r="B10" i="16"/>
  <c r="B10" i="34"/>
  <c r="B10" i="3"/>
  <c r="J73" i="29"/>
  <c r="C71" i="2"/>
  <c r="F71" i="2" s="1"/>
  <c r="K12" i="29"/>
  <c r="B10" i="5"/>
  <c r="I71" i="29"/>
  <c r="C69" i="4"/>
  <c r="F73" i="29"/>
  <c r="C71" i="16"/>
  <c r="E71" i="16" s="1"/>
  <c r="D12" i="29"/>
  <c r="C10" i="5"/>
  <c r="G73" i="29"/>
  <c r="C71" i="10"/>
  <c r="E71" i="10" s="1"/>
  <c r="A10" i="30"/>
  <c r="L12" i="29"/>
  <c r="B10" i="7"/>
  <c r="H12" i="29"/>
  <c r="C10" i="11"/>
  <c r="E73" i="29"/>
  <c r="C71" i="7"/>
  <c r="E71" i="7" s="1"/>
  <c r="C12" i="29"/>
  <c r="C10" i="3"/>
  <c r="A9" i="1"/>
  <c r="C10" i="2"/>
  <c r="B10" i="10"/>
  <c r="B10" i="1"/>
  <c r="A9" i="2"/>
  <c r="A9" i="3"/>
  <c r="A9" i="12"/>
  <c r="A9" i="5"/>
  <c r="B12" i="29"/>
  <c r="B10" i="4"/>
  <c r="A9" i="7"/>
  <c r="A11" i="29"/>
  <c r="B10" i="2"/>
  <c r="A9" i="11"/>
  <c r="B10" i="12"/>
  <c r="A9" i="16"/>
  <c r="A9" i="10"/>
  <c r="C39" i="10"/>
  <c r="C10" i="1"/>
  <c r="C39" i="7"/>
  <c r="C39" i="4"/>
  <c r="C39" i="16"/>
  <c r="C18" i="4"/>
  <c r="E18" i="4" s="1"/>
  <c r="C10" i="12"/>
  <c r="B11" i="7" l="1"/>
  <c r="B11" i="34"/>
  <c r="A10" i="16"/>
  <c r="A10" i="34"/>
  <c r="B11" i="5"/>
  <c r="B11" i="12"/>
  <c r="B11" i="3"/>
  <c r="I72" i="29"/>
  <c r="C70" i="4"/>
  <c r="E70" i="4" s="1"/>
  <c r="G74" i="29"/>
  <c r="C72" i="10"/>
  <c r="E72" i="10" s="1"/>
  <c r="L13" i="29"/>
  <c r="C13" i="29"/>
  <c r="C11" i="3"/>
  <c r="A11" i="30"/>
  <c r="B11" i="16"/>
  <c r="H13" i="29"/>
  <c r="C11" i="11"/>
  <c r="K13" i="29"/>
  <c r="A10" i="3"/>
  <c r="A10" i="2"/>
  <c r="D13" i="29"/>
  <c r="C11" i="5"/>
  <c r="F74" i="29"/>
  <c r="C72" i="16"/>
  <c r="E72" i="16" s="1"/>
  <c r="A10" i="5"/>
  <c r="E74" i="29"/>
  <c r="C72" i="7"/>
  <c r="E72" i="7" s="1"/>
  <c r="A10" i="10"/>
  <c r="B13" i="29"/>
  <c r="A10" i="4"/>
  <c r="B11" i="2"/>
  <c r="J74" i="29"/>
  <c r="C72" i="2"/>
  <c r="F72" i="2" s="1"/>
  <c r="A10" i="12"/>
  <c r="B11" i="11"/>
  <c r="C11" i="2"/>
  <c r="B11" i="10"/>
  <c r="A10" i="7"/>
  <c r="A10" i="11"/>
  <c r="B11" i="1"/>
  <c r="A10" i="1"/>
  <c r="A12" i="29"/>
  <c r="B11" i="4"/>
  <c r="C40" i="4"/>
  <c r="C40" i="7"/>
  <c r="C11" i="1"/>
  <c r="C40" i="10"/>
  <c r="C40" i="16"/>
  <c r="C19" i="4"/>
  <c r="C11" i="12"/>
  <c r="B12" i="1" l="1"/>
  <c r="B12" i="2"/>
  <c r="B12" i="4"/>
  <c r="B12" i="16"/>
  <c r="B12" i="3"/>
  <c r="B12" i="11"/>
  <c r="B12" i="10"/>
  <c r="B12" i="7"/>
  <c r="A13" i="29"/>
  <c r="A12" i="34" s="1"/>
  <c r="B14" i="29"/>
  <c r="B12" i="5"/>
  <c r="B12" i="34"/>
  <c r="A11" i="10"/>
  <c r="A11" i="34"/>
  <c r="A11" i="3"/>
  <c r="A11" i="11"/>
  <c r="A11" i="16"/>
  <c r="A11" i="7"/>
  <c r="A11" i="12"/>
  <c r="A11" i="2"/>
  <c r="A11" i="4"/>
  <c r="A11" i="5"/>
  <c r="A11" i="1"/>
  <c r="F75" i="29"/>
  <c r="C73" i="16"/>
  <c r="E73" i="16" s="1"/>
  <c r="K14" i="29"/>
  <c r="C14" i="29"/>
  <c r="C12" i="3"/>
  <c r="L14" i="29"/>
  <c r="H14" i="29"/>
  <c r="C12" i="11"/>
  <c r="G75" i="29"/>
  <c r="C73" i="10"/>
  <c r="E73" i="10" s="1"/>
  <c r="D14" i="29"/>
  <c r="C12" i="5"/>
  <c r="B12" i="12"/>
  <c r="J75" i="29"/>
  <c r="C73" i="2"/>
  <c r="F73" i="2" s="1"/>
  <c r="A12" i="30"/>
  <c r="E75" i="29"/>
  <c r="C73" i="7"/>
  <c r="E73" i="7" s="1"/>
  <c r="I73" i="29"/>
  <c r="C71" i="4"/>
  <c r="E71" i="4" s="1"/>
  <c r="C12" i="2"/>
  <c r="C41" i="16"/>
  <c r="C41" i="10"/>
  <c r="C12" i="1"/>
  <c r="C41" i="4"/>
  <c r="C41" i="7"/>
  <c r="C20" i="4"/>
  <c r="C12" i="12"/>
  <c r="B13" i="34" l="1"/>
  <c r="B13" i="10"/>
  <c r="B13" i="3"/>
  <c r="B13" i="7"/>
  <c r="A13" i="30"/>
  <c r="B13" i="1"/>
  <c r="B13" i="12"/>
  <c r="B13" i="16"/>
  <c r="B13" i="4"/>
  <c r="B13" i="11"/>
  <c r="B13" i="2"/>
  <c r="B13" i="5"/>
  <c r="A12" i="1"/>
  <c r="A12" i="4"/>
  <c r="A12" i="2"/>
  <c r="A12" i="16"/>
  <c r="A12" i="12"/>
  <c r="A12" i="11"/>
  <c r="A12" i="10"/>
  <c r="A12" i="5"/>
  <c r="A12" i="3"/>
  <c r="A12" i="7"/>
  <c r="B15" i="29"/>
  <c r="B14" i="34" s="1"/>
  <c r="A14" i="29"/>
  <c r="A13" i="34" s="1"/>
  <c r="L15" i="29"/>
  <c r="E76" i="29"/>
  <c r="C74" i="7"/>
  <c r="E74" i="7" s="1"/>
  <c r="G76" i="29"/>
  <c r="C74" i="10"/>
  <c r="E74" i="10" s="1"/>
  <c r="C15" i="29"/>
  <c r="C13" i="3"/>
  <c r="J76" i="29"/>
  <c r="C74" i="2"/>
  <c r="F74" i="2" s="1"/>
  <c r="K15" i="29"/>
  <c r="H15" i="29"/>
  <c r="C13" i="11"/>
  <c r="D15" i="29"/>
  <c r="C13" i="5"/>
  <c r="I74" i="29"/>
  <c r="C72" i="4"/>
  <c r="E72" i="4" s="1"/>
  <c r="F76" i="29"/>
  <c r="C74" i="16"/>
  <c r="E74" i="16" s="1"/>
  <c r="C13" i="2"/>
  <c r="C42" i="7"/>
  <c r="E42" i="7" s="1"/>
  <c r="C13" i="1"/>
  <c r="C42" i="4"/>
  <c r="E42" i="4" s="1"/>
  <c r="C42" i="10"/>
  <c r="E42" i="10" s="1"/>
  <c r="C42" i="16"/>
  <c r="E42" i="16" s="1"/>
  <c r="C21" i="4"/>
  <c r="E21" i="4" s="1"/>
  <c r="C13" i="12"/>
  <c r="A14" i="30" l="1"/>
  <c r="A13" i="1"/>
  <c r="A13" i="3"/>
  <c r="A13" i="16"/>
  <c r="A13" i="7"/>
  <c r="A13" i="4"/>
  <c r="A13" i="11"/>
  <c r="B14" i="1"/>
  <c r="B14" i="3"/>
  <c r="B14" i="5"/>
  <c r="B14" i="12"/>
  <c r="B14" i="10"/>
  <c r="B14" i="16"/>
  <c r="A13" i="5"/>
  <c r="A13" i="12"/>
  <c r="A13" i="10"/>
  <c r="A13" i="2"/>
  <c r="B14" i="7"/>
  <c r="B14" i="2"/>
  <c r="B14" i="4"/>
  <c r="B14" i="11"/>
  <c r="A15" i="29"/>
  <c r="A14" i="34" s="1"/>
  <c r="B16" i="29"/>
  <c r="B15" i="34" s="1"/>
  <c r="F77" i="29"/>
  <c r="C75" i="16"/>
  <c r="I75" i="29"/>
  <c r="C73" i="4"/>
  <c r="E73" i="4" s="1"/>
  <c r="G77" i="29"/>
  <c r="C75" i="10"/>
  <c r="K16" i="29"/>
  <c r="E77" i="29"/>
  <c r="C75" i="7"/>
  <c r="C16" i="29"/>
  <c r="C14" i="3"/>
  <c r="D16" i="29"/>
  <c r="C14" i="5"/>
  <c r="E14" i="5" s="1"/>
  <c r="J77" i="29"/>
  <c r="C75" i="2"/>
  <c r="H16" i="29"/>
  <c r="C14" i="11"/>
  <c r="E14" i="11" s="1"/>
  <c r="L16" i="29"/>
  <c r="C14" i="2"/>
  <c r="F14" i="2" s="1"/>
  <c r="C43" i="10"/>
  <c r="E43" i="10" s="1"/>
  <c r="C14" i="1"/>
  <c r="C43" i="16"/>
  <c r="C43" i="4"/>
  <c r="E43" i="4" s="1"/>
  <c r="C43" i="7"/>
  <c r="C22" i="4"/>
  <c r="E22" i="4" s="1"/>
  <c r="C14" i="12"/>
  <c r="E14" i="12" s="1"/>
  <c r="E43" i="7" l="1"/>
  <c r="O43" i="7"/>
  <c r="B15" i="11"/>
  <c r="B15" i="16"/>
  <c r="B15" i="12"/>
  <c r="B15" i="2"/>
  <c r="B17" i="29"/>
  <c r="B15" i="1"/>
  <c r="B15" i="3"/>
  <c r="B15" i="5"/>
  <c r="B15" i="7"/>
  <c r="B15" i="4"/>
  <c r="B15" i="10"/>
  <c r="A16" i="29"/>
  <c r="A14" i="4"/>
  <c r="A14" i="10"/>
  <c r="A14" i="16"/>
  <c r="A14" i="7"/>
  <c r="A15" i="30"/>
  <c r="A14" i="2"/>
  <c r="A14" i="12"/>
  <c r="A14" i="3"/>
  <c r="A14" i="1"/>
  <c r="A14" i="11"/>
  <c r="A14" i="5"/>
  <c r="E14" i="3"/>
  <c r="F14" i="3" s="1"/>
  <c r="L17" i="29"/>
  <c r="K17" i="29"/>
  <c r="D17" i="29"/>
  <c r="C15" i="5"/>
  <c r="E15" i="5" s="1"/>
  <c r="G78" i="29"/>
  <c r="C76" i="10"/>
  <c r="H17" i="29"/>
  <c r="C15" i="11"/>
  <c r="C17" i="29"/>
  <c r="C15" i="3"/>
  <c r="I76" i="29"/>
  <c r="C74" i="4"/>
  <c r="E74" i="4" s="1"/>
  <c r="J78" i="29"/>
  <c r="C76" i="2"/>
  <c r="E78" i="29"/>
  <c r="C76" i="7"/>
  <c r="F78" i="29"/>
  <c r="C76" i="16"/>
  <c r="E43" i="16"/>
  <c r="C15" i="2"/>
  <c r="F15" i="2" s="1"/>
  <c r="C44" i="4"/>
  <c r="E44" i="4" s="1"/>
  <c r="C44" i="10"/>
  <c r="E44" i="10" s="1"/>
  <c r="C15" i="1"/>
  <c r="C44" i="16"/>
  <c r="E44" i="16" s="1"/>
  <c r="C44" i="7"/>
  <c r="C23" i="4"/>
  <c r="E23" i="4" s="1"/>
  <c r="C15" i="12"/>
  <c r="E15" i="12" s="1"/>
  <c r="B16" i="5" l="1"/>
  <c r="B16" i="3"/>
  <c r="B16" i="2"/>
  <c r="B16" i="16"/>
  <c r="B16" i="7"/>
  <c r="B16" i="11"/>
  <c r="B16" i="34"/>
  <c r="B16" i="1"/>
  <c r="B16" i="12"/>
  <c r="B16" i="10"/>
  <c r="B16" i="4"/>
  <c r="A15" i="34"/>
  <c r="A16" i="30"/>
  <c r="E44" i="7"/>
  <c r="O44" i="7"/>
  <c r="A15" i="1"/>
  <c r="A15" i="11"/>
  <c r="A15" i="5"/>
  <c r="A15" i="2"/>
  <c r="A15" i="3"/>
  <c r="A15" i="7"/>
  <c r="A15" i="10"/>
  <c r="A15" i="12"/>
  <c r="A15" i="16"/>
  <c r="A15" i="4"/>
  <c r="A17" i="29"/>
  <c r="A17" i="30" s="1"/>
  <c r="B18" i="29"/>
  <c r="E15" i="3"/>
  <c r="F15" i="3" s="1"/>
  <c r="G79" i="29"/>
  <c r="C77" i="10"/>
  <c r="E77" i="10" s="1"/>
  <c r="E79" i="29"/>
  <c r="C77" i="7"/>
  <c r="E77" i="7" s="1"/>
  <c r="C18" i="29"/>
  <c r="C16" i="3"/>
  <c r="J79" i="29"/>
  <c r="C77" i="2"/>
  <c r="F77" i="2" s="1"/>
  <c r="D18" i="29"/>
  <c r="C16" i="5"/>
  <c r="E16" i="5" s="1"/>
  <c r="H18" i="29"/>
  <c r="C16" i="11"/>
  <c r="E16" i="11" s="1"/>
  <c r="K18" i="29"/>
  <c r="I77" i="29"/>
  <c r="C75" i="4"/>
  <c r="F79" i="29"/>
  <c r="C77" i="16"/>
  <c r="E77" i="16" s="1"/>
  <c r="L18" i="29"/>
  <c r="C16" i="2"/>
  <c r="F16" i="2" s="1"/>
  <c r="C45" i="7"/>
  <c r="C45" i="10"/>
  <c r="E45" i="10" s="1"/>
  <c r="C45" i="4"/>
  <c r="E45" i="4" s="1"/>
  <c r="C45" i="16"/>
  <c r="C16" i="1"/>
  <c r="C24" i="4"/>
  <c r="E24" i="4" s="1"/>
  <c r="C16" i="12"/>
  <c r="E16" i="12" s="1"/>
  <c r="A16" i="34" l="1"/>
  <c r="A16" i="1"/>
  <c r="A16" i="12"/>
  <c r="A16" i="10"/>
  <c r="A16" i="4"/>
  <c r="B17" i="34"/>
  <c r="B17" i="1"/>
  <c r="B17" i="7"/>
  <c r="B17" i="3"/>
  <c r="B17" i="16"/>
  <c r="B17" i="12"/>
  <c r="B17" i="10"/>
  <c r="B17" i="2"/>
  <c r="B17" i="4"/>
  <c r="B17" i="11"/>
  <c r="B17" i="5"/>
  <c r="E45" i="7"/>
  <c r="O45" i="7"/>
  <c r="A16" i="11"/>
  <c r="A16" i="5"/>
  <c r="A16" i="7"/>
  <c r="A16" i="2"/>
  <c r="A16" i="3"/>
  <c r="A16" i="16"/>
  <c r="B19" i="29"/>
  <c r="A18" i="29"/>
  <c r="E16" i="3"/>
  <c r="F16" i="3" s="1"/>
  <c r="L19" i="29"/>
  <c r="J80" i="29"/>
  <c r="C78" i="2"/>
  <c r="F78" i="2" s="1"/>
  <c r="F80" i="29"/>
  <c r="C78" i="16"/>
  <c r="E78" i="16" s="1"/>
  <c r="H19" i="29"/>
  <c r="C17" i="11"/>
  <c r="E17" i="11" s="1"/>
  <c r="C19" i="29"/>
  <c r="C17" i="3"/>
  <c r="I78" i="29"/>
  <c r="C76" i="4"/>
  <c r="E80" i="29"/>
  <c r="C78" i="7"/>
  <c r="E78" i="7" s="1"/>
  <c r="D19" i="29"/>
  <c r="C17" i="5"/>
  <c r="E17" i="5" s="1"/>
  <c r="K19" i="29"/>
  <c r="G80" i="29"/>
  <c r="C78" i="10"/>
  <c r="E78" i="10" s="1"/>
  <c r="E45" i="16"/>
  <c r="C17" i="2"/>
  <c r="F17" i="2" s="1"/>
  <c r="C46" i="10"/>
  <c r="E46" i="10" s="1"/>
  <c r="C46" i="16"/>
  <c r="E46" i="16" s="1"/>
  <c r="C46" i="4"/>
  <c r="E46" i="4" s="1"/>
  <c r="C46" i="7"/>
  <c r="O46" i="7" s="1"/>
  <c r="C17" i="1"/>
  <c r="C25" i="4"/>
  <c r="E25" i="4" s="1"/>
  <c r="C17" i="12"/>
  <c r="B18" i="34" l="1"/>
  <c r="B18" i="1"/>
  <c r="B18" i="4"/>
  <c r="B18" i="2"/>
  <c r="B18" i="12"/>
  <c r="B18" i="10"/>
  <c r="B18" i="11"/>
  <c r="B18" i="3"/>
  <c r="A17" i="34"/>
  <c r="A17" i="1"/>
  <c r="A18" i="30"/>
  <c r="B18" i="5"/>
  <c r="B18" i="7"/>
  <c r="B18" i="16"/>
  <c r="A17" i="7"/>
  <c r="A17" i="16"/>
  <c r="A17" i="12"/>
  <c r="A17" i="10"/>
  <c r="A17" i="3"/>
  <c r="A17" i="11"/>
  <c r="A17" i="2"/>
  <c r="A17" i="5"/>
  <c r="A19" i="29"/>
  <c r="A17" i="4"/>
  <c r="B20" i="29"/>
  <c r="B19" i="1" s="1"/>
  <c r="E81" i="29"/>
  <c r="C79" i="7"/>
  <c r="E79" i="7" s="1"/>
  <c r="H20" i="29"/>
  <c r="C18" i="11"/>
  <c r="E18" i="11" s="1"/>
  <c r="K20" i="29"/>
  <c r="I79" i="29"/>
  <c r="C77" i="4"/>
  <c r="E77" i="4" s="1"/>
  <c r="F81" i="29"/>
  <c r="C79" i="16"/>
  <c r="E79" i="16" s="1"/>
  <c r="G81" i="29"/>
  <c r="C79" i="10"/>
  <c r="E79" i="10" s="1"/>
  <c r="J81" i="29"/>
  <c r="C79" i="2"/>
  <c r="F79" i="2" s="1"/>
  <c r="C20" i="29"/>
  <c r="C18" i="3"/>
  <c r="D20" i="29"/>
  <c r="C18" i="5"/>
  <c r="E18" i="5" s="1"/>
  <c r="L20" i="29"/>
  <c r="C18" i="2"/>
  <c r="F18" i="2" s="1"/>
  <c r="C18" i="1"/>
  <c r="E18" i="1" s="1"/>
  <c r="C47" i="7"/>
  <c r="C47" i="16"/>
  <c r="C47" i="10"/>
  <c r="C47" i="4"/>
  <c r="C26" i="4"/>
  <c r="C18" i="12"/>
  <c r="E18" i="12" s="1"/>
  <c r="B19" i="12" l="1"/>
  <c r="B19" i="2"/>
  <c r="B19" i="16"/>
  <c r="B21" i="29"/>
  <c r="A20" i="29"/>
  <c r="A18" i="34"/>
  <c r="A19" i="30"/>
  <c r="A18" i="1"/>
  <c r="A18" i="3"/>
  <c r="A18" i="2"/>
  <c r="B19" i="34"/>
  <c r="B19" i="10"/>
  <c r="A18" i="16"/>
  <c r="A18" i="12"/>
  <c r="A18" i="10"/>
  <c r="A18" i="4"/>
  <c r="A18" i="7"/>
  <c r="A18" i="11"/>
  <c r="A18" i="5"/>
  <c r="B19" i="11"/>
  <c r="B19" i="5"/>
  <c r="B19" i="4"/>
  <c r="B19" i="7"/>
  <c r="B19" i="3"/>
  <c r="E17" i="3"/>
  <c r="F17" i="3" s="1"/>
  <c r="J82" i="29"/>
  <c r="C80" i="2"/>
  <c r="F80" i="2" s="1"/>
  <c r="I80" i="29"/>
  <c r="C78" i="4"/>
  <c r="E78" i="4" s="1"/>
  <c r="K21" i="29"/>
  <c r="D21" i="29"/>
  <c r="C19" i="5"/>
  <c r="G82" i="29"/>
  <c r="C80" i="10"/>
  <c r="E80" i="10" s="1"/>
  <c r="H21" i="29"/>
  <c r="C19" i="11"/>
  <c r="C21" i="29"/>
  <c r="C19" i="3"/>
  <c r="E18" i="3" s="1"/>
  <c r="F18" i="3" s="1"/>
  <c r="F82" i="29"/>
  <c r="C80" i="16"/>
  <c r="E80" i="16" s="1"/>
  <c r="L21" i="29"/>
  <c r="E82" i="29"/>
  <c r="C80" i="7"/>
  <c r="E80" i="7" s="1"/>
  <c r="C19" i="2"/>
  <c r="C48" i="10"/>
  <c r="C48" i="7"/>
  <c r="C48" i="16"/>
  <c r="C19" i="1"/>
  <c r="C48" i="4"/>
  <c r="C27" i="4"/>
  <c r="C19" i="12"/>
  <c r="B20" i="11" l="1"/>
  <c r="B20" i="1"/>
  <c r="B20" i="4"/>
  <c r="B22" i="29"/>
  <c r="B20" i="16"/>
  <c r="B20" i="5"/>
  <c r="A21" i="29"/>
  <c r="B20" i="2"/>
  <c r="A19" i="16"/>
  <c r="A19" i="10"/>
  <c r="A19" i="12"/>
  <c r="B20" i="34"/>
  <c r="B20" i="12"/>
  <c r="B20" i="10"/>
  <c r="B20" i="3"/>
  <c r="B20" i="7"/>
  <c r="A19" i="1"/>
  <c r="A19" i="11"/>
  <c r="A19" i="5"/>
  <c r="A19" i="2"/>
  <c r="A19" i="4"/>
  <c r="A19" i="34"/>
  <c r="A20" i="30"/>
  <c r="A19" i="7"/>
  <c r="A19" i="3"/>
  <c r="E83" i="29"/>
  <c r="C81" i="7"/>
  <c r="E81" i="7" s="1"/>
  <c r="D22" i="29"/>
  <c r="C20" i="5"/>
  <c r="H22" i="29"/>
  <c r="C20" i="11"/>
  <c r="L22" i="29"/>
  <c r="K22" i="29"/>
  <c r="F83" i="29"/>
  <c r="C81" i="16"/>
  <c r="E81" i="16" s="1"/>
  <c r="I81" i="29"/>
  <c r="C79" i="4"/>
  <c r="E79" i="4" s="1"/>
  <c r="G83" i="29"/>
  <c r="C81" i="10"/>
  <c r="E81" i="10" s="1"/>
  <c r="C22" i="29"/>
  <c r="C20" i="3"/>
  <c r="J83" i="29"/>
  <c r="C81" i="2"/>
  <c r="F81" i="2" s="1"/>
  <c r="C20" i="2"/>
  <c r="C49" i="7"/>
  <c r="E49" i="7" s="1"/>
  <c r="C20" i="1"/>
  <c r="C49" i="16"/>
  <c r="E49" i="16" s="1"/>
  <c r="C49" i="10"/>
  <c r="E49" i="10" s="1"/>
  <c r="C49" i="4"/>
  <c r="E49" i="4" s="1"/>
  <c r="C28" i="4"/>
  <c r="C20" i="12"/>
  <c r="B21" i="34" l="1"/>
  <c r="B21" i="1"/>
  <c r="B21" i="7"/>
  <c r="B21" i="4"/>
  <c r="B21" i="16"/>
  <c r="B21" i="12"/>
  <c r="B21" i="10"/>
  <c r="B21" i="2"/>
  <c r="B21" i="11"/>
  <c r="B21" i="5"/>
  <c r="B21" i="3"/>
  <c r="B23" i="29"/>
  <c r="B22" i="1" s="1"/>
  <c r="A22" i="29"/>
  <c r="A20" i="34"/>
  <c r="A21" i="30"/>
  <c r="A20" i="1"/>
  <c r="A20" i="12"/>
  <c r="A20" i="10"/>
  <c r="A20" i="11"/>
  <c r="A20" i="3"/>
  <c r="A20" i="5"/>
  <c r="A20" i="7"/>
  <c r="A20" i="4"/>
  <c r="A20" i="16"/>
  <c r="A20" i="2"/>
  <c r="I82" i="29"/>
  <c r="C80" i="4"/>
  <c r="E80" i="4" s="1"/>
  <c r="H23" i="29"/>
  <c r="C21" i="11"/>
  <c r="F84" i="29"/>
  <c r="C82" i="16"/>
  <c r="C23" i="29"/>
  <c r="C21" i="3"/>
  <c r="J84" i="29"/>
  <c r="C82" i="2"/>
  <c r="K23" i="29"/>
  <c r="D23" i="29"/>
  <c r="C21" i="5"/>
  <c r="E21" i="5" s="1"/>
  <c r="G84" i="29"/>
  <c r="C82" i="10"/>
  <c r="L23" i="29"/>
  <c r="E84" i="29"/>
  <c r="C82" i="7"/>
  <c r="C21" i="2"/>
  <c r="F21" i="2" s="1"/>
  <c r="C50" i="10"/>
  <c r="E50" i="10" s="1"/>
  <c r="C50" i="16"/>
  <c r="E50" i="16" s="1"/>
  <c r="C21" i="1"/>
  <c r="E21" i="1" s="1"/>
  <c r="C50" i="4"/>
  <c r="E50" i="4" s="1"/>
  <c r="C50" i="7"/>
  <c r="C29" i="4"/>
  <c r="E29" i="4" s="1"/>
  <c r="C21" i="12"/>
  <c r="E21" i="12" s="1"/>
  <c r="A22" i="30" l="1"/>
  <c r="A21" i="1"/>
  <c r="B22" i="34"/>
  <c r="B22" i="2"/>
  <c r="B22" i="3"/>
  <c r="B22" i="4"/>
  <c r="B22" i="12"/>
  <c r="B22" i="10"/>
  <c r="B22" i="11"/>
  <c r="B22" i="5"/>
  <c r="B22" i="7"/>
  <c r="B22" i="16"/>
  <c r="A23" i="29"/>
  <c r="A23" i="30" s="1"/>
  <c r="B24" i="29"/>
  <c r="A21" i="34"/>
  <c r="A21" i="4"/>
  <c r="A21" i="7"/>
  <c r="A21" i="16"/>
  <c r="A21" i="12"/>
  <c r="A21" i="10"/>
  <c r="A21" i="11"/>
  <c r="A21" i="3"/>
  <c r="A21" i="5"/>
  <c r="A21" i="2"/>
  <c r="E50" i="7"/>
  <c r="O50" i="7"/>
  <c r="E21" i="3"/>
  <c r="F21" i="3" s="1"/>
  <c r="E85" i="29"/>
  <c r="C83" i="7"/>
  <c r="D24" i="29"/>
  <c r="C22" i="5"/>
  <c r="E22" i="5" s="1"/>
  <c r="F85" i="29"/>
  <c r="C83" i="16"/>
  <c r="L24" i="29"/>
  <c r="K24" i="29"/>
  <c r="G85" i="29"/>
  <c r="C83" i="10"/>
  <c r="J85" i="29"/>
  <c r="C83" i="2"/>
  <c r="H24" i="29"/>
  <c r="C22" i="11"/>
  <c r="E22" i="11" s="1"/>
  <c r="C24" i="29"/>
  <c r="C22" i="3"/>
  <c r="I83" i="29"/>
  <c r="C81" i="4"/>
  <c r="E81" i="4" s="1"/>
  <c r="C22" i="2"/>
  <c r="F22" i="2" s="1"/>
  <c r="C51" i="16"/>
  <c r="E51" i="16" s="1"/>
  <c r="C51" i="4"/>
  <c r="E51" i="4" s="1"/>
  <c r="C51" i="10"/>
  <c r="E51" i="10" s="1"/>
  <c r="C51" i="7"/>
  <c r="C22" i="1"/>
  <c r="E22" i="1" s="1"/>
  <c r="C30" i="4"/>
  <c r="E30" i="4" s="1"/>
  <c r="C22" i="12"/>
  <c r="E22" i="12" s="1"/>
  <c r="A22" i="34" l="1"/>
  <c r="A22" i="1"/>
  <c r="A22" i="2"/>
  <c r="A22" i="4"/>
  <c r="A22" i="16"/>
  <c r="A22" i="12"/>
  <c r="A22" i="10"/>
  <c r="A22" i="3"/>
  <c r="A22" i="7"/>
  <c r="A22" i="11"/>
  <c r="A22" i="5"/>
  <c r="B23" i="34"/>
  <c r="A24" i="29"/>
  <c r="B23" i="1"/>
  <c r="B23" i="3"/>
  <c r="B23" i="11"/>
  <c r="B23" i="5"/>
  <c r="B23" i="7"/>
  <c r="B23" i="4"/>
  <c r="B23" i="12"/>
  <c r="B23" i="10"/>
  <c r="B23" i="2"/>
  <c r="B25" i="29"/>
  <c r="B23" i="16"/>
  <c r="E51" i="7"/>
  <c r="O51" i="7"/>
  <c r="E22" i="3"/>
  <c r="F22" i="3" s="1"/>
  <c r="H25" i="29"/>
  <c r="C23" i="11"/>
  <c r="E23" i="11" s="1"/>
  <c r="I84" i="29"/>
  <c r="C82" i="4"/>
  <c r="J86" i="29"/>
  <c r="C84" i="2"/>
  <c r="F84" i="2" s="1"/>
  <c r="F86" i="29"/>
  <c r="C84" i="16"/>
  <c r="E84" i="16" s="1"/>
  <c r="G86" i="29"/>
  <c r="C84" i="10"/>
  <c r="E84" i="10" s="1"/>
  <c r="L25" i="29"/>
  <c r="C25" i="29"/>
  <c r="C23" i="3"/>
  <c r="D25" i="29"/>
  <c r="C23" i="5"/>
  <c r="E23" i="5" s="1"/>
  <c r="K25" i="29"/>
  <c r="E86" i="29"/>
  <c r="C84" i="7"/>
  <c r="E84" i="7" s="1"/>
  <c r="C23" i="2"/>
  <c r="F23" i="2" s="1"/>
  <c r="C52" i="4"/>
  <c r="E52" i="4" s="1"/>
  <c r="C52" i="10"/>
  <c r="E52" i="10" s="1"/>
  <c r="C52" i="16"/>
  <c r="E52" i="16" s="1"/>
  <c r="C52" i="7"/>
  <c r="C23" i="1"/>
  <c r="E23" i="1" s="1"/>
  <c r="C31" i="4"/>
  <c r="E31" i="4" s="1"/>
  <c r="C23" i="12"/>
  <c r="E23" i="12" s="1"/>
  <c r="A23" i="34" l="1"/>
  <c r="A24" i="30"/>
  <c r="A23" i="1"/>
  <c r="A23" i="11"/>
  <c r="A23" i="5"/>
  <c r="A23" i="2"/>
  <c r="A23" i="3"/>
  <c r="A23" i="7"/>
  <c r="A23" i="16"/>
  <c r="A23" i="10"/>
  <c r="A23" i="12"/>
  <c r="A23" i="4"/>
  <c r="B24" i="34"/>
  <c r="B24" i="1"/>
  <c r="B24" i="16"/>
  <c r="B24" i="12"/>
  <c r="B24" i="10"/>
  <c r="B24" i="4"/>
  <c r="B24" i="7"/>
  <c r="B24" i="11"/>
  <c r="B24" i="5"/>
  <c r="B24" i="3"/>
  <c r="B24" i="2"/>
  <c r="A25" i="29"/>
  <c r="A25" i="30" s="1"/>
  <c r="B26" i="29"/>
  <c r="E52" i="7"/>
  <c r="O52" i="7"/>
  <c r="E87" i="29"/>
  <c r="C85" i="7"/>
  <c r="E85" i="7" s="1"/>
  <c r="C26" i="29"/>
  <c r="C24" i="3"/>
  <c r="J87" i="29"/>
  <c r="C85" i="2"/>
  <c r="F85" i="2" s="1"/>
  <c r="E23" i="3"/>
  <c r="F23" i="3" s="1"/>
  <c r="K26" i="29"/>
  <c r="L26" i="29"/>
  <c r="I85" i="29"/>
  <c r="C83" i="4"/>
  <c r="F87" i="29"/>
  <c r="C85" i="16"/>
  <c r="E85" i="16" s="1"/>
  <c r="G87" i="29"/>
  <c r="C85" i="10"/>
  <c r="E85" i="10" s="1"/>
  <c r="D26" i="29"/>
  <c r="C24" i="5"/>
  <c r="E24" i="5" s="1"/>
  <c r="H26" i="29"/>
  <c r="C24" i="11"/>
  <c r="C24" i="2"/>
  <c r="F24" i="2" s="1"/>
  <c r="C53" i="7"/>
  <c r="O53" i="7" s="1"/>
  <c r="C53" i="16"/>
  <c r="E53" i="16" s="1"/>
  <c r="C24" i="1"/>
  <c r="E24" i="1" s="1"/>
  <c r="C53" i="10"/>
  <c r="E53" i="10" s="1"/>
  <c r="C53" i="4"/>
  <c r="E53" i="4" s="1"/>
  <c r="C32" i="4"/>
  <c r="E32" i="4" s="1"/>
  <c r="C24" i="12"/>
  <c r="E24" i="12" s="1"/>
  <c r="A24" i="34" l="1"/>
  <c r="A24" i="1"/>
  <c r="A24" i="12"/>
  <c r="A24" i="10"/>
  <c r="A24" i="4"/>
  <c r="A24" i="11"/>
  <c r="A24" i="5"/>
  <c r="A24" i="7"/>
  <c r="A24" i="16"/>
  <c r="A24" i="3"/>
  <c r="A24" i="2"/>
  <c r="B25" i="34"/>
  <c r="B27" i="29"/>
  <c r="B25" i="1"/>
  <c r="B25" i="7"/>
  <c r="B25" i="3"/>
  <c r="B25" i="16"/>
  <c r="B25" i="12"/>
  <c r="B25" i="10"/>
  <c r="B25" i="2"/>
  <c r="B25" i="4"/>
  <c r="B25" i="11"/>
  <c r="B25" i="5"/>
  <c r="A26" i="29"/>
  <c r="I86" i="29"/>
  <c r="C84" i="4"/>
  <c r="E84" i="4" s="1"/>
  <c r="J88" i="29"/>
  <c r="C86" i="2"/>
  <c r="F86" i="2" s="1"/>
  <c r="D27" i="29"/>
  <c r="C25" i="5"/>
  <c r="E25" i="5" s="1"/>
  <c r="L27" i="29"/>
  <c r="H27" i="29"/>
  <c r="C25" i="11"/>
  <c r="E25" i="11" s="1"/>
  <c r="C27" i="29"/>
  <c r="C25" i="3"/>
  <c r="G88" i="29"/>
  <c r="C86" i="10"/>
  <c r="E86" i="10" s="1"/>
  <c r="E88" i="29"/>
  <c r="C86" i="7"/>
  <c r="E86" i="7" s="1"/>
  <c r="K27" i="29"/>
  <c r="F88" i="29"/>
  <c r="C86" i="16"/>
  <c r="E86" i="16" s="1"/>
  <c r="C25" i="2"/>
  <c r="F25" i="2" s="1"/>
  <c r="C54" i="16"/>
  <c r="C54" i="4"/>
  <c r="C25" i="1"/>
  <c r="E25" i="1" s="1"/>
  <c r="C54" i="10"/>
  <c r="C54" i="7"/>
  <c r="C33" i="4"/>
  <c r="C25" i="12"/>
  <c r="E25" i="12" s="1"/>
  <c r="B26" i="34" l="1"/>
  <c r="B26" i="1"/>
  <c r="B26" i="4"/>
  <c r="B26" i="2"/>
  <c r="B26" i="12"/>
  <c r="B26" i="10"/>
  <c r="B26" i="11"/>
  <c r="B26" i="3"/>
  <c r="B26" i="5"/>
  <c r="B26" i="7"/>
  <c r="B26" i="16"/>
  <c r="A27" i="29"/>
  <c r="A27" i="30" s="1"/>
  <c r="B28" i="29"/>
  <c r="A25" i="34"/>
  <c r="A26" i="30"/>
  <c r="A25" i="1"/>
  <c r="A25" i="7"/>
  <c r="A25" i="16"/>
  <c r="A25" i="12"/>
  <c r="A25" i="10"/>
  <c r="A25" i="3"/>
  <c r="A25" i="4"/>
  <c r="A25" i="11"/>
  <c r="A25" i="2"/>
  <c r="A25" i="5"/>
  <c r="E24" i="3"/>
  <c r="F24" i="3" s="1"/>
  <c r="K28" i="29"/>
  <c r="D28" i="29"/>
  <c r="C26" i="5"/>
  <c r="E89" i="29"/>
  <c r="C87" i="7"/>
  <c r="E87" i="7" s="1"/>
  <c r="H28" i="29"/>
  <c r="C26" i="11"/>
  <c r="J89" i="29"/>
  <c r="C87" i="2"/>
  <c r="F87" i="2" s="1"/>
  <c r="C28" i="29"/>
  <c r="C26" i="3"/>
  <c r="E25" i="3" s="1"/>
  <c r="F25" i="3" s="1"/>
  <c r="G89" i="29"/>
  <c r="C87" i="10"/>
  <c r="E87" i="10" s="1"/>
  <c r="F89" i="29"/>
  <c r="C87" i="16"/>
  <c r="E87" i="16" s="1"/>
  <c r="L28" i="29"/>
  <c r="I87" i="29"/>
  <c r="C85" i="4"/>
  <c r="E85" i="4" s="1"/>
  <c r="C26" i="2"/>
  <c r="C55" i="4"/>
  <c r="C26" i="1"/>
  <c r="C55" i="7"/>
  <c r="C55" i="10"/>
  <c r="C55" i="16"/>
  <c r="C34" i="4"/>
  <c r="C26" i="12"/>
  <c r="A26" i="34" l="1"/>
  <c r="A26" i="1"/>
  <c r="A26" i="3"/>
  <c r="A26" i="2"/>
  <c r="A26" i="16"/>
  <c r="A26" i="12"/>
  <c r="A26" i="10"/>
  <c r="A26" i="4"/>
  <c r="A26" i="7"/>
  <c r="A26" i="11"/>
  <c r="A26" i="5"/>
  <c r="B27" i="1"/>
  <c r="B27" i="11"/>
  <c r="B27" i="5"/>
  <c r="B27" i="4"/>
  <c r="B27" i="7"/>
  <c r="B27" i="3"/>
  <c r="B27" i="12"/>
  <c r="B27" i="10"/>
  <c r="B27" i="2"/>
  <c r="B27" i="16"/>
  <c r="B27" i="34"/>
  <c r="B29" i="29"/>
  <c r="B28" i="1" s="1"/>
  <c r="A28" i="29"/>
  <c r="A28" i="30" s="1"/>
  <c r="H29" i="29"/>
  <c r="C27" i="11"/>
  <c r="E90" i="29"/>
  <c r="C88" i="7"/>
  <c r="E88" i="7" s="1"/>
  <c r="C29" i="29"/>
  <c r="C27" i="3"/>
  <c r="L29" i="29"/>
  <c r="F90" i="29"/>
  <c r="C88" i="16"/>
  <c r="E88" i="16" s="1"/>
  <c r="J90" i="29"/>
  <c r="C88" i="2"/>
  <c r="F88" i="2" s="1"/>
  <c r="D29" i="29"/>
  <c r="C27" i="5"/>
  <c r="G90" i="29"/>
  <c r="C88" i="10"/>
  <c r="E88" i="10" s="1"/>
  <c r="I88" i="29"/>
  <c r="C86" i="4"/>
  <c r="E86" i="4" s="1"/>
  <c r="K29" i="29"/>
  <c r="C27" i="2"/>
  <c r="C56" i="7"/>
  <c r="E56" i="7" s="1"/>
  <c r="C27" i="1"/>
  <c r="C56" i="16"/>
  <c r="E56" i="16" s="1"/>
  <c r="C56" i="4"/>
  <c r="E56" i="4" s="1"/>
  <c r="C56" i="10"/>
  <c r="E56" i="10" s="1"/>
  <c r="C35" i="4"/>
  <c r="E35" i="4" s="1"/>
  <c r="C27" i="12"/>
  <c r="A27" i="11" l="1"/>
  <c r="A27" i="5"/>
  <c r="A27" i="2"/>
  <c r="A27" i="4"/>
  <c r="A27" i="7"/>
  <c r="A27" i="3"/>
  <c r="A27" i="16"/>
  <c r="A27" i="34"/>
  <c r="A27" i="1"/>
  <c r="A27" i="10"/>
  <c r="A27" i="12"/>
  <c r="B28" i="16"/>
  <c r="B28" i="12"/>
  <c r="B28" i="10"/>
  <c r="B28" i="3"/>
  <c r="B28" i="7"/>
  <c r="B28" i="11"/>
  <c r="B28" i="5"/>
  <c r="B28" i="2"/>
  <c r="B28" i="4"/>
  <c r="A29" i="29"/>
  <c r="A29" i="30" s="1"/>
  <c r="B28" i="34"/>
  <c r="B30" i="29"/>
  <c r="D30" i="29"/>
  <c r="C28" i="5"/>
  <c r="K30" i="29"/>
  <c r="J91" i="29"/>
  <c r="C89" i="2"/>
  <c r="C30" i="29"/>
  <c r="C28" i="3"/>
  <c r="E28" i="3" s="1"/>
  <c r="I89" i="29"/>
  <c r="C87" i="4"/>
  <c r="E87" i="4" s="1"/>
  <c r="E91" i="29"/>
  <c r="C89" i="7"/>
  <c r="G91" i="29"/>
  <c r="C89" i="10"/>
  <c r="F91" i="29"/>
  <c r="C89" i="16"/>
  <c r="L30" i="29"/>
  <c r="H30" i="29"/>
  <c r="C28" i="11"/>
  <c r="C28" i="2"/>
  <c r="C57" i="16"/>
  <c r="E57" i="16" s="1"/>
  <c r="C57" i="7"/>
  <c r="C57" i="4"/>
  <c r="E57" i="4" s="1"/>
  <c r="C28" i="1"/>
  <c r="C57" i="10"/>
  <c r="E57" i="10" s="1"/>
  <c r="C28" i="12"/>
  <c r="A28" i="34" l="1"/>
  <c r="A28" i="1"/>
  <c r="A28" i="12"/>
  <c r="A28" i="10"/>
  <c r="A28" i="11"/>
  <c r="A28" i="3"/>
  <c r="A28" i="5"/>
  <c r="A28" i="7"/>
  <c r="A28" i="4"/>
  <c r="A28" i="16"/>
  <c r="A28" i="2"/>
  <c r="B29" i="34"/>
  <c r="B29" i="1"/>
  <c r="B29" i="7"/>
  <c r="B29" i="4"/>
  <c r="B29" i="16"/>
  <c r="B29" i="12"/>
  <c r="B29" i="10"/>
  <c r="B29" i="2"/>
  <c r="B29" i="11"/>
  <c r="B29" i="5"/>
  <c r="B29" i="3"/>
  <c r="B31" i="29"/>
  <c r="A30" i="29"/>
  <c r="A30" i="30" s="1"/>
  <c r="E57" i="7"/>
  <c r="O57" i="7"/>
  <c r="G92" i="29"/>
  <c r="C90" i="10"/>
  <c r="H31" i="29"/>
  <c r="C29" i="11"/>
  <c r="E29" i="11" s="1"/>
  <c r="J92" i="29"/>
  <c r="C90" i="2"/>
  <c r="C31" i="29"/>
  <c r="C29" i="3"/>
  <c r="E92" i="29"/>
  <c r="C90" i="7"/>
  <c r="L31" i="29"/>
  <c r="K31" i="29"/>
  <c r="I90" i="29"/>
  <c r="C88" i="4"/>
  <c r="E88" i="4" s="1"/>
  <c r="F92" i="29"/>
  <c r="C90" i="16"/>
  <c r="D31" i="29"/>
  <c r="C29" i="5"/>
  <c r="E29" i="5" s="1"/>
  <c r="C29" i="2"/>
  <c r="F29" i="2" s="1"/>
  <c r="C58" i="10"/>
  <c r="E58" i="10" s="1"/>
  <c r="C29" i="1"/>
  <c r="C58" i="16"/>
  <c r="E58" i="16" s="1"/>
  <c r="C58" i="4"/>
  <c r="E58" i="4" s="1"/>
  <c r="C58" i="7"/>
  <c r="C29" i="12"/>
  <c r="E29" i="12" s="1"/>
  <c r="B30" i="34" l="1"/>
  <c r="B30" i="1"/>
  <c r="B30" i="2"/>
  <c r="B30" i="3"/>
  <c r="B30" i="4"/>
  <c r="B30" i="12"/>
  <c r="B30" i="10"/>
  <c r="B30" i="11"/>
  <c r="B30" i="5"/>
  <c r="B30" i="7"/>
  <c r="B30" i="16"/>
  <c r="A31" i="29"/>
  <c r="A30" i="11" s="1"/>
  <c r="B32" i="29"/>
  <c r="A29" i="34"/>
  <c r="A29" i="1"/>
  <c r="A29" i="4"/>
  <c r="A29" i="7"/>
  <c r="A29" i="16"/>
  <c r="A29" i="12"/>
  <c r="A29" i="10"/>
  <c r="A29" i="11"/>
  <c r="A29" i="3"/>
  <c r="A29" i="2"/>
  <c r="A29" i="5"/>
  <c r="E58" i="7"/>
  <c r="O58" i="7"/>
  <c r="E29" i="3"/>
  <c r="F29" i="3" s="1"/>
  <c r="K32" i="29"/>
  <c r="D32" i="29"/>
  <c r="C30" i="5"/>
  <c r="E30" i="5" s="1"/>
  <c r="J93" i="29"/>
  <c r="C91" i="2"/>
  <c r="L32" i="29"/>
  <c r="F93" i="29"/>
  <c r="C91" i="16"/>
  <c r="C32" i="29"/>
  <c r="C30" i="3"/>
  <c r="E93" i="29"/>
  <c r="C91" i="7"/>
  <c r="H32" i="29"/>
  <c r="C30" i="11"/>
  <c r="E30" i="11" s="1"/>
  <c r="I91" i="29"/>
  <c r="C89" i="4"/>
  <c r="G93" i="29"/>
  <c r="C91" i="10"/>
  <c r="C30" i="2"/>
  <c r="F30" i="2" s="1"/>
  <c r="C59" i="7"/>
  <c r="C59" i="4"/>
  <c r="E59" i="4" s="1"/>
  <c r="C30" i="1"/>
  <c r="E30" i="1" s="1"/>
  <c r="C59" i="10"/>
  <c r="E59" i="10" s="1"/>
  <c r="C59" i="16"/>
  <c r="C30" i="12"/>
  <c r="E30" i="12" s="1"/>
  <c r="A31" i="30" l="1"/>
  <c r="A32" i="29"/>
  <c r="A32" i="30" s="1"/>
  <c r="B33" i="29"/>
  <c r="A30" i="34"/>
  <c r="A30" i="1"/>
  <c r="A30" i="2"/>
  <c r="A30" i="4"/>
  <c r="A30" i="16"/>
  <c r="A30" i="12"/>
  <c r="A30" i="10"/>
  <c r="A30" i="3"/>
  <c r="A30" i="7"/>
  <c r="A30" i="5"/>
  <c r="B31" i="34"/>
  <c r="B31" i="1"/>
  <c r="B31" i="3"/>
  <c r="B31" i="11"/>
  <c r="B31" i="5"/>
  <c r="B31" i="7"/>
  <c r="B31" i="4"/>
  <c r="B31" i="12"/>
  <c r="B31" i="10"/>
  <c r="B31" i="2"/>
  <c r="B31" i="16"/>
  <c r="E59" i="7"/>
  <c r="O59" i="7"/>
  <c r="E30" i="3"/>
  <c r="F30" i="3" s="1"/>
  <c r="J94" i="29"/>
  <c r="C92" i="2"/>
  <c r="F92" i="2" s="1"/>
  <c r="I92" i="29"/>
  <c r="C90" i="4"/>
  <c r="C33" i="29"/>
  <c r="C31" i="3"/>
  <c r="G94" i="29"/>
  <c r="C92" i="10"/>
  <c r="E92" i="10" s="1"/>
  <c r="E94" i="29"/>
  <c r="C92" i="7"/>
  <c r="E92" i="7" s="1"/>
  <c r="F94" i="29"/>
  <c r="C92" i="16"/>
  <c r="E92" i="16" s="1"/>
  <c r="D33" i="29"/>
  <c r="C31" i="5"/>
  <c r="E31" i="5" s="1"/>
  <c r="H33" i="29"/>
  <c r="C31" i="11"/>
  <c r="E31" i="11" s="1"/>
  <c r="L33" i="29"/>
  <c r="K33" i="29"/>
  <c r="C31" i="2"/>
  <c r="F31" i="2" s="1"/>
  <c r="C31" i="1"/>
  <c r="E31" i="1" s="1"/>
  <c r="C60" i="4"/>
  <c r="E60" i="4" s="1"/>
  <c r="C60" i="10"/>
  <c r="E60" i="10" s="1"/>
  <c r="C60" i="16"/>
  <c r="E60" i="16" s="1"/>
  <c r="C60" i="7"/>
  <c r="C31" i="12"/>
  <c r="E31" i="12" s="1"/>
  <c r="B32" i="12" l="1"/>
  <c r="B32" i="10"/>
  <c r="B32" i="4"/>
  <c r="B32" i="7"/>
  <c r="B32" i="11"/>
  <c r="B32" i="16"/>
  <c r="A31" i="10"/>
  <c r="A31" i="12"/>
  <c r="A31" i="2"/>
  <c r="A31" i="1"/>
  <c r="A31" i="11"/>
  <c r="A31" i="5"/>
  <c r="B32" i="3"/>
  <c r="B32" i="1"/>
  <c r="B32" i="5"/>
  <c r="B32" i="2"/>
  <c r="A31" i="3"/>
  <c r="A31" i="4"/>
  <c r="A31" i="16"/>
  <c r="A31" i="34"/>
  <c r="A31" i="7"/>
  <c r="B32" i="34"/>
  <c r="A33" i="29"/>
  <c r="A33" i="30" s="1"/>
  <c r="B34" i="29"/>
  <c r="K34" i="29"/>
  <c r="D34" i="29"/>
  <c r="C32" i="5"/>
  <c r="E32" i="5" s="1"/>
  <c r="L34" i="29"/>
  <c r="C34" i="29"/>
  <c r="C32" i="3"/>
  <c r="F95" i="29"/>
  <c r="C93" i="16"/>
  <c r="E93" i="16" s="1"/>
  <c r="I93" i="29"/>
  <c r="C91" i="4"/>
  <c r="G95" i="29"/>
  <c r="C93" i="10"/>
  <c r="E93" i="10" s="1"/>
  <c r="E95" i="29"/>
  <c r="C93" i="7"/>
  <c r="E93" i="7" s="1"/>
  <c r="H34" i="29"/>
  <c r="C32" i="11"/>
  <c r="J95" i="29"/>
  <c r="C93" i="2"/>
  <c r="F93" i="2" s="1"/>
  <c r="C32" i="2"/>
  <c r="F32" i="2" s="1"/>
  <c r="C61" i="7"/>
  <c r="C61" i="10"/>
  <c r="C61" i="16"/>
  <c r="C32" i="1"/>
  <c r="E32" i="1" s="1"/>
  <c r="C32" i="12"/>
  <c r="E32" i="12" s="1"/>
  <c r="A32" i="34" l="1"/>
  <c r="A32" i="1"/>
  <c r="A32" i="12"/>
  <c r="A32" i="10"/>
  <c r="A32" i="4"/>
  <c r="A32" i="11"/>
  <c r="A32" i="5"/>
  <c r="A32" i="7"/>
  <c r="A32" i="16"/>
  <c r="A32" i="2"/>
  <c r="A32" i="3"/>
  <c r="B33" i="34"/>
  <c r="B33" i="1"/>
  <c r="B33" i="7"/>
  <c r="B33" i="3"/>
  <c r="B33" i="16"/>
  <c r="B33" i="12"/>
  <c r="B33" i="10"/>
  <c r="B33" i="2"/>
  <c r="B33" i="4"/>
  <c r="B33" i="11"/>
  <c r="B33" i="5"/>
  <c r="B35" i="29"/>
  <c r="B36" i="29" s="1"/>
  <c r="B35" i="34" s="1"/>
  <c r="A34" i="29"/>
  <c r="A33" i="4" s="1"/>
  <c r="I94" i="29"/>
  <c r="C92" i="4"/>
  <c r="E92" i="4" s="1"/>
  <c r="F96" i="29"/>
  <c r="C94" i="16"/>
  <c r="E94" i="16" s="1"/>
  <c r="H35" i="29"/>
  <c r="C33" i="11"/>
  <c r="E96" i="29"/>
  <c r="C94" i="7"/>
  <c r="E94" i="7" s="1"/>
  <c r="D35" i="29"/>
  <c r="C33" i="5"/>
  <c r="C35" i="29"/>
  <c r="C33" i="3"/>
  <c r="E32" i="3" s="1"/>
  <c r="E31" i="3"/>
  <c r="F31" i="3" s="1"/>
  <c r="J96" i="29"/>
  <c r="C94" i="2"/>
  <c r="F94" i="2" s="1"/>
  <c r="G96" i="29"/>
  <c r="C94" i="10"/>
  <c r="E94" i="10" s="1"/>
  <c r="L35" i="29"/>
  <c r="K35" i="29"/>
  <c r="C33" i="2"/>
  <c r="C33" i="1"/>
  <c r="C62" i="10"/>
  <c r="C62" i="16"/>
  <c r="C62" i="7"/>
  <c r="C33" i="12"/>
  <c r="A33" i="3" l="1"/>
  <c r="A33" i="10"/>
  <c r="A33" i="7"/>
  <c r="A33" i="12"/>
  <c r="A34" i="30"/>
  <c r="A33" i="1"/>
  <c r="A35" i="29"/>
  <c r="B34" i="7"/>
  <c r="A33" i="16"/>
  <c r="B34" i="1"/>
  <c r="A33" i="2"/>
  <c r="A33" i="11"/>
  <c r="B34" i="34"/>
  <c r="B34" i="4"/>
  <c r="B34" i="2"/>
  <c r="B34" i="12"/>
  <c r="B34" i="10"/>
  <c r="B34" i="11"/>
  <c r="B34" i="3"/>
  <c r="B34" i="5"/>
  <c r="B34" i="16"/>
  <c r="A33" i="34"/>
  <c r="A33" i="5"/>
  <c r="L36" i="29"/>
  <c r="C36" i="29"/>
  <c r="C34" i="3"/>
  <c r="E97" i="29"/>
  <c r="C95" i="7"/>
  <c r="E95" i="7" s="1"/>
  <c r="G97" i="29"/>
  <c r="C95" i="10"/>
  <c r="E95" i="10" s="1"/>
  <c r="H36" i="29"/>
  <c r="C34" i="11"/>
  <c r="J97" i="29"/>
  <c r="C95" i="2"/>
  <c r="F95" i="2" s="1"/>
  <c r="D36" i="29"/>
  <c r="C34" i="5"/>
  <c r="F97" i="29"/>
  <c r="C95" i="16"/>
  <c r="E95" i="16" s="1"/>
  <c r="K36" i="29"/>
  <c r="I95" i="29"/>
  <c r="C93" i="4"/>
  <c r="E93" i="4" s="1"/>
  <c r="C34" i="2"/>
  <c r="C63" i="10"/>
  <c r="E63" i="10" s="1"/>
  <c r="C34" i="1"/>
  <c r="C63" i="16"/>
  <c r="E63" i="16" s="1"/>
  <c r="C63" i="7"/>
  <c r="C63" i="4"/>
  <c r="E63" i="4" s="1"/>
  <c r="B35" i="1"/>
  <c r="B35" i="11"/>
  <c r="B35" i="5"/>
  <c r="B35" i="4"/>
  <c r="B35" i="7"/>
  <c r="B35" i="3"/>
  <c r="B35" i="12"/>
  <c r="B35" i="10"/>
  <c r="B35" i="2"/>
  <c r="B35" i="16"/>
  <c r="C34" i="12"/>
  <c r="B37" i="29"/>
  <c r="B36" i="34" s="1"/>
  <c r="A36" i="29"/>
  <c r="A35" i="34" s="1"/>
  <c r="A34" i="34" l="1"/>
  <c r="A35" i="30"/>
  <c r="A34" i="11"/>
  <c r="A34" i="5"/>
  <c r="A34" i="4"/>
  <c r="A34" i="7"/>
  <c r="A34" i="10"/>
  <c r="A34" i="12"/>
  <c r="A34" i="1"/>
  <c r="A34" i="2"/>
  <c r="A34" i="3"/>
  <c r="A34" i="16"/>
  <c r="G98" i="29"/>
  <c r="C96" i="10"/>
  <c r="I96" i="29"/>
  <c r="C94" i="4"/>
  <c r="E94" i="4" s="1"/>
  <c r="D37" i="29"/>
  <c r="C35" i="5"/>
  <c r="E35" i="5" s="1"/>
  <c r="E98" i="29"/>
  <c r="C96" i="7"/>
  <c r="K37" i="29"/>
  <c r="J98" i="29"/>
  <c r="C96" i="2"/>
  <c r="C37" i="29"/>
  <c r="C35" i="3"/>
  <c r="F98" i="29"/>
  <c r="C96" i="16"/>
  <c r="H37" i="29"/>
  <c r="C35" i="11"/>
  <c r="E35" i="11" s="1"/>
  <c r="A36" i="30"/>
  <c r="L37" i="29"/>
  <c r="C35" i="2"/>
  <c r="F35" i="2" s="1"/>
  <c r="C64" i="4"/>
  <c r="E64" i="4" s="1"/>
  <c r="C64" i="16"/>
  <c r="E64" i="16" s="1"/>
  <c r="C35" i="1"/>
  <c r="E35" i="1" s="1"/>
  <c r="C64" i="10"/>
  <c r="E64" i="10" s="1"/>
  <c r="C64" i="7"/>
  <c r="E64" i="7" s="1"/>
  <c r="B36" i="4"/>
  <c r="B36" i="10"/>
  <c r="B36" i="16"/>
  <c r="B36" i="12"/>
  <c r="B36" i="5"/>
  <c r="B36" i="7"/>
  <c r="B36" i="3"/>
  <c r="B36" i="2"/>
  <c r="B36" i="11"/>
  <c r="B36" i="1"/>
  <c r="A35" i="1"/>
  <c r="A35" i="11"/>
  <c r="A35" i="5"/>
  <c r="A35" i="2"/>
  <c r="A35" i="4"/>
  <c r="A35" i="7"/>
  <c r="A35" i="3"/>
  <c r="A35" i="16"/>
  <c r="A35" i="10"/>
  <c r="A35" i="12"/>
  <c r="C35" i="12"/>
  <c r="E35" i="12" s="1"/>
  <c r="B38" i="29"/>
  <c r="B37" i="34" s="1"/>
  <c r="A37" i="29"/>
  <c r="A36" i="34" s="1"/>
  <c r="E35" i="3" l="1"/>
  <c r="F35" i="3" s="1"/>
  <c r="C38" i="29"/>
  <c r="C36" i="3"/>
  <c r="E99" i="29"/>
  <c r="C97" i="7"/>
  <c r="L38" i="29"/>
  <c r="D38" i="29"/>
  <c r="C36" i="5"/>
  <c r="E36" i="5" s="1"/>
  <c r="J99" i="29"/>
  <c r="C97" i="2"/>
  <c r="H38" i="29"/>
  <c r="C36" i="11"/>
  <c r="E36" i="11" s="1"/>
  <c r="I97" i="29"/>
  <c r="C95" i="4"/>
  <c r="E95" i="4" s="1"/>
  <c r="A37" i="30"/>
  <c r="K38" i="29"/>
  <c r="C36" i="12"/>
  <c r="E36" i="12" s="1"/>
  <c r="F99" i="29"/>
  <c r="C97" i="16"/>
  <c r="G99" i="29"/>
  <c r="C97" i="10"/>
  <c r="C36" i="2"/>
  <c r="F36" i="2" s="1"/>
  <c r="C65" i="16"/>
  <c r="E65" i="16" s="1"/>
  <c r="C65" i="10"/>
  <c r="E65" i="10" s="1"/>
  <c r="C65" i="4"/>
  <c r="E65" i="4" s="1"/>
  <c r="C36" i="1"/>
  <c r="E36" i="1" s="1"/>
  <c r="C65" i="7"/>
  <c r="E65" i="7" s="1"/>
  <c r="B37" i="16"/>
  <c r="B37" i="11"/>
  <c r="B37" i="2"/>
  <c r="B37" i="10"/>
  <c r="B37" i="7"/>
  <c r="B37" i="4"/>
  <c r="B37" i="12"/>
  <c r="B37" i="1"/>
  <c r="B37" i="3"/>
  <c r="B37" i="5"/>
  <c r="A36" i="16"/>
  <c r="A36" i="11"/>
  <c r="A36" i="7"/>
  <c r="A36" i="4"/>
  <c r="A36" i="12"/>
  <c r="A36" i="10"/>
  <c r="A36" i="2"/>
  <c r="A36" i="5"/>
  <c r="A36" i="3"/>
  <c r="A36" i="1"/>
  <c r="A38" i="29"/>
  <c r="A37" i="34" s="1"/>
  <c r="B39" i="29"/>
  <c r="B38" i="34" s="1"/>
  <c r="E36" i="3" l="1"/>
  <c r="F36" i="3" s="1"/>
  <c r="E100" i="29"/>
  <c r="C98" i="7"/>
  <c r="E98" i="7" s="1"/>
  <c r="J100" i="29"/>
  <c r="C98" i="2"/>
  <c r="F98" i="2" s="1"/>
  <c r="F100" i="29"/>
  <c r="C98" i="16"/>
  <c r="E98" i="16" s="1"/>
  <c r="G100" i="29"/>
  <c r="C98" i="10"/>
  <c r="E98" i="10" s="1"/>
  <c r="I98" i="29"/>
  <c r="C96" i="4"/>
  <c r="D39" i="29"/>
  <c r="C37" i="5"/>
  <c r="E37" i="5" s="1"/>
  <c r="L39" i="29"/>
  <c r="H39" i="29"/>
  <c r="C37" i="11"/>
  <c r="E37" i="11" s="1"/>
  <c r="K39" i="29"/>
  <c r="C37" i="12"/>
  <c r="E37" i="12" s="1"/>
  <c r="A38" i="30"/>
  <c r="C39" i="29"/>
  <c r="C37" i="3"/>
  <c r="C37" i="2"/>
  <c r="F37" i="2" s="1"/>
  <c r="C66" i="4"/>
  <c r="E66" i="4" s="1"/>
  <c r="C66" i="7"/>
  <c r="E66" i="7" s="1"/>
  <c r="C37" i="1"/>
  <c r="E37" i="1" s="1"/>
  <c r="C66" i="10"/>
  <c r="E66" i="10" s="1"/>
  <c r="C66" i="16"/>
  <c r="E66" i="16" s="1"/>
  <c r="B38" i="4"/>
  <c r="B38" i="7"/>
  <c r="B38" i="1"/>
  <c r="B38" i="12"/>
  <c r="B38" i="16"/>
  <c r="B38" i="2"/>
  <c r="B38" i="11"/>
  <c r="B38" i="5"/>
  <c r="B38" i="10"/>
  <c r="B38" i="3"/>
  <c r="A37" i="11"/>
  <c r="A37" i="2"/>
  <c r="A37" i="10"/>
  <c r="A37" i="7"/>
  <c r="A37" i="4"/>
  <c r="A37" i="12"/>
  <c r="A37" i="1"/>
  <c r="A37" i="3"/>
  <c r="A37" i="16"/>
  <c r="A37" i="5"/>
  <c r="A39" i="29"/>
  <c r="A38" i="34" s="1"/>
  <c r="B40" i="29"/>
  <c r="B39" i="34" s="1"/>
  <c r="E37" i="3" l="1"/>
  <c r="C99" i="7"/>
  <c r="E99" i="7" s="1"/>
  <c r="E101" i="29"/>
  <c r="C99" i="2"/>
  <c r="F99" i="2" s="1"/>
  <c r="J101" i="29"/>
  <c r="C99" i="16"/>
  <c r="E99" i="16" s="1"/>
  <c r="F101" i="29"/>
  <c r="C99" i="10"/>
  <c r="E99" i="10" s="1"/>
  <c r="G101" i="29"/>
  <c r="L40" i="29"/>
  <c r="H40" i="29"/>
  <c r="C38" i="11"/>
  <c r="E38" i="11" s="1"/>
  <c r="A39" i="30"/>
  <c r="K40" i="29"/>
  <c r="C38" i="12"/>
  <c r="E38" i="12" s="1"/>
  <c r="D40" i="29"/>
  <c r="C38" i="5"/>
  <c r="E38" i="5" s="1"/>
  <c r="C40" i="29"/>
  <c r="C38" i="3"/>
  <c r="I99" i="29"/>
  <c r="C97" i="4"/>
  <c r="C38" i="2"/>
  <c r="F38" i="2" s="1"/>
  <c r="C67" i="10"/>
  <c r="E67" i="10" s="1"/>
  <c r="C38" i="1"/>
  <c r="E38" i="1" s="1"/>
  <c r="C67" i="16"/>
  <c r="E67" i="16" s="1"/>
  <c r="C67" i="7"/>
  <c r="E67" i="7" s="1"/>
  <c r="C67" i="4"/>
  <c r="E67" i="4" s="1"/>
  <c r="B39" i="16"/>
  <c r="B39" i="10"/>
  <c r="B39" i="11"/>
  <c r="B39" i="2"/>
  <c r="B39" i="4"/>
  <c r="B39" i="12"/>
  <c r="B39" i="7"/>
  <c r="B39" i="5"/>
  <c r="B39" i="3"/>
  <c r="B39" i="1"/>
  <c r="A38" i="1"/>
  <c r="A38" i="5"/>
  <c r="A38" i="12"/>
  <c r="A38" i="16"/>
  <c r="A38" i="11"/>
  <c r="A38" i="10"/>
  <c r="A38" i="2"/>
  <c r="A38" i="7"/>
  <c r="A38" i="4"/>
  <c r="A38" i="3"/>
  <c r="B41" i="29"/>
  <c r="B40" i="34" s="1"/>
  <c r="A40" i="29"/>
  <c r="A39" i="34" s="1"/>
  <c r="C100" i="7" l="1"/>
  <c r="E100" i="7" s="1"/>
  <c r="E102" i="29"/>
  <c r="C100" i="2"/>
  <c r="F100" i="2" s="1"/>
  <c r="J102" i="29"/>
  <c r="C100" i="16"/>
  <c r="E100" i="16" s="1"/>
  <c r="F102" i="29"/>
  <c r="C100" i="10"/>
  <c r="E100" i="10" s="1"/>
  <c r="G102" i="29"/>
  <c r="I100" i="29"/>
  <c r="C98" i="4"/>
  <c r="E98" i="4" s="1"/>
  <c r="C41" i="29"/>
  <c r="C39" i="3"/>
  <c r="E38" i="3" s="1"/>
  <c r="H41" i="29"/>
  <c r="C39" i="11"/>
  <c r="K41" i="29"/>
  <c r="C39" i="12"/>
  <c r="D41" i="29"/>
  <c r="C39" i="5"/>
  <c r="A40" i="30"/>
  <c r="L41" i="29"/>
  <c r="C39" i="2"/>
  <c r="C39" i="1"/>
  <c r="B40" i="4"/>
  <c r="B40" i="1"/>
  <c r="B40" i="12"/>
  <c r="B40" i="7"/>
  <c r="B40" i="10"/>
  <c r="B40" i="16"/>
  <c r="B40" i="11"/>
  <c r="B40" i="5"/>
  <c r="B40" i="3"/>
  <c r="B40" i="2"/>
  <c r="A39" i="10"/>
  <c r="A39" i="11"/>
  <c r="A39" i="2"/>
  <c r="A39" i="4"/>
  <c r="A39" i="12"/>
  <c r="A39" i="7"/>
  <c r="A39" i="1"/>
  <c r="A39" i="5"/>
  <c r="A39" i="3"/>
  <c r="A39" i="16"/>
  <c r="B42" i="29"/>
  <c r="B41" i="34" s="1"/>
  <c r="A41" i="29"/>
  <c r="A40" i="34" s="1"/>
  <c r="C101" i="7" l="1"/>
  <c r="E101" i="7" s="1"/>
  <c r="E103" i="29"/>
  <c r="C101" i="2"/>
  <c r="F101" i="2" s="1"/>
  <c r="J103" i="29"/>
  <c r="C101" i="16"/>
  <c r="E101" i="16" s="1"/>
  <c r="F103" i="29"/>
  <c r="C101" i="10"/>
  <c r="E101" i="10" s="1"/>
  <c r="G103" i="29"/>
  <c r="C99" i="4"/>
  <c r="E99" i="4" s="1"/>
  <c r="I101" i="29"/>
  <c r="L42" i="29"/>
  <c r="K42" i="29"/>
  <c r="C40" i="12"/>
  <c r="H42" i="29"/>
  <c r="C40" i="11"/>
  <c r="D42" i="29"/>
  <c r="C40" i="5"/>
  <c r="A41" i="30"/>
  <c r="C42" i="29"/>
  <c r="C40" i="3"/>
  <c r="E39" i="3" s="1"/>
  <c r="C40" i="2"/>
  <c r="C40" i="1"/>
  <c r="B41" i="16"/>
  <c r="B41" i="12"/>
  <c r="B41" i="2"/>
  <c r="B41" i="11"/>
  <c r="B41" i="4"/>
  <c r="B41" i="10"/>
  <c r="B41" i="7"/>
  <c r="B41" i="3"/>
  <c r="B41" i="1"/>
  <c r="B41" i="5"/>
  <c r="A40" i="1"/>
  <c r="A40" i="12"/>
  <c r="A40" i="7"/>
  <c r="A40" i="10"/>
  <c r="A40" i="16"/>
  <c r="A40" i="11"/>
  <c r="A40" i="2"/>
  <c r="A40" i="5"/>
  <c r="A40" i="3"/>
  <c r="A40" i="4"/>
  <c r="B43" i="29"/>
  <c r="B42" i="34" s="1"/>
  <c r="A42" i="29"/>
  <c r="A41" i="34" s="1"/>
  <c r="C102" i="7" l="1"/>
  <c r="E102" i="7" s="1"/>
  <c r="E104" i="29"/>
  <c r="C102" i="2"/>
  <c r="F102" i="2" s="1"/>
  <c r="J104" i="29"/>
  <c r="C102" i="16"/>
  <c r="E102" i="16" s="1"/>
  <c r="F104" i="29"/>
  <c r="C102" i="10"/>
  <c r="E102" i="10" s="1"/>
  <c r="G104" i="29"/>
  <c r="C100" i="4"/>
  <c r="E100" i="4" s="1"/>
  <c r="I102" i="29"/>
  <c r="H43" i="29"/>
  <c r="C41" i="11"/>
  <c r="C43" i="29"/>
  <c r="C41" i="3"/>
  <c r="A42" i="30"/>
  <c r="K43" i="29"/>
  <c r="C41" i="12"/>
  <c r="D43" i="29"/>
  <c r="C41" i="5"/>
  <c r="L43" i="29"/>
  <c r="C41" i="2"/>
  <c r="C41" i="1"/>
  <c r="B42" i="4"/>
  <c r="B42" i="12"/>
  <c r="B42" i="1"/>
  <c r="B42" i="10"/>
  <c r="B42" i="16"/>
  <c r="B42" i="7"/>
  <c r="B42" i="11"/>
  <c r="B42" i="5"/>
  <c r="B42" i="2"/>
  <c r="B42" i="3"/>
  <c r="A41" i="12"/>
  <c r="A41" i="2"/>
  <c r="A41" i="11"/>
  <c r="A41" i="4"/>
  <c r="A41" i="1"/>
  <c r="A41" i="10"/>
  <c r="A41" i="7"/>
  <c r="A41" i="3"/>
  <c r="A41" i="16"/>
  <c r="A41" i="5"/>
  <c r="A43" i="29"/>
  <c r="A42" i="34" s="1"/>
  <c r="B44" i="29"/>
  <c r="B43" i="34" s="1"/>
  <c r="C103" i="7" l="1"/>
  <c r="E105" i="29"/>
  <c r="C103" i="2"/>
  <c r="J105" i="29"/>
  <c r="C103" i="16"/>
  <c r="F105" i="29"/>
  <c r="C103" i="10"/>
  <c r="G105" i="29"/>
  <c r="C101" i="4"/>
  <c r="E101" i="4" s="1"/>
  <c r="I103" i="29"/>
  <c r="L44" i="29"/>
  <c r="A43" i="30"/>
  <c r="C44" i="29"/>
  <c r="C42" i="3"/>
  <c r="K44" i="29"/>
  <c r="C42" i="12"/>
  <c r="E42" i="12" s="1"/>
  <c r="D44" i="29"/>
  <c r="C42" i="5"/>
  <c r="E42" i="5" s="1"/>
  <c r="H44" i="29"/>
  <c r="C42" i="11"/>
  <c r="E42" i="11" s="1"/>
  <c r="C42" i="2"/>
  <c r="F42" i="2" s="1"/>
  <c r="C42" i="1"/>
  <c r="E42" i="1" s="1"/>
  <c r="B43" i="12"/>
  <c r="B43" i="16"/>
  <c r="B43" i="7"/>
  <c r="B43" i="2"/>
  <c r="B43" i="11"/>
  <c r="B43" i="4"/>
  <c r="B43" i="10"/>
  <c r="B43" i="5"/>
  <c r="B43" i="3"/>
  <c r="B43" i="1"/>
  <c r="A42" i="1"/>
  <c r="A42" i="10"/>
  <c r="A42" i="16"/>
  <c r="A42" i="7"/>
  <c r="A42" i="4"/>
  <c r="A42" i="5"/>
  <c r="A42" i="2"/>
  <c r="A42" i="3"/>
  <c r="A42" i="11"/>
  <c r="A42" i="12"/>
  <c r="A44" i="29"/>
  <c r="A43" i="34" s="1"/>
  <c r="B45" i="29"/>
  <c r="B44" i="34" s="1"/>
  <c r="E42" i="3" l="1"/>
  <c r="F42" i="3" s="1"/>
  <c r="C104" i="7"/>
  <c r="E106" i="29"/>
  <c r="C104" i="2"/>
  <c r="J106" i="29"/>
  <c r="C104" i="16"/>
  <c r="F106" i="29"/>
  <c r="C104" i="10"/>
  <c r="G106" i="29"/>
  <c r="C102" i="4"/>
  <c r="E102" i="4" s="1"/>
  <c r="I104" i="29"/>
  <c r="H45" i="29"/>
  <c r="C43" i="11"/>
  <c r="E43" i="11" s="1"/>
  <c r="A44" i="30"/>
  <c r="C45" i="29"/>
  <c r="C43" i="3"/>
  <c r="K45" i="29"/>
  <c r="C43" i="12"/>
  <c r="E43" i="12" s="1"/>
  <c r="D45" i="29"/>
  <c r="C43" i="5"/>
  <c r="E43" i="5" s="1"/>
  <c r="L45" i="29"/>
  <c r="C43" i="2"/>
  <c r="F43" i="2" s="1"/>
  <c r="C43" i="1"/>
  <c r="E43" i="1" s="1"/>
  <c r="B44" i="4"/>
  <c r="B44" i="10"/>
  <c r="B44" i="1"/>
  <c r="B44" i="16"/>
  <c r="B44" i="3"/>
  <c r="B44" i="12"/>
  <c r="B44" i="2"/>
  <c r="B44" i="5"/>
  <c r="B44" i="11"/>
  <c r="B44" i="7"/>
  <c r="A43" i="7"/>
  <c r="A43" i="2"/>
  <c r="A43" i="11"/>
  <c r="A43" i="4"/>
  <c r="A43" i="10"/>
  <c r="A43" i="1"/>
  <c r="A43" i="5"/>
  <c r="A43" i="3"/>
  <c r="A43" i="16"/>
  <c r="A43" i="12"/>
  <c r="B46" i="29"/>
  <c r="B45" i="34" s="1"/>
  <c r="A45" i="29"/>
  <c r="A44" i="34" s="1"/>
  <c r="E43" i="3" l="1"/>
  <c r="F43" i="3" s="1"/>
  <c r="C105" i="7"/>
  <c r="E105" i="7" s="1"/>
  <c r="E107" i="29"/>
  <c r="C105" i="2"/>
  <c r="F105" i="2" s="1"/>
  <c r="J107" i="29"/>
  <c r="C105" i="16"/>
  <c r="E105" i="16" s="1"/>
  <c r="F107" i="29"/>
  <c r="C105" i="10"/>
  <c r="E105" i="10" s="1"/>
  <c r="G107" i="29"/>
  <c r="C103" i="4"/>
  <c r="I105" i="29"/>
  <c r="A45" i="30"/>
  <c r="K46" i="29"/>
  <c r="C44" i="12"/>
  <c r="E44" i="12" s="1"/>
  <c r="L46" i="29"/>
  <c r="C46" i="29"/>
  <c r="C44" i="3"/>
  <c r="D46" i="29"/>
  <c r="C44" i="5"/>
  <c r="E44" i="5" s="1"/>
  <c r="H46" i="29"/>
  <c r="C44" i="11"/>
  <c r="E44" i="11" s="1"/>
  <c r="C44" i="2"/>
  <c r="F44" i="2" s="1"/>
  <c r="C44" i="1"/>
  <c r="E44" i="1" s="1"/>
  <c r="A44" i="1"/>
  <c r="A44" i="16"/>
  <c r="A44" i="12"/>
  <c r="A44" i="3"/>
  <c r="A44" i="2"/>
  <c r="A44" i="5"/>
  <c r="A44" i="4"/>
  <c r="A44" i="11"/>
  <c r="A44" i="7"/>
  <c r="A44" i="10"/>
  <c r="B45" i="1"/>
  <c r="B45" i="16"/>
  <c r="B45" i="2"/>
  <c r="B45" i="11"/>
  <c r="B45" i="10"/>
  <c r="B45" i="4"/>
  <c r="B45" i="12"/>
  <c r="B45" i="7"/>
  <c r="B45" i="3"/>
  <c r="B45" i="5"/>
  <c r="A46" i="29"/>
  <c r="A45" i="34" s="1"/>
  <c r="B47" i="29"/>
  <c r="B46" i="34" s="1"/>
  <c r="E44" i="3" l="1"/>
  <c r="C106" i="7"/>
  <c r="E106" i="7" s="1"/>
  <c r="E108" i="29"/>
  <c r="C106" i="2"/>
  <c r="F106" i="2" s="1"/>
  <c r="J108" i="29"/>
  <c r="C106" i="16"/>
  <c r="E106" i="16" s="1"/>
  <c r="F108" i="29"/>
  <c r="C106" i="10"/>
  <c r="E106" i="10" s="1"/>
  <c r="G108" i="29"/>
  <c r="C104" i="4"/>
  <c r="I106" i="29"/>
  <c r="C47" i="29"/>
  <c r="C45" i="3"/>
  <c r="L47" i="29"/>
  <c r="H47" i="29"/>
  <c r="C45" i="11"/>
  <c r="E45" i="11" s="1"/>
  <c r="A46" i="30"/>
  <c r="D47" i="29"/>
  <c r="C45" i="5"/>
  <c r="E45" i="5" s="1"/>
  <c r="K47" i="29"/>
  <c r="C45" i="12"/>
  <c r="E45" i="12" s="1"/>
  <c r="C45" i="2"/>
  <c r="F45" i="2" s="1"/>
  <c r="C45" i="1"/>
  <c r="E45" i="1" s="1"/>
  <c r="B46" i="4"/>
  <c r="B46" i="11"/>
  <c r="B46" i="12"/>
  <c r="B46" i="7"/>
  <c r="B46" i="1"/>
  <c r="B46" i="16"/>
  <c r="B46" i="10"/>
  <c r="B46" i="2"/>
  <c r="B46" i="3"/>
  <c r="B46" i="5"/>
  <c r="A45" i="2"/>
  <c r="A45" i="11"/>
  <c r="A45" i="10"/>
  <c r="A45" i="4"/>
  <c r="A45" i="12"/>
  <c r="A45" i="7"/>
  <c r="A45" i="1"/>
  <c r="A45" i="16"/>
  <c r="A45" i="3"/>
  <c r="A45" i="5"/>
  <c r="B48" i="29"/>
  <c r="B47" i="34" s="1"/>
  <c r="A47" i="29"/>
  <c r="A46" i="34" s="1"/>
  <c r="C107" i="7" l="1"/>
  <c r="E107" i="7" s="1"/>
  <c r="E109" i="29"/>
  <c r="C107" i="2"/>
  <c r="F107" i="2" s="1"/>
  <c r="J109" i="29"/>
  <c r="C107" i="16"/>
  <c r="E107" i="16" s="1"/>
  <c r="F109" i="29"/>
  <c r="C107" i="10"/>
  <c r="E107" i="10" s="1"/>
  <c r="G109" i="29"/>
  <c r="C105" i="4"/>
  <c r="E105" i="4" s="1"/>
  <c r="I107" i="29"/>
  <c r="H48" i="29"/>
  <c r="C46" i="11"/>
  <c r="E46" i="11" s="1"/>
  <c r="L48" i="29"/>
  <c r="K48" i="29"/>
  <c r="C46" i="12"/>
  <c r="E46" i="12" s="1"/>
  <c r="A47" i="30"/>
  <c r="D48" i="29"/>
  <c r="C46" i="5"/>
  <c r="E46" i="5" s="1"/>
  <c r="C48" i="29"/>
  <c r="C46" i="3"/>
  <c r="C46" i="2"/>
  <c r="F46" i="2" s="1"/>
  <c r="C46" i="1"/>
  <c r="E46" i="1" s="1"/>
  <c r="A46" i="12"/>
  <c r="A46" i="7"/>
  <c r="A46" i="1"/>
  <c r="A46" i="16"/>
  <c r="A46" i="10"/>
  <c r="A46" i="2"/>
  <c r="A46" i="3"/>
  <c r="A46" i="4"/>
  <c r="A46" i="11"/>
  <c r="A46" i="5"/>
  <c r="B47" i="1"/>
  <c r="B47" i="16"/>
  <c r="B47" i="7"/>
  <c r="B47" i="12"/>
  <c r="B47" i="10"/>
  <c r="B47" i="2"/>
  <c r="B47" i="4"/>
  <c r="B47" i="11"/>
  <c r="B47" i="5"/>
  <c r="B47" i="3"/>
  <c r="A48" i="29"/>
  <c r="A47" i="34" s="1"/>
  <c r="B49" i="29"/>
  <c r="B48" i="34" s="1"/>
  <c r="C108" i="7" l="1"/>
  <c r="E108" i="7" s="1"/>
  <c r="E110" i="29"/>
  <c r="C108" i="2"/>
  <c r="F108" i="2" s="1"/>
  <c r="J110" i="29"/>
  <c r="C108" i="16"/>
  <c r="E108" i="16" s="1"/>
  <c r="F110" i="29"/>
  <c r="C108" i="10"/>
  <c r="E108" i="10" s="1"/>
  <c r="G110" i="29"/>
  <c r="C106" i="4"/>
  <c r="E106" i="4" s="1"/>
  <c r="I108" i="29"/>
  <c r="C49" i="29"/>
  <c r="C47" i="3"/>
  <c r="E46" i="3" s="1"/>
  <c r="F46" i="3" s="1"/>
  <c r="K49" i="29"/>
  <c r="C47" i="12"/>
  <c r="A48" i="30"/>
  <c r="L49" i="29"/>
  <c r="D49" i="29"/>
  <c r="C47" i="5"/>
  <c r="E45" i="3"/>
  <c r="F45" i="3" s="1"/>
  <c r="H49" i="29"/>
  <c r="C47" i="11"/>
  <c r="C47" i="2"/>
  <c r="C47" i="1"/>
  <c r="B48" i="4"/>
  <c r="B48" i="11"/>
  <c r="B48" i="1"/>
  <c r="B48" i="10"/>
  <c r="B48" i="16"/>
  <c r="B48" i="7"/>
  <c r="B48" i="2"/>
  <c r="B48" i="5"/>
  <c r="B48" i="3"/>
  <c r="B48" i="12"/>
  <c r="A47" i="12"/>
  <c r="A47" i="10"/>
  <c r="A47" i="2"/>
  <c r="A47" i="4"/>
  <c r="A47" i="11"/>
  <c r="A47" i="16"/>
  <c r="A47" i="7"/>
  <c r="A47" i="5"/>
  <c r="A47" i="1"/>
  <c r="A47" i="3"/>
  <c r="A49" i="29"/>
  <c r="A48" i="34" s="1"/>
  <c r="B50" i="29"/>
  <c r="B49" i="34" s="1"/>
  <c r="C109" i="7" l="1"/>
  <c r="E109" i="7" s="1"/>
  <c r="E111" i="29"/>
  <c r="C109" i="2"/>
  <c r="F109" i="2" s="1"/>
  <c r="J111" i="29"/>
  <c r="C109" i="16"/>
  <c r="E109" i="16" s="1"/>
  <c r="F111" i="29"/>
  <c r="C109" i="10"/>
  <c r="E109" i="10" s="1"/>
  <c r="G111" i="29"/>
  <c r="C107" i="4"/>
  <c r="E107" i="4" s="1"/>
  <c r="I109" i="29"/>
  <c r="H50" i="29"/>
  <c r="C48" i="11"/>
  <c r="K50" i="29"/>
  <c r="C48" i="12"/>
  <c r="L50" i="29"/>
  <c r="A49" i="30"/>
  <c r="D50" i="29"/>
  <c r="C48" i="5"/>
  <c r="C50" i="29"/>
  <c r="C48" i="3"/>
  <c r="C48" i="2"/>
  <c r="C48" i="1"/>
  <c r="B49" i="1"/>
  <c r="B49" i="16"/>
  <c r="B49" i="2"/>
  <c r="B49" i="7"/>
  <c r="B49" i="4"/>
  <c r="B49" i="3"/>
  <c r="B49" i="5"/>
  <c r="B49" i="11"/>
  <c r="B49" i="12"/>
  <c r="B49" i="10"/>
  <c r="A48" i="11"/>
  <c r="A48" i="1"/>
  <c r="A48" i="10"/>
  <c r="A48" i="16"/>
  <c r="A48" i="7"/>
  <c r="A48" i="5"/>
  <c r="A48" i="4"/>
  <c r="A48" i="3"/>
  <c r="A48" i="2"/>
  <c r="A48" i="12"/>
  <c r="A50" i="29"/>
  <c r="A49" i="34" s="1"/>
  <c r="B51" i="29"/>
  <c r="B50" i="34" s="1"/>
  <c r="C110" i="7" l="1"/>
  <c r="E112" i="29"/>
  <c r="C110" i="2"/>
  <c r="J112" i="29"/>
  <c r="C110" i="16"/>
  <c r="F112" i="29"/>
  <c r="C110" i="10"/>
  <c r="G112" i="29"/>
  <c r="C108" i="4"/>
  <c r="I110" i="29"/>
  <c r="C51" i="29"/>
  <c r="C49" i="3"/>
  <c r="A50" i="30"/>
  <c r="K51" i="29"/>
  <c r="C49" i="12"/>
  <c r="E49" i="12" s="1"/>
  <c r="L51" i="29"/>
  <c r="D51" i="29"/>
  <c r="C49" i="5"/>
  <c r="E49" i="5" s="1"/>
  <c r="H51" i="29"/>
  <c r="C49" i="11"/>
  <c r="E49" i="11" s="1"/>
  <c r="C49" i="2"/>
  <c r="F49" i="2" s="1"/>
  <c r="C49" i="1"/>
  <c r="E49" i="1" s="1"/>
  <c r="B50" i="7"/>
  <c r="B50" i="4"/>
  <c r="B50" i="10"/>
  <c r="B50" i="11"/>
  <c r="B50" i="1"/>
  <c r="B50" i="16"/>
  <c r="B50" i="12"/>
  <c r="B50" i="5"/>
  <c r="B50" i="2"/>
  <c r="B50" i="3"/>
  <c r="A49" i="2"/>
  <c r="A49" i="7"/>
  <c r="A49" i="4"/>
  <c r="A49" i="11"/>
  <c r="A49" i="1"/>
  <c r="A49" i="5"/>
  <c r="A49" i="3"/>
  <c r="A49" i="12"/>
  <c r="A49" i="10"/>
  <c r="A49" i="16"/>
  <c r="A51" i="29"/>
  <c r="A50" i="34" s="1"/>
  <c r="B52" i="29"/>
  <c r="B51" i="34" s="1"/>
  <c r="E49" i="3" l="1"/>
  <c r="F49" i="3" s="1"/>
  <c r="C111" i="7"/>
  <c r="E113" i="29"/>
  <c r="C111" i="2"/>
  <c r="J113" i="29"/>
  <c r="C111" i="16"/>
  <c r="F113" i="29"/>
  <c r="C111" i="10"/>
  <c r="G113" i="29"/>
  <c r="C109" i="4"/>
  <c r="E109" i="4" s="1"/>
  <c r="I111" i="29"/>
  <c r="A51" i="30"/>
  <c r="K52" i="29"/>
  <c r="C50" i="12"/>
  <c r="E50" i="12" s="1"/>
  <c r="D52" i="29"/>
  <c r="C50" i="5"/>
  <c r="E50" i="5" s="1"/>
  <c r="L52" i="29"/>
  <c r="H52" i="29"/>
  <c r="C50" i="11"/>
  <c r="E50" i="11" s="1"/>
  <c r="C52" i="29"/>
  <c r="C50" i="3"/>
  <c r="C50" i="2"/>
  <c r="F50" i="2" s="1"/>
  <c r="C50" i="1"/>
  <c r="E50" i="1" s="1"/>
  <c r="B51" i="1"/>
  <c r="B51" i="16"/>
  <c r="B51" i="2"/>
  <c r="B51" i="12"/>
  <c r="B51" i="10"/>
  <c r="B51" i="5"/>
  <c r="B51" i="7"/>
  <c r="B51" i="3"/>
  <c r="B51" i="11"/>
  <c r="B51" i="4"/>
  <c r="A50" i="4"/>
  <c r="A50" i="10"/>
  <c r="A50" i="11"/>
  <c r="A50" i="1"/>
  <c r="A50" i="16"/>
  <c r="A50" i="12"/>
  <c r="A50" i="5"/>
  <c r="A50" i="2"/>
  <c r="A50" i="3"/>
  <c r="A50" i="7"/>
  <c r="A52" i="29"/>
  <c r="A51" i="34" s="1"/>
  <c r="B53" i="29"/>
  <c r="B52" i="34" s="1"/>
  <c r="E50" i="3" l="1"/>
  <c r="F50" i="3" s="1"/>
  <c r="C112" i="7"/>
  <c r="E112" i="7" s="1"/>
  <c r="E114" i="29"/>
  <c r="C112" i="2"/>
  <c r="F112" i="2" s="1"/>
  <c r="J114" i="29"/>
  <c r="C112" i="16"/>
  <c r="E112" i="16" s="1"/>
  <c r="F114" i="29"/>
  <c r="C112" i="10"/>
  <c r="E112" i="10" s="1"/>
  <c r="G114" i="29"/>
  <c r="C110" i="4"/>
  <c r="I112" i="29"/>
  <c r="L53" i="29"/>
  <c r="C53" i="29"/>
  <c r="C51" i="3"/>
  <c r="D53" i="29"/>
  <c r="C51" i="5"/>
  <c r="E51" i="5" s="1"/>
  <c r="A52" i="30"/>
  <c r="H53" i="29"/>
  <c r="C51" i="11"/>
  <c r="E51" i="11" s="1"/>
  <c r="K53" i="29"/>
  <c r="C51" i="12"/>
  <c r="E51" i="12" s="1"/>
  <c r="C51" i="2"/>
  <c r="F51" i="2" s="1"/>
  <c r="C51" i="1"/>
  <c r="E51" i="1" s="1"/>
  <c r="B52" i="10"/>
  <c r="B52" i="12"/>
  <c r="B52" i="4"/>
  <c r="B52" i="1"/>
  <c r="B52" i="11"/>
  <c r="B52" i="16"/>
  <c r="B52" i="5"/>
  <c r="B52" i="3"/>
  <c r="B52" i="7"/>
  <c r="B52" i="2"/>
  <c r="A51" i="2"/>
  <c r="A51" i="12"/>
  <c r="A51" i="10"/>
  <c r="A51" i="4"/>
  <c r="A51" i="7"/>
  <c r="A51" i="5"/>
  <c r="A51" i="3"/>
  <c r="A51" i="11"/>
  <c r="A51" i="16"/>
  <c r="A51" i="1"/>
  <c r="B54" i="29"/>
  <c r="B53" i="34" s="1"/>
  <c r="A53" i="29"/>
  <c r="A52" i="34" s="1"/>
  <c r="E51" i="3" l="1"/>
  <c r="F51" i="3" s="1"/>
  <c r="C113" i="7"/>
  <c r="E113" i="7" s="1"/>
  <c r="E115" i="29"/>
  <c r="C113" i="2"/>
  <c r="F113" i="2" s="1"/>
  <c r="J115" i="29"/>
  <c r="C113" i="16"/>
  <c r="E113" i="16" s="1"/>
  <c r="F115" i="29"/>
  <c r="C113" i="10"/>
  <c r="E113" i="10" s="1"/>
  <c r="G115" i="29"/>
  <c r="C111" i="4"/>
  <c r="I113" i="29"/>
  <c r="D54" i="29"/>
  <c r="C52" i="5"/>
  <c r="E52" i="5" s="1"/>
  <c r="A53" i="30"/>
  <c r="K54" i="29"/>
  <c r="C52" i="12"/>
  <c r="E52" i="12" s="1"/>
  <c r="C54" i="29"/>
  <c r="C52" i="3"/>
  <c r="H54" i="29"/>
  <c r="C52" i="11"/>
  <c r="E52" i="11" s="1"/>
  <c r="L54" i="29"/>
  <c r="A52" i="10"/>
  <c r="C52" i="2"/>
  <c r="F52" i="2" s="1"/>
  <c r="C52" i="1"/>
  <c r="E52" i="1" s="1"/>
  <c r="A52" i="12"/>
  <c r="A52" i="4"/>
  <c r="A52" i="7"/>
  <c r="A52" i="1"/>
  <c r="A52" i="11"/>
  <c r="A52" i="16"/>
  <c r="A52" i="2"/>
  <c r="A52" i="5"/>
  <c r="A52" i="3"/>
  <c r="B53" i="1"/>
  <c r="B53" i="11"/>
  <c r="B53" i="16"/>
  <c r="B53" i="7"/>
  <c r="B53" i="12"/>
  <c r="B53" i="2"/>
  <c r="B53" i="10"/>
  <c r="B53" i="4"/>
  <c r="B53" i="5"/>
  <c r="B53" i="3"/>
  <c r="B55" i="29"/>
  <c r="B54" i="34" s="1"/>
  <c r="A54" i="29"/>
  <c r="A53" i="34" s="1"/>
  <c r="C114" i="7" l="1"/>
  <c r="E114" i="7" s="1"/>
  <c r="E116" i="29"/>
  <c r="C114" i="2"/>
  <c r="F114" i="2" s="1"/>
  <c r="J116" i="29"/>
  <c r="C114" i="16"/>
  <c r="E114" i="16" s="1"/>
  <c r="F116" i="29"/>
  <c r="C114" i="10"/>
  <c r="E114" i="10" s="1"/>
  <c r="G116" i="29"/>
  <c r="C112" i="4"/>
  <c r="E112" i="4" s="1"/>
  <c r="I114" i="29"/>
  <c r="C55" i="29"/>
  <c r="C53" i="3"/>
  <c r="A54" i="30"/>
  <c r="L55" i="29"/>
  <c r="K55" i="29"/>
  <c r="C53" i="12"/>
  <c r="E53" i="12" s="1"/>
  <c r="H55" i="29"/>
  <c r="C53" i="11"/>
  <c r="E53" i="11" s="1"/>
  <c r="D55" i="29"/>
  <c r="C53" i="5"/>
  <c r="E53" i="5" s="1"/>
  <c r="C53" i="2"/>
  <c r="F53" i="2" s="1"/>
  <c r="C53" i="1"/>
  <c r="E53" i="1" s="1"/>
  <c r="A53" i="7"/>
  <c r="A53" i="12"/>
  <c r="A53" i="2"/>
  <c r="A53" i="10"/>
  <c r="A53" i="5"/>
  <c r="A53" i="11"/>
  <c r="A53" i="16"/>
  <c r="A53" i="4"/>
  <c r="A53" i="1"/>
  <c r="A53" i="3"/>
  <c r="B54" i="12"/>
  <c r="B54" i="4"/>
  <c r="B54" i="1"/>
  <c r="B54" i="16"/>
  <c r="B54" i="11"/>
  <c r="B54" i="7"/>
  <c r="B54" i="2"/>
  <c r="B54" i="3"/>
  <c r="B54" i="10"/>
  <c r="B54" i="5"/>
  <c r="B56" i="29"/>
  <c r="B55" i="34" s="1"/>
  <c r="A55" i="29"/>
  <c r="A54" i="34" s="1"/>
  <c r="E52" i="3" l="1"/>
  <c r="F52" i="3" s="1"/>
  <c r="C115" i="7"/>
  <c r="E115" i="7" s="1"/>
  <c r="E117" i="29"/>
  <c r="C115" i="2"/>
  <c r="F115" i="2" s="1"/>
  <c r="J117" i="29"/>
  <c r="C115" i="16"/>
  <c r="E115" i="16" s="1"/>
  <c r="F117" i="29"/>
  <c r="C115" i="10"/>
  <c r="E115" i="10" s="1"/>
  <c r="G117" i="29"/>
  <c r="C113" i="4"/>
  <c r="E113" i="4" s="1"/>
  <c r="I115" i="29"/>
  <c r="K56" i="29"/>
  <c r="C54" i="12"/>
  <c r="L56" i="29"/>
  <c r="D56" i="29"/>
  <c r="C54" i="5"/>
  <c r="H56" i="29"/>
  <c r="C54" i="11"/>
  <c r="A55" i="30"/>
  <c r="C56" i="29"/>
  <c r="C54" i="3"/>
  <c r="E53" i="3" s="1"/>
  <c r="F53" i="3" s="1"/>
  <c r="C54" i="2"/>
  <c r="C54" i="1"/>
  <c r="A54" i="12"/>
  <c r="A54" i="4"/>
  <c r="A54" i="1"/>
  <c r="A54" i="16"/>
  <c r="A54" i="11"/>
  <c r="A54" i="10"/>
  <c r="A54" i="2"/>
  <c r="A54" i="3"/>
  <c r="A54" i="5"/>
  <c r="A54" i="7"/>
  <c r="B55" i="1"/>
  <c r="B55" i="16"/>
  <c r="B55" i="12"/>
  <c r="B55" i="11"/>
  <c r="B55" i="10"/>
  <c r="B55" i="2"/>
  <c r="B55" i="7"/>
  <c r="B55" i="4"/>
  <c r="B55" i="3"/>
  <c r="B55" i="5"/>
  <c r="B57" i="29"/>
  <c r="B56" i="34" s="1"/>
  <c r="A56" i="29"/>
  <c r="A55" i="34" s="1"/>
  <c r="C116" i="7" l="1"/>
  <c r="E118" i="29"/>
  <c r="C116" i="2"/>
  <c r="J118" i="29"/>
  <c r="C116" i="16"/>
  <c r="F118" i="29"/>
  <c r="C116" i="10"/>
  <c r="G118" i="29"/>
  <c r="C114" i="4"/>
  <c r="E114" i="4" s="1"/>
  <c r="I116" i="29"/>
  <c r="C57" i="29"/>
  <c r="C55" i="3"/>
  <c r="D57" i="29"/>
  <c r="C55" i="5"/>
  <c r="L57" i="29"/>
  <c r="H57" i="29"/>
  <c r="C55" i="11"/>
  <c r="A56" i="30"/>
  <c r="K57" i="29"/>
  <c r="C55" i="12"/>
  <c r="C55" i="2"/>
  <c r="C55" i="1"/>
  <c r="A55" i="12"/>
  <c r="A55" i="11"/>
  <c r="A55" i="10"/>
  <c r="A55" i="2"/>
  <c r="A55" i="4"/>
  <c r="A55" i="1"/>
  <c r="A55" i="5"/>
  <c r="A55" i="3"/>
  <c r="A55" i="16"/>
  <c r="A55" i="7"/>
  <c r="B56" i="4"/>
  <c r="B56" i="1"/>
  <c r="B56" i="16"/>
  <c r="B56" i="10"/>
  <c r="B56" i="2"/>
  <c r="B56" i="12"/>
  <c r="B56" i="7"/>
  <c r="B56" i="5"/>
  <c r="B56" i="11"/>
  <c r="B56" i="3"/>
  <c r="B58" i="29"/>
  <c r="B57" i="34" s="1"/>
  <c r="A57" i="29"/>
  <c r="A56" i="34" s="1"/>
  <c r="C117" i="7" l="1"/>
  <c r="E119" i="29"/>
  <c r="C117" i="2"/>
  <c r="J119" i="29"/>
  <c r="C117" i="16"/>
  <c r="F119" i="29"/>
  <c r="C117" i="10"/>
  <c r="G119" i="29"/>
  <c r="C115" i="4"/>
  <c r="E115" i="4" s="1"/>
  <c r="I117" i="29"/>
  <c r="L58" i="29"/>
  <c r="A57" i="30"/>
  <c r="K58" i="29"/>
  <c r="C56" i="12"/>
  <c r="E56" i="12" s="1"/>
  <c r="D58" i="29"/>
  <c r="C56" i="5"/>
  <c r="E56" i="5" s="1"/>
  <c r="H58" i="29"/>
  <c r="C56" i="11"/>
  <c r="E56" i="11" s="1"/>
  <c r="C58" i="29"/>
  <c r="C56" i="3"/>
  <c r="C56" i="2"/>
  <c r="F56" i="2" s="1"/>
  <c r="C56" i="1"/>
  <c r="B57" i="1"/>
  <c r="B57" i="10"/>
  <c r="B57" i="16"/>
  <c r="B57" i="2"/>
  <c r="B57" i="11"/>
  <c r="B57" i="12"/>
  <c r="B57" i="5"/>
  <c r="B57" i="3"/>
  <c r="B57" i="4"/>
  <c r="B57" i="7"/>
  <c r="A56" i="4"/>
  <c r="A56" i="7"/>
  <c r="A56" i="1"/>
  <c r="A56" i="16"/>
  <c r="A56" i="10"/>
  <c r="A56" i="11"/>
  <c r="A56" i="12"/>
  <c r="A56" i="5"/>
  <c r="A56" i="3"/>
  <c r="A56" i="2"/>
  <c r="A58" i="29"/>
  <c r="A57" i="34" s="1"/>
  <c r="B59" i="29"/>
  <c r="B58" i="34" s="1"/>
  <c r="C118" i="7" l="1"/>
  <c r="E120" i="29"/>
  <c r="C118" i="2"/>
  <c r="J120" i="29"/>
  <c r="C118" i="16"/>
  <c r="F120" i="29"/>
  <c r="C118" i="10"/>
  <c r="G120" i="29"/>
  <c r="C116" i="4"/>
  <c r="I118" i="29"/>
  <c r="E56" i="3"/>
  <c r="F56" i="3" s="1"/>
  <c r="K59" i="29"/>
  <c r="C57" i="12"/>
  <c r="E57" i="12" s="1"/>
  <c r="D59" i="29"/>
  <c r="C57" i="5"/>
  <c r="E57" i="5" s="1"/>
  <c r="A58" i="30"/>
  <c r="C59" i="29"/>
  <c r="C57" i="3"/>
  <c r="H59" i="29"/>
  <c r="C57" i="11"/>
  <c r="E57" i="11" s="1"/>
  <c r="L59" i="29"/>
  <c r="C57" i="2"/>
  <c r="F57" i="2" s="1"/>
  <c r="C57" i="1"/>
  <c r="E57" i="1" s="1"/>
  <c r="B58" i="11"/>
  <c r="B58" i="4"/>
  <c r="B58" i="12"/>
  <c r="B58" i="10"/>
  <c r="B58" i="1"/>
  <c r="B58" i="16"/>
  <c r="B58" i="7"/>
  <c r="B58" i="3"/>
  <c r="B58" i="5"/>
  <c r="B58" i="2"/>
  <c r="A57" i="2"/>
  <c r="A57" i="11"/>
  <c r="A57" i="12"/>
  <c r="A57" i="10"/>
  <c r="A57" i="16"/>
  <c r="A57" i="3"/>
  <c r="A57" i="5"/>
  <c r="A57" i="4"/>
  <c r="A57" i="1"/>
  <c r="A57" i="7"/>
  <c r="B60" i="29"/>
  <c r="B59" i="34" s="1"/>
  <c r="A59" i="29"/>
  <c r="A58" i="34" s="1"/>
  <c r="E57" i="3" l="1"/>
  <c r="F57" i="3" s="1"/>
  <c r="C119" i="7"/>
  <c r="E119" i="7" s="1"/>
  <c r="E121" i="29"/>
  <c r="C119" i="2"/>
  <c r="F119" i="2" s="1"/>
  <c r="J121" i="29"/>
  <c r="C119" i="16"/>
  <c r="E119" i="16" s="1"/>
  <c r="F121" i="29"/>
  <c r="C119" i="10"/>
  <c r="E119" i="10" s="1"/>
  <c r="G121" i="29"/>
  <c r="C117" i="4"/>
  <c r="I119" i="29"/>
  <c r="L60" i="29"/>
  <c r="D60" i="29"/>
  <c r="C58" i="5"/>
  <c r="E58" i="5" s="1"/>
  <c r="H60" i="29"/>
  <c r="C58" i="11"/>
  <c r="E58" i="11" s="1"/>
  <c r="K60" i="29"/>
  <c r="C58" i="12"/>
  <c r="E58" i="12" s="1"/>
  <c r="C60" i="29"/>
  <c r="C58" i="3"/>
  <c r="A59" i="30"/>
  <c r="C58" i="2"/>
  <c r="F58" i="2" s="1"/>
  <c r="C58" i="1"/>
  <c r="E58" i="1" s="1"/>
  <c r="A58" i="4"/>
  <c r="A58" i="12"/>
  <c r="A58" i="10"/>
  <c r="A58" i="1"/>
  <c r="A58" i="16"/>
  <c r="A58" i="11"/>
  <c r="A58" i="7"/>
  <c r="A58" i="3"/>
  <c r="A58" i="5"/>
  <c r="A58" i="2"/>
  <c r="B59" i="1"/>
  <c r="B59" i="4"/>
  <c r="B59" i="16"/>
  <c r="B59" i="12"/>
  <c r="B59" i="2"/>
  <c r="B59" i="11"/>
  <c r="B59" i="10"/>
  <c r="B59" i="5"/>
  <c r="B59" i="3"/>
  <c r="B59" i="7"/>
  <c r="B61" i="29"/>
  <c r="B60" i="34" s="1"/>
  <c r="A60" i="29"/>
  <c r="A59" i="34" s="1"/>
  <c r="E58" i="3" l="1"/>
  <c r="F58" i="3" s="1"/>
  <c r="C120" i="7"/>
  <c r="E120" i="7" s="1"/>
  <c r="E122" i="29"/>
  <c r="C120" i="2"/>
  <c r="F120" i="2" s="1"/>
  <c r="J122" i="29"/>
  <c r="C120" i="16"/>
  <c r="E120" i="16" s="1"/>
  <c r="F122" i="29"/>
  <c r="C120" i="10"/>
  <c r="E120" i="10" s="1"/>
  <c r="G122" i="29"/>
  <c r="C118" i="4"/>
  <c r="I120" i="29"/>
  <c r="C61" i="29"/>
  <c r="C59" i="3"/>
  <c r="H61" i="29"/>
  <c r="C59" i="11"/>
  <c r="E59" i="11" s="1"/>
  <c r="K61" i="29"/>
  <c r="C59" i="12"/>
  <c r="E59" i="12" s="1"/>
  <c r="D61" i="29"/>
  <c r="C59" i="5"/>
  <c r="E59" i="5" s="1"/>
  <c r="A60" i="30"/>
  <c r="L61" i="29"/>
  <c r="C59" i="2"/>
  <c r="C59" i="1"/>
  <c r="E59" i="1" s="1"/>
  <c r="A59" i="12"/>
  <c r="A59" i="2"/>
  <c r="A59" i="7"/>
  <c r="A59" i="11"/>
  <c r="A59" i="10"/>
  <c r="A59" i="1"/>
  <c r="A59" i="4"/>
  <c r="A59" i="16"/>
  <c r="A59" i="3"/>
  <c r="A59" i="5"/>
  <c r="B60" i="12"/>
  <c r="B60" i="11"/>
  <c r="B60" i="10"/>
  <c r="B60" i="1"/>
  <c r="B60" i="16"/>
  <c r="B60" i="4"/>
  <c r="B60" i="2"/>
  <c r="B60" i="3"/>
  <c r="B60" i="7"/>
  <c r="B60" i="5"/>
  <c r="A61" i="29"/>
  <c r="A60" i="34" s="1"/>
  <c r="B62" i="29"/>
  <c r="B61" i="34" s="1"/>
  <c r="C121" i="7" l="1"/>
  <c r="E121" i="7" s="1"/>
  <c r="E123" i="29"/>
  <c r="C121" i="2"/>
  <c r="F121" i="2" s="1"/>
  <c r="J123" i="29"/>
  <c r="C121" i="16"/>
  <c r="E121" i="16" s="1"/>
  <c r="F123" i="29"/>
  <c r="C121" i="10"/>
  <c r="E121" i="10" s="1"/>
  <c r="G123" i="29"/>
  <c r="C119" i="4"/>
  <c r="E119" i="4" s="1"/>
  <c r="I121" i="29"/>
  <c r="K62" i="29"/>
  <c r="C60" i="12"/>
  <c r="E60" i="12" s="1"/>
  <c r="H62" i="29"/>
  <c r="C60" i="11"/>
  <c r="E60" i="11" s="1"/>
  <c r="L62" i="29"/>
  <c r="D62" i="29"/>
  <c r="C60" i="5"/>
  <c r="E60" i="5" s="1"/>
  <c r="A61" i="30"/>
  <c r="C62" i="29"/>
  <c r="C60" i="3"/>
  <c r="C60" i="2"/>
  <c r="F60" i="2" s="1"/>
  <c r="C60" i="1"/>
  <c r="E60" i="1" s="1"/>
  <c r="B61" i="16"/>
  <c r="B61" i="1"/>
  <c r="B61" i="4"/>
  <c r="B61" i="2"/>
  <c r="B61" i="11"/>
  <c r="B61" i="10"/>
  <c r="B61" i="3"/>
  <c r="B61" i="7"/>
  <c r="B61" i="12"/>
  <c r="B61" i="5"/>
  <c r="A60" i="11"/>
  <c r="A60" i="10"/>
  <c r="A60" i="1"/>
  <c r="A60" i="16"/>
  <c r="A60" i="4"/>
  <c r="A60" i="2"/>
  <c r="A60" i="3"/>
  <c r="A60" i="12"/>
  <c r="A60" i="7"/>
  <c r="A60" i="5"/>
  <c r="B63" i="29"/>
  <c r="B62" i="34" s="1"/>
  <c r="A62" i="29"/>
  <c r="A61" i="34" s="1"/>
  <c r="C122" i="7" l="1"/>
  <c r="E122" i="7" s="1"/>
  <c r="E124" i="29"/>
  <c r="C122" i="2"/>
  <c r="F122" i="2" s="1"/>
  <c r="J124" i="29"/>
  <c r="C122" i="16"/>
  <c r="E122" i="16" s="1"/>
  <c r="F124" i="29"/>
  <c r="C122" i="10"/>
  <c r="E122" i="10" s="1"/>
  <c r="G124" i="29"/>
  <c r="C120" i="4"/>
  <c r="E120" i="4" s="1"/>
  <c r="I122" i="29"/>
  <c r="C63" i="29"/>
  <c r="C61" i="3"/>
  <c r="H63" i="29"/>
  <c r="C61" i="11"/>
  <c r="L63" i="29"/>
  <c r="D63" i="29"/>
  <c r="C61" i="5"/>
  <c r="A62" i="30"/>
  <c r="E59" i="3"/>
  <c r="F59" i="3" s="1"/>
  <c r="K63" i="29"/>
  <c r="C61" i="12"/>
  <c r="C61" i="2"/>
  <c r="C61" i="1"/>
  <c r="B62" i="10"/>
  <c r="B62" i="11"/>
  <c r="B62" i="16"/>
  <c r="B62" i="1"/>
  <c r="B62" i="4"/>
  <c r="B62" i="12"/>
  <c r="B62" i="2"/>
  <c r="B62" i="7"/>
  <c r="B62" i="5"/>
  <c r="B62" i="3"/>
  <c r="A61" i="1"/>
  <c r="A61" i="4"/>
  <c r="A61" i="2"/>
  <c r="A61" i="11"/>
  <c r="A61" i="10"/>
  <c r="A61" i="7"/>
  <c r="A61" i="12"/>
  <c r="A61" i="3"/>
  <c r="A61" i="16"/>
  <c r="A61" i="5"/>
  <c r="B64" i="29"/>
  <c r="B63" i="34" s="1"/>
  <c r="A63" i="29"/>
  <c r="A62" i="34" s="1"/>
  <c r="E60" i="3" l="1"/>
  <c r="F60" i="3" s="1"/>
  <c r="C123" i="7"/>
  <c r="E123" i="7" s="1"/>
  <c r="E125" i="29"/>
  <c r="C123" i="2"/>
  <c r="F123" i="2" s="1"/>
  <c r="J125" i="29"/>
  <c r="C123" i="16"/>
  <c r="E123" i="16" s="1"/>
  <c r="F125" i="29"/>
  <c r="C123" i="10"/>
  <c r="E123" i="10" s="1"/>
  <c r="G125" i="29"/>
  <c r="C121" i="4"/>
  <c r="E121" i="4" s="1"/>
  <c r="I123" i="29"/>
  <c r="H64" i="29"/>
  <c r="C62" i="11"/>
  <c r="L64" i="29"/>
  <c r="K64" i="29"/>
  <c r="C62" i="12"/>
  <c r="A63" i="30"/>
  <c r="D64" i="29"/>
  <c r="C62" i="5"/>
  <c r="C64" i="29"/>
  <c r="C62" i="3"/>
  <c r="C62" i="2"/>
  <c r="C62" i="1"/>
  <c r="A62" i="11"/>
  <c r="A62" i="16"/>
  <c r="A62" i="1"/>
  <c r="A62" i="4"/>
  <c r="A62" i="12"/>
  <c r="A62" i="2"/>
  <c r="A62" i="10"/>
  <c r="A62" i="5"/>
  <c r="A62" i="7"/>
  <c r="A62" i="3"/>
  <c r="B63" i="16"/>
  <c r="B63" i="1"/>
  <c r="B63" i="4"/>
  <c r="B63" i="2"/>
  <c r="B63" i="10"/>
  <c r="B63" i="12"/>
  <c r="B63" i="3"/>
  <c r="B63" i="5"/>
  <c r="B63" i="11"/>
  <c r="B63" i="7"/>
  <c r="B65" i="29"/>
  <c r="B64" i="34" s="1"/>
  <c r="A64" i="29"/>
  <c r="A63" i="34" s="1"/>
  <c r="C124" i="7" l="1"/>
  <c r="E126" i="29"/>
  <c r="C124" i="2"/>
  <c r="J126" i="29"/>
  <c r="C124" i="16"/>
  <c r="F126" i="29"/>
  <c r="C124" i="10"/>
  <c r="G126" i="29"/>
  <c r="C122" i="4"/>
  <c r="E122" i="4" s="1"/>
  <c r="I124" i="29"/>
  <c r="C65" i="29"/>
  <c r="C63" i="3"/>
  <c r="A64" i="30"/>
  <c r="K65" i="29"/>
  <c r="C63" i="12"/>
  <c r="E63" i="12" s="1"/>
  <c r="L65" i="29"/>
  <c r="D65" i="29"/>
  <c r="C63" i="5"/>
  <c r="E63" i="5" s="1"/>
  <c r="H65" i="29"/>
  <c r="C63" i="11"/>
  <c r="E63" i="11" s="1"/>
  <c r="C63" i="2"/>
  <c r="F63" i="2" s="1"/>
  <c r="C63" i="1"/>
  <c r="E63" i="1" s="1"/>
  <c r="A63" i="1"/>
  <c r="A63" i="4"/>
  <c r="A63" i="2"/>
  <c r="A63" i="10"/>
  <c r="A63" i="12"/>
  <c r="A63" i="11"/>
  <c r="A63" i="16"/>
  <c r="A63" i="3"/>
  <c r="A63" i="5"/>
  <c r="A63" i="7"/>
  <c r="B64" i="11"/>
  <c r="B64" i="12"/>
  <c r="B64" i="16"/>
  <c r="B64" i="1"/>
  <c r="B64" i="4"/>
  <c r="B64" i="5"/>
  <c r="B64" i="10"/>
  <c r="B64" i="3"/>
  <c r="B64" i="7"/>
  <c r="B64" i="2"/>
  <c r="B66" i="29"/>
  <c r="B65" i="34" s="1"/>
  <c r="A65" i="29"/>
  <c r="A64" i="34" s="1"/>
  <c r="C125" i="7" l="1"/>
  <c r="E127" i="29"/>
  <c r="C125" i="2"/>
  <c r="J127" i="29"/>
  <c r="C125" i="16"/>
  <c r="F127" i="29"/>
  <c r="C125" i="10"/>
  <c r="G127" i="29"/>
  <c r="C123" i="4"/>
  <c r="E123" i="4" s="1"/>
  <c r="I125" i="29"/>
  <c r="L66" i="29"/>
  <c r="K66" i="29"/>
  <c r="C64" i="12"/>
  <c r="E64" i="12" s="1"/>
  <c r="A65" i="30"/>
  <c r="H66" i="29"/>
  <c r="C64" i="11"/>
  <c r="E64" i="11" s="1"/>
  <c r="E63" i="3"/>
  <c r="F63" i="3" s="1"/>
  <c r="D66" i="29"/>
  <c r="C64" i="5"/>
  <c r="E64" i="5" s="1"/>
  <c r="C66" i="29"/>
  <c r="C64" i="3"/>
  <c r="C64" i="2"/>
  <c r="F64" i="2" s="1"/>
  <c r="C64" i="1"/>
  <c r="E64" i="1" s="1"/>
  <c r="A64" i="11"/>
  <c r="A64" i="12"/>
  <c r="A64" i="16"/>
  <c r="A64" i="1"/>
  <c r="A64" i="4"/>
  <c r="A64" i="5"/>
  <c r="A64" i="2"/>
  <c r="A64" i="3"/>
  <c r="A64" i="7"/>
  <c r="A64" i="10"/>
  <c r="B65" i="16"/>
  <c r="B65" i="1"/>
  <c r="B65" i="4"/>
  <c r="B65" i="10"/>
  <c r="B65" i="12"/>
  <c r="B65" i="2"/>
  <c r="B65" i="7"/>
  <c r="B65" i="5"/>
  <c r="B65" i="3"/>
  <c r="B65" i="11"/>
  <c r="A66" i="29"/>
  <c r="A65" i="34" s="1"/>
  <c r="B67" i="29"/>
  <c r="B66" i="34" s="1"/>
  <c r="E64" i="3" l="1"/>
  <c r="F64" i="3" s="1"/>
  <c r="C126" i="7"/>
  <c r="E126" i="7" s="1"/>
  <c r="E128" i="29"/>
  <c r="C126" i="2"/>
  <c r="F126" i="2" s="1"/>
  <c r="J128" i="29"/>
  <c r="C126" i="16"/>
  <c r="E126" i="16" s="1"/>
  <c r="F128" i="29"/>
  <c r="C126" i="10"/>
  <c r="E126" i="10" s="1"/>
  <c r="G128" i="29"/>
  <c r="C124" i="4"/>
  <c r="I126" i="29"/>
  <c r="D67" i="29"/>
  <c r="C65" i="5"/>
  <c r="E65" i="5" s="1"/>
  <c r="H67" i="29"/>
  <c r="C65" i="11"/>
  <c r="E65" i="11" s="1"/>
  <c r="K67" i="29"/>
  <c r="C65" i="12"/>
  <c r="E65" i="12" s="1"/>
  <c r="A66" i="30"/>
  <c r="C67" i="29"/>
  <c r="C65" i="3"/>
  <c r="L67" i="29"/>
  <c r="C65" i="2"/>
  <c r="F65" i="2" s="1"/>
  <c r="C65" i="1"/>
  <c r="E65" i="1" s="1"/>
  <c r="B66" i="12"/>
  <c r="B66" i="7"/>
  <c r="B66" i="11"/>
  <c r="B66" i="16"/>
  <c r="B66" i="1"/>
  <c r="B66" i="4"/>
  <c r="B66" i="10"/>
  <c r="B66" i="5"/>
  <c r="B66" i="2"/>
  <c r="B66" i="3"/>
  <c r="A65" i="1"/>
  <c r="A65" i="4"/>
  <c r="A65" i="10"/>
  <c r="A65" i="12"/>
  <c r="A65" i="2"/>
  <c r="A65" i="11"/>
  <c r="A65" i="3"/>
  <c r="A65" i="7"/>
  <c r="A65" i="5"/>
  <c r="A65" i="16"/>
  <c r="A67" i="29"/>
  <c r="A66" i="34" s="1"/>
  <c r="B68" i="29"/>
  <c r="B67" i="34" s="1"/>
  <c r="E65" i="3" l="1"/>
  <c r="F65" i="3" s="1"/>
  <c r="C127" i="7"/>
  <c r="E127" i="7" s="1"/>
  <c r="E129" i="29"/>
  <c r="C127" i="2"/>
  <c r="F127" i="2" s="1"/>
  <c r="J129" i="29"/>
  <c r="C127" i="16"/>
  <c r="E127" i="16" s="1"/>
  <c r="F129" i="29"/>
  <c r="C127" i="10"/>
  <c r="E127" i="10" s="1"/>
  <c r="G129" i="29"/>
  <c r="C125" i="4"/>
  <c r="I127" i="29"/>
  <c r="L68" i="29"/>
  <c r="K68" i="29"/>
  <c r="C66" i="12"/>
  <c r="E66" i="12" s="1"/>
  <c r="C68" i="29"/>
  <c r="C66" i="3"/>
  <c r="H68" i="29"/>
  <c r="C66" i="11"/>
  <c r="E66" i="11" s="1"/>
  <c r="A67" i="30"/>
  <c r="D68" i="29"/>
  <c r="C66" i="5"/>
  <c r="E66" i="5" s="1"/>
  <c r="C66" i="2"/>
  <c r="F66" i="2" s="1"/>
  <c r="C66" i="1"/>
  <c r="E66" i="1" s="1"/>
  <c r="B67" i="11"/>
  <c r="B67" i="10"/>
  <c r="B67" i="16"/>
  <c r="B67" i="1"/>
  <c r="B67" i="4"/>
  <c r="B67" i="12"/>
  <c r="B67" i="2"/>
  <c r="B67" i="7"/>
  <c r="B67" i="3"/>
  <c r="B67" i="5"/>
  <c r="A66" i="12"/>
  <c r="A66" i="11"/>
  <c r="A66" i="16"/>
  <c r="A66" i="1"/>
  <c r="A66" i="4"/>
  <c r="A66" i="10"/>
  <c r="A66" i="7"/>
  <c r="A66" i="2"/>
  <c r="A66" i="3"/>
  <c r="A66" i="5"/>
  <c r="A68" i="29"/>
  <c r="A67" i="34" s="1"/>
  <c r="B69" i="29"/>
  <c r="B68" i="34" s="1"/>
  <c r="E130" i="29" l="1"/>
  <c r="C128" i="7"/>
  <c r="J130" i="29"/>
  <c r="C128" i="2"/>
  <c r="F128" i="2" s="1"/>
  <c r="F130" i="29"/>
  <c r="C128" i="16"/>
  <c r="E128" i="16" s="1"/>
  <c r="G130" i="29"/>
  <c r="C128" i="10"/>
  <c r="E128" i="10" s="1"/>
  <c r="C126" i="4"/>
  <c r="E126" i="4" s="1"/>
  <c r="I128" i="29"/>
  <c r="B68" i="11"/>
  <c r="B68" i="4"/>
  <c r="B68" i="1"/>
  <c r="B68" i="2"/>
  <c r="B68" i="16"/>
  <c r="B68" i="10"/>
  <c r="B68" i="12"/>
  <c r="B68" i="5"/>
  <c r="B68" i="7"/>
  <c r="B68" i="3"/>
  <c r="C69" i="29"/>
  <c r="C67" i="3"/>
  <c r="D69" i="29"/>
  <c r="C67" i="5"/>
  <c r="E67" i="5" s="1"/>
  <c r="K69" i="29"/>
  <c r="C67" i="12"/>
  <c r="E67" i="12" s="1"/>
  <c r="A68" i="30"/>
  <c r="H69" i="29"/>
  <c r="C67" i="11"/>
  <c r="E67" i="11" s="1"/>
  <c r="L69" i="29"/>
  <c r="C67" i="2"/>
  <c r="F67" i="2" s="1"/>
  <c r="C67" i="1"/>
  <c r="E67" i="1" s="1"/>
  <c r="A67" i="1"/>
  <c r="A67" i="4"/>
  <c r="A67" i="12"/>
  <c r="A67" i="2"/>
  <c r="A67" i="7"/>
  <c r="A67" i="3"/>
  <c r="A67" i="11"/>
  <c r="A67" i="10"/>
  <c r="A67" i="16"/>
  <c r="A67" i="5"/>
  <c r="B70" i="29"/>
  <c r="B69" i="34" s="1"/>
  <c r="A69" i="29"/>
  <c r="A68" i="34" s="1"/>
  <c r="C129" i="7" l="1"/>
  <c r="E129" i="7" s="1"/>
  <c r="E131" i="29"/>
  <c r="C129" i="2"/>
  <c r="F129" i="2" s="1"/>
  <c r="J131" i="29"/>
  <c r="C129" i="16"/>
  <c r="E129" i="16" s="1"/>
  <c r="F131" i="29"/>
  <c r="C129" i="10"/>
  <c r="E129" i="10" s="1"/>
  <c r="G131" i="29"/>
  <c r="C127" i="4"/>
  <c r="E127" i="4" s="1"/>
  <c r="I129" i="29"/>
  <c r="H70" i="29"/>
  <c r="C68" i="11"/>
  <c r="C70" i="29"/>
  <c r="C68" i="3"/>
  <c r="K70" i="29"/>
  <c r="C68" i="12"/>
  <c r="L70" i="29"/>
  <c r="C68" i="1"/>
  <c r="A69" i="30"/>
  <c r="A68" i="11"/>
  <c r="A68" i="4"/>
  <c r="A68" i="2"/>
  <c r="A68" i="10"/>
  <c r="A68" i="1"/>
  <c r="A68" i="12"/>
  <c r="A68" i="16"/>
  <c r="A68" i="5"/>
  <c r="A68" i="7"/>
  <c r="A68" i="3"/>
  <c r="B69" i="4"/>
  <c r="B69" i="1"/>
  <c r="B69" i="10"/>
  <c r="B69" i="2"/>
  <c r="B69" i="11"/>
  <c r="B69" i="5"/>
  <c r="B69" i="3"/>
  <c r="B69" i="12"/>
  <c r="B69" i="16"/>
  <c r="B69" i="7"/>
  <c r="D70" i="29"/>
  <c r="C68" i="5"/>
  <c r="E66" i="3"/>
  <c r="F66" i="3" s="1"/>
  <c r="A70" i="29"/>
  <c r="A69" i="34" s="1"/>
  <c r="B71" i="29"/>
  <c r="B70" i="34" s="1"/>
  <c r="C130" i="7" l="1"/>
  <c r="E132" i="29"/>
  <c r="C130" i="2"/>
  <c r="J132" i="29"/>
  <c r="C130" i="16"/>
  <c r="F132" i="29"/>
  <c r="C130" i="10"/>
  <c r="G132" i="29"/>
  <c r="I130" i="29"/>
  <c r="C128" i="4"/>
  <c r="E128" i="4" s="1"/>
  <c r="E67" i="3"/>
  <c r="F67" i="3" s="1"/>
  <c r="K71" i="29"/>
  <c r="C69" i="12"/>
  <c r="C71" i="29"/>
  <c r="C69" i="3"/>
  <c r="D71" i="29"/>
  <c r="C69" i="5"/>
  <c r="B70" i="12"/>
  <c r="B70" i="11"/>
  <c r="B70" i="5"/>
  <c r="B70" i="1"/>
  <c r="B70" i="4"/>
  <c r="B70" i="2"/>
  <c r="B70" i="10"/>
  <c r="B70" i="16"/>
  <c r="B70" i="3"/>
  <c r="B70" i="7"/>
  <c r="A70" i="30"/>
  <c r="A69" i="1"/>
  <c r="A69" i="10"/>
  <c r="A69" i="2"/>
  <c r="A69" i="12"/>
  <c r="A69" i="16"/>
  <c r="A69" i="4"/>
  <c r="A69" i="11"/>
  <c r="A69" i="5"/>
  <c r="A69" i="3"/>
  <c r="A69" i="7"/>
  <c r="L71" i="29"/>
  <c r="C69" i="1"/>
  <c r="H71" i="29"/>
  <c r="C69" i="11"/>
  <c r="A71" i="29"/>
  <c r="A70" i="34" s="1"/>
  <c r="B72" i="29"/>
  <c r="B71" i="34" s="1"/>
  <c r="C131" i="7" l="1"/>
  <c r="E133" i="29"/>
  <c r="C131" i="2"/>
  <c r="J133" i="29"/>
  <c r="C131" i="16"/>
  <c r="F133" i="29"/>
  <c r="C131" i="10"/>
  <c r="G133" i="29"/>
  <c r="C129" i="4"/>
  <c r="E129" i="4" s="1"/>
  <c r="I131" i="29"/>
  <c r="A71" i="30"/>
  <c r="A70" i="12"/>
  <c r="A70" i="4"/>
  <c r="A70" i="1"/>
  <c r="A70" i="3"/>
  <c r="A70" i="2"/>
  <c r="A70" i="10"/>
  <c r="A70" i="16"/>
  <c r="A70" i="5"/>
  <c r="A70" i="11"/>
  <c r="A70" i="7"/>
  <c r="D72" i="29"/>
  <c r="C70" i="5"/>
  <c r="E70" i="5" s="1"/>
  <c r="C72" i="29"/>
  <c r="C70" i="3"/>
  <c r="L72" i="29"/>
  <c r="C70" i="1"/>
  <c r="E70" i="1" s="1"/>
  <c r="H72" i="29"/>
  <c r="C70" i="11"/>
  <c r="E70" i="11" s="1"/>
  <c r="B71" i="12"/>
  <c r="B71" i="10"/>
  <c r="B71" i="2"/>
  <c r="B71" i="4"/>
  <c r="B71" i="5"/>
  <c r="B71" i="1"/>
  <c r="B71" i="11"/>
  <c r="B71" i="3"/>
  <c r="B71" i="16"/>
  <c r="B71" i="7"/>
  <c r="K72" i="29"/>
  <c r="C70" i="12"/>
  <c r="E70" i="12" s="1"/>
  <c r="B73" i="29"/>
  <c r="B72" i="34" s="1"/>
  <c r="A72" i="29"/>
  <c r="A71" i="34" s="1"/>
  <c r="C132" i="7" l="1"/>
  <c r="E134" i="29"/>
  <c r="C132" i="2"/>
  <c r="J134" i="29"/>
  <c r="C132" i="16"/>
  <c r="F134" i="29"/>
  <c r="C132" i="10"/>
  <c r="G134" i="29"/>
  <c r="C130" i="4"/>
  <c r="I132" i="29"/>
  <c r="L73" i="29"/>
  <c r="C71" i="1"/>
  <c r="E71" i="1" s="1"/>
  <c r="E70" i="3"/>
  <c r="F70" i="3" s="1"/>
  <c r="C73" i="29"/>
  <c r="C71" i="3"/>
  <c r="D73" i="29"/>
  <c r="C71" i="5"/>
  <c r="E71" i="5" s="1"/>
  <c r="H73" i="29"/>
  <c r="C71" i="11"/>
  <c r="E71" i="11" s="1"/>
  <c r="B72" i="12"/>
  <c r="B72" i="11"/>
  <c r="B72" i="10"/>
  <c r="B72" i="2"/>
  <c r="B72" i="3"/>
  <c r="B72" i="1"/>
  <c r="B72" i="5"/>
  <c r="B72" i="4"/>
  <c r="B72" i="16"/>
  <c r="B72" i="7"/>
  <c r="K73" i="29"/>
  <c r="C71" i="12"/>
  <c r="E71" i="12" s="1"/>
  <c r="A72" i="30"/>
  <c r="A71" i="12"/>
  <c r="A71" i="10"/>
  <c r="A71" i="2"/>
  <c r="A71" i="16"/>
  <c r="A71" i="1"/>
  <c r="A71" i="11"/>
  <c r="A71" i="4"/>
  <c r="A71" i="5"/>
  <c r="A71" i="3"/>
  <c r="A71" i="7"/>
  <c r="A73" i="29"/>
  <c r="A72" i="34" s="1"/>
  <c r="B74" i="29"/>
  <c r="B73" i="34" s="1"/>
  <c r="C133" i="7" l="1"/>
  <c r="E133" i="7" s="1"/>
  <c r="E135" i="29"/>
  <c r="C133" i="2"/>
  <c r="F133" i="2" s="1"/>
  <c r="J135" i="29"/>
  <c r="C133" i="16"/>
  <c r="E133" i="16" s="1"/>
  <c r="F135" i="29"/>
  <c r="C133" i="10"/>
  <c r="E133" i="10" s="1"/>
  <c r="G135" i="29"/>
  <c r="C131" i="4"/>
  <c r="I133" i="29"/>
  <c r="E71" i="3"/>
  <c r="C74" i="29"/>
  <c r="C72" i="3"/>
  <c r="B73" i="12"/>
  <c r="B73" i="11"/>
  <c r="B73" i="10"/>
  <c r="B73" i="2"/>
  <c r="B73" i="16"/>
  <c r="B73" i="4"/>
  <c r="B73" i="1"/>
  <c r="B73" i="3"/>
  <c r="B73" i="5"/>
  <c r="B73" i="7"/>
  <c r="D74" i="29"/>
  <c r="C72" i="5"/>
  <c r="E72" i="5" s="1"/>
  <c r="A73" i="30"/>
  <c r="A72" i="12"/>
  <c r="A72" i="11"/>
  <c r="A72" i="1"/>
  <c r="A72" i="4"/>
  <c r="A72" i="2"/>
  <c r="A72" i="16"/>
  <c r="A72" i="10"/>
  <c r="A72" i="3"/>
  <c r="A72" i="5"/>
  <c r="A72" i="7"/>
  <c r="K74" i="29"/>
  <c r="C72" i="12"/>
  <c r="E72" i="12" s="1"/>
  <c r="H74" i="29"/>
  <c r="C72" i="11"/>
  <c r="E72" i="11" s="1"/>
  <c r="L74" i="29"/>
  <c r="C72" i="1"/>
  <c r="E72" i="1" s="1"/>
  <c r="A74" i="29"/>
  <c r="A73" i="34" s="1"/>
  <c r="B75" i="29"/>
  <c r="B74" i="34" s="1"/>
  <c r="C134" i="7" l="1"/>
  <c r="E134" i="7" s="1"/>
  <c r="E136" i="29"/>
  <c r="C134" i="2"/>
  <c r="F134" i="2" s="1"/>
  <c r="J136" i="29"/>
  <c r="C134" i="16"/>
  <c r="E134" i="16" s="1"/>
  <c r="F136" i="29"/>
  <c r="C134" i="10"/>
  <c r="E134" i="10" s="1"/>
  <c r="G136" i="29"/>
  <c r="C132" i="4"/>
  <c r="I134" i="29"/>
  <c r="F71" i="3"/>
  <c r="E72" i="3"/>
  <c r="F72" i="3" s="1"/>
  <c r="D75" i="29"/>
  <c r="C73" i="5"/>
  <c r="E73" i="5" s="1"/>
  <c r="C75" i="29"/>
  <c r="C73" i="3"/>
  <c r="H75" i="29"/>
  <c r="C73" i="11"/>
  <c r="E73" i="11" s="1"/>
  <c r="A74" i="30"/>
  <c r="A73" i="10"/>
  <c r="A73" i="2"/>
  <c r="A73" i="1"/>
  <c r="A73" i="12"/>
  <c r="A73" i="16"/>
  <c r="A73" i="4"/>
  <c r="A73" i="11"/>
  <c r="A73" i="5"/>
  <c r="A73" i="3"/>
  <c r="A73" i="7"/>
  <c r="L75" i="29"/>
  <c r="C73" i="1"/>
  <c r="E73" i="1" s="1"/>
  <c r="K75" i="29"/>
  <c r="C73" i="12"/>
  <c r="E73" i="12" s="1"/>
  <c r="B74" i="12"/>
  <c r="B74" i="2"/>
  <c r="B74" i="4"/>
  <c r="B74" i="16"/>
  <c r="B74" i="1"/>
  <c r="B74" i="5"/>
  <c r="B74" i="10"/>
  <c r="B74" i="11"/>
  <c r="B74" i="3"/>
  <c r="B74" i="7"/>
  <c r="A75" i="29"/>
  <c r="A74" i="34" s="1"/>
  <c r="B76" i="29"/>
  <c r="B75" i="34" s="1"/>
  <c r="C135" i="7" l="1"/>
  <c r="E135" i="7" s="1"/>
  <c r="E137" i="29"/>
  <c r="C135" i="2"/>
  <c r="F135" i="2" s="1"/>
  <c r="J137" i="29"/>
  <c r="C135" i="16"/>
  <c r="E135" i="16" s="1"/>
  <c r="F137" i="29"/>
  <c r="C135" i="10"/>
  <c r="E135" i="10" s="1"/>
  <c r="G137" i="29"/>
  <c r="C133" i="4"/>
  <c r="E133" i="4" s="1"/>
  <c r="I135" i="29"/>
  <c r="C76" i="29"/>
  <c r="C74" i="3"/>
  <c r="K76" i="29"/>
  <c r="C74" i="12"/>
  <c r="E74" i="12" s="1"/>
  <c r="D76" i="29"/>
  <c r="C74" i="5"/>
  <c r="E74" i="5" s="1"/>
  <c r="A75" i="30"/>
  <c r="A74" i="12"/>
  <c r="A74" i="2"/>
  <c r="A74" i="1"/>
  <c r="A74" i="4"/>
  <c r="A74" i="16"/>
  <c r="A74" i="3"/>
  <c r="A74" i="11"/>
  <c r="A74" i="10"/>
  <c r="A74" i="5"/>
  <c r="A74" i="7"/>
  <c r="H76" i="29"/>
  <c r="C74" i="11"/>
  <c r="E74" i="11" s="1"/>
  <c r="L76" i="29"/>
  <c r="C74" i="1"/>
  <c r="E74" i="1" s="1"/>
  <c r="B75" i="4"/>
  <c r="B75" i="12"/>
  <c r="B75" i="1"/>
  <c r="B75" i="10"/>
  <c r="B75" i="16"/>
  <c r="B75" i="2"/>
  <c r="B75" i="5"/>
  <c r="B75" i="3"/>
  <c r="B75" i="11"/>
  <c r="B75" i="7"/>
  <c r="B77" i="29"/>
  <c r="B76" i="34" s="1"/>
  <c r="A76" i="29"/>
  <c r="A75" i="34" s="1"/>
  <c r="C136" i="7" l="1"/>
  <c r="E136" i="7" s="1"/>
  <c r="E138" i="29"/>
  <c r="C136" i="2"/>
  <c r="F136" i="2" s="1"/>
  <c r="J138" i="29"/>
  <c r="C136" i="16"/>
  <c r="E136" i="16" s="1"/>
  <c r="F138" i="29"/>
  <c r="C136" i="10"/>
  <c r="E136" i="10" s="1"/>
  <c r="G138" i="29"/>
  <c r="C134" i="4"/>
  <c r="E134" i="4" s="1"/>
  <c r="I136" i="29"/>
  <c r="E73" i="3"/>
  <c r="F73" i="3" s="1"/>
  <c r="D77" i="29"/>
  <c r="C75" i="5"/>
  <c r="K77" i="29"/>
  <c r="C75" i="12"/>
  <c r="H77" i="29"/>
  <c r="C75" i="11"/>
  <c r="C77" i="29"/>
  <c r="C75" i="3"/>
  <c r="E74" i="3" s="1"/>
  <c r="F74" i="3" s="1"/>
  <c r="L77" i="29"/>
  <c r="C75" i="1"/>
  <c r="A76" i="30"/>
  <c r="A75" i="12"/>
  <c r="A75" i="2"/>
  <c r="A75" i="4"/>
  <c r="A75" i="10"/>
  <c r="A75" i="16"/>
  <c r="A75" i="11"/>
  <c r="A75" i="3"/>
  <c r="A75" i="5"/>
  <c r="A75" i="1"/>
  <c r="A75" i="7"/>
  <c r="B76" i="1"/>
  <c r="B76" i="2"/>
  <c r="B76" i="10"/>
  <c r="B76" i="16"/>
  <c r="B76" i="4"/>
  <c r="B76" i="3"/>
  <c r="B76" i="12"/>
  <c r="B76" i="11"/>
  <c r="B76" i="5"/>
  <c r="B76" i="7"/>
  <c r="B78" i="29"/>
  <c r="B77" i="34" s="1"/>
  <c r="A77" i="29"/>
  <c r="A76" i="34" s="1"/>
  <c r="C137" i="7" l="1"/>
  <c r="E137" i="7" s="1"/>
  <c r="E139" i="29"/>
  <c r="C137" i="2"/>
  <c r="F137" i="2" s="1"/>
  <c r="J139" i="29"/>
  <c r="C137" i="16"/>
  <c r="E137" i="16" s="1"/>
  <c r="F139" i="29"/>
  <c r="C137" i="10"/>
  <c r="E137" i="10" s="1"/>
  <c r="G139" i="29"/>
  <c r="C135" i="4"/>
  <c r="E135" i="4" s="1"/>
  <c r="I137" i="29"/>
  <c r="H78" i="29"/>
  <c r="C76" i="11"/>
  <c r="C78" i="29"/>
  <c r="C76" i="3"/>
  <c r="K78" i="29"/>
  <c r="C76" i="12"/>
  <c r="B77" i="11"/>
  <c r="B77" i="10"/>
  <c r="B77" i="4"/>
  <c r="B77" i="12"/>
  <c r="B77" i="1"/>
  <c r="B77" i="16"/>
  <c r="B77" i="2"/>
  <c r="B77" i="3"/>
  <c r="B77" i="5"/>
  <c r="B77" i="7"/>
  <c r="A77" i="30"/>
  <c r="A76" i="1"/>
  <c r="A76" i="2"/>
  <c r="A76" i="4"/>
  <c r="A76" i="10"/>
  <c r="A76" i="16"/>
  <c r="A76" i="11"/>
  <c r="A76" i="12"/>
  <c r="A76" i="5"/>
  <c r="A76" i="3"/>
  <c r="A76" i="7"/>
  <c r="L78" i="29"/>
  <c r="C76" i="1"/>
  <c r="D78" i="29"/>
  <c r="C76" i="5"/>
  <c r="B79" i="29"/>
  <c r="B78" i="34" s="1"/>
  <c r="A78" i="29"/>
  <c r="A77" i="34" s="1"/>
  <c r="C138" i="7" l="1"/>
  <c r="E140" i="29"/>
  <c r="C138" i="2"/>
  <c r="J140" i="29"/>
  <c r="C138" i="16"/>
  <c r="F140" i="29"/>
  <c r="C138" i="10"/>
  <c r="G140" i="29"/>
  <c r="C136" i="4"/>
  <c r="E136" i="4" s="1"/>
  <c r="I138" i="29"/>
  <c r="D79" i="29"/>
  <c r="C77" i="5"/>
  <c r="E77" i="5" s="1"/>
  <c r="K79" i="29"/>
  <c r="C77" i="12"/>
  <c r="E77" i="12" s="1"/>
  <c r="C79" i="29"/>
  <c r="C77" i="3"/>
  <c r="B78" i="11"/>
  <c r="B78" i="1"/>
  <c r="B78" i="4"/>
  <c r="B78" i="2"/>
  <c r="B78" i="10"/>
  <c r="B78" i="16"/>
  <c r="B78" i="5"/>
  <c r="B78" i="3"/>
  <c r="B78" i="12"/>
  <c r="B78" i="7"/>
  <c r="L79" i="29"/>
  <c r="C77" i="1"/>
  <c r="A78" i="30"/>
  <c r="A77" i="11"/>
  <c r="A77" i="10"/>
  <c r="A77" i="12"/>
  <c r="A77" i="2"/>
  <c r="A77" i="3"/>
  <c r="A77" i="16"/>
  <c r="A77" i="1"/>
  <c r="A77" i="5"/>
  <c r="A77" i="4"/>
  <c r="A77" i="7"/>
  <c r="H79" i="29"/>
  <c r="C77" i="11"/>
  <c r="E77" i="11" s="1"/>
  <c r="B80" i="29"/>
  <c r="B79" i="34" s="1"/>
  <c r="A79" i="29"/>
  <c r="A78" i="34" s="1"/>
  <c r="C139" i="7" l="1"/>
  <c r="E141" i="29"/>
  <c r="C139" i="2"/>
  <c r="J141" i="29"/>
  <c r="C139" i="16"/>
  <c r="F141" i="29"/>
  <c r="C139" i="10"/>
  <c r="G141" i="29"/>
  <c r="C137" i="4"/>
  <c r="E137" i="4" s="1"/>
  <c r="I139" i="29"/>
  <c r="B79" i="2"/>
  <c r="B79" i="1"/>
  <c r="B79" i="10"/>
  <c r="B79" i="11"/>
  <c r="B79" i="5"/>
  <c r="B79" i="16"/>
  <c r="B79" i="12"/>
  <c r="B79" i="4"/>
  <c r="B79" i="3"/>
  <c r="B79" i="7"/>
  <c r="E77" i="3"/>
  <c r="F77" i="3" s="1"/>
  <c r="C80" i="29"/>
  <c r="C78" i="3"/>
  <c r="H80" i="29"/>
  <c r="C78" i="11"/>
  <c r="E78" i="11" s="1"/>
  <c r="K80" i="29"/>
  <c r="C78" i="12"/>
  <c r="E78" i="12" s="1"/>
  <c r="A79" i="30"/>
  <c r="A78" i="1"/>
  <c r="A78" i="4"/>
  <c r="A78" i="2"/>
  <c r="A78" i="5"/>
  <c r="A78" i="3"/>
  <c r="A78" i="16"/>
  <c r="A78" i="10"/>
  <c r="A78" i="12"/>
  <c r="A78" i="11"/>
  <c r="A78" i="7"/>
  <c r="L80" i="29"/>
  <c r="C78" i="1"/>
  <c r="E78" i="1" s="1"/>
  <c r="D80" i="29"/>
  <c r="C78" i="5"/>
  <c r="E78" i="5" s="1"/>
  <c r="A80" i="29"/>
  <c r="A79" i="34" s="1"/>
  <c r="B81" i="29"/>
  <c r="B80" i="34" s="1"/>
  <c r="C140" i="7" l="1"/>
  <c r="E140" i="7" s="1"/>
  <c r="E142" i="29"/>
  <c r="C140" i="2"/>
  <c r="F140" i="2" s="1"/>
  <c r="J142" i="29"/>
  <c r="C140" i="16"/>
  <c r="E140" i="16" s="1"/>
  <c r="F142" i="29"/>
  <c r="C140" i="10"/>
  <c r="E140" i="10" s="1"/>
  <c r="G142" i="29"/>
  <c r="C138" i="4"/>
  <c r="I140" i="29"/>
  <c r="E78" i="3"/>
  <c r="F78" i="3" s="1"/>
  <c r="D81" i="29"/>
  <c r="C79" i="5"/>
  <c r="E79" i="5" s="1"/>
  <c r="C81" i="29"/>
  <c r="C79" i="3"/>
  <c r="B80" i="1"/>
  <c r="B80" i="12"/>
  <c r="B80" i="2"/>
  <c r="B80" i="4"/>
  <c r="B80" i="11"/>
  <c r="B80" i="10"/>
  <c r="B80" i="16"/>
  <c r="B80" i="3"/>
  <c r="B80" i="5"/>
  <c r="B80" i="7"/>
  <c r="L81" i="29"/>
  <c r="C79" i="1"/>
  <c r="E79" i="1" s="1"/>
  <c r="A80" i="30"/>
  <c r="A79" i="10"/>
  <c r="A79" i="5"/>
  <c r="A79" i="11"/>
  <c r="A79" i="2"/>
  <c r="A79" i="12"/>
  <c r="A79" i="4"/>
  <c r="A79" i="16"/>
  <c r="A79" i="1"/>
  <c r="A79" i="3"/>
  <c r="A79" i="7"/>
  <c r="H81" i="29"/>
  <c r="C79" i="11"/>
  <c r="E79" i="11" s="1"/>
  <c r="K81" i="29"/>
  <c r="C79" i="12"/>
  <c r="E79" i="12" s="1"/>
  <c r="A81" i="29"/>
  <c r="A80" i="34" s="1"/>
  <c r="B82" i="29"/>
  <c r="B81" i="34" s="1"/>
  <c r="C141" i="7" l="1"/>
  <c r="E141" i="7" s="1"/>
  <c r="E143" i="29"/>
  <c r="C141" i="2"/>
  <c r="F141" i="2" s="1"/>
  <c r="J143" i="29"/>
  <c r="C141" i="16"/>
  <c r="E141" i="16" s="1"/>
  <c r="F143" i="29"/>
  <c r="C141" i="10"/>
  <c r="E141" i="10" s="1"/>
  <c r="G143" i="29"/>
  <c r="C139" i="4"/>
  <c r="I141" i="29"/>
  <c r="K82" i="29"/>
  <c r="C80" i="12"/>
  <c r="E80" i="12" s="1"/>
  <c r="E79" i="3"/>
  <c r="F79" i="3" s="1"/>
  <c r="L82" i="29"/>
  <c r="C80" i="1"/>
  <c r="E80" i="1" s="1"/>
  <c r="C82" i="29"/>
  <c r="C80" i="3"/>
  <c r="A81" i="30"/>
  <c r="A80" i="1"/>
  <c r="A80" i="4"/>
  <c r="A80" i="2"/>
  <c r="A80" i="11"/>
  <c r="A80" i="5"/>
  <c r="A80" i="10"/>
  <c r="A80" i="3"/>
  <c r="A80" i="12"/>
  <c r="A80" i="16"/>
  <c r="A80" i="7"/>
  <c r="H82" i="29"/>
  <c r="C80" i="11"/>
  <c r="E80" i="11" s="1"/>
  <c r="B81" i="11"/>
  <c r="B81" i="10"/>
  <c r="B81" i="1"/>
  <c r="B81" i="2"/>
  <c r="B81" i="4"/>
  <c r="B81" i="12"/>
  <c r="B81" i="5"/>
  <c r="B81" i="3"/>
  <c r="B81" i="16"/>
  <c r="B81" i="7"/>
  <c r="D82" i="29"/>
  <c r="C80" i="5"/>
  <c r="E80" i="5" s="1"/>
  <c r="A82" i="29"/>
  <c r="A81" i="34" s="1"/>
  <c r="B83" i="29"/>
  <c r="B82" i="34" s="1"/>
  <c r="C142" i="7" l="1"/>
  <c r="E142" i="7" s="1"/>
  <c r="E144" i="29"/>
  <c r="C142" i="2"/>
  <c r="F142" i="2" s="1"/>
  <c r="J144" i="29"/>
  <c r="C142" i="16"/>
  <c r="E142" i="16" s="1"/>
  <c r="F144" i="29"/>
  <c r="C142" i="10"/>
  <c r="E142" i="10" s="1"/>
  <c r="G144" i="29"/>
  <c r="C140" i="4"/>
  <c r="E140" i="4" s="1"/>
  <c r="I142" i="29"/>
  <c r="C83" i="29"/>
  <c r="C81" i="3"/>
  <c r="D83" i="29"/>
  <c r="C81" i="5"/>
  <c r="E81" i="5" s="1"/>
  <c r="L83" i="29"/>
  <c r="C81" i="1"/>
  <c r="E81" i="1" s="1"/>
  <c r="H83" i="29"/>
  <c r="C81" i="11"/>
  <c r="E81" i="11" s="1"/>
  <c r="A82" i="30"/>
  <c r="A81" i="11"/>
  <c r="A81" i="2"/>
  <c r="A81" i="16"/>
  <c r="A81" i="5"/>
  <c r="A81" i="1"/>
  <c r="A81" i="4"/>
  <c r="A81" i="12"/>
  <c r="A81" i="10"/>
  <c r="A81" i="3"/>
  <c r="A81" i="7"/>
  <c r="B82" i="11"/>
  <c r="B82" i="1"/>
  <c r="B82" i="2"/>
  <c r="B82" i="10"/>
  <c r="B82" i="5"/>
  <c r="B82" i="12"/>
  <c r="B82" i="16"/>
  <c r="B82" i="3"/>
  <c r="B82" i="4"/>
  <c r="B82" i="7"/>
  <c r="K83" i="29"/>
  <c r="C81" i="12"/>
  <c r="E81" i="12" s="1"/>
  <c r="B84" i="29"/>
  <c r="B83" i="34" s="1"/>
  <c r="A83" i="29"/>
  <c r="A82" i="34" s="1"/>
  <c r="C143" i="7" l="1"/>
  <c r="E143" i="7" s="1"/>
  <c r="E145" i="29"/>
  <c r="C143" i="2"/>
  <c r="F143" i="2" s="1"/>
  <c r="J145" i="29"/>
  <c r="C143" i="16"/>
  <c r="E143" i="16" s="1"/>
  <c r="F145" i="29"/>
  <c r="C143" i="10"/>
  <c r="E143" i="10" s="1"/>
  <c r="G145" i="29"/>
  <c r="C141" i="4"/>
  <c r="E141" i="4" s="1"/>
  <c r="I143" i="29"/>
  <c r="E80" i="3"/>
  <c r="F80" i="3" s="1"/>
  <c r="H84" i="29"/>
  <c r="C82" i="11"/>
  <c r="L84" i="29"/>
  <c r="C82" i="1"/>
  <c r="K84" i="29"/>
  <c r="C82" i="12"/>
  <c r="D84" i="29"/>
  <c r="C82" i="5"/>
  <c r="C84" i="29"/>
  <c r="C82" i="3"/>
  <c r="E81" i="3" s="1"/>
  <c r="F81" i="3" s="1"/>
  <c r="A83" i="30"/>
  <c r="A82" i="1"/>
  <c r="A82" i="2"/>
  <c r="A82" i="10"/>
  <c r="A82" i="4"/>
  <c r="A82" i="11"/>
  <c r="A82" i="12"/>
  <c r="A82" i="16"/>
  <c r="A82" i="3"/>
  <c r="A82" i="5"/>
  <c r="A82" i="7"/>
  <c r="B83" i="12"/>
  <c r="B83" i="1"/>
  <c r="B83" i="2"/>
  <c r="B83" i="10"/>
  <c r="B83" i="4"/>
  <c r="B83" i="11"/>
  <c r="B83" i="16"/>
  <c r="B83" i="5"/>
  <c r="B83" i="3"/>
  <c r="B83" i="7"/>
  <c r="B85" i="29"/>
  <c r="B84" i="34" s="1"/>
  <c r="A84" i="29"/>
  <c r="A83" i="34" s="1"/>
  <c r="C144" i="7" l="1"/>
  <c r="E144" i="7" s="1"/>
  <c r="E146" i="29"/>
  <c r="C144" i="2"/>
  <c r="F144" i="2" s="1"/>
  <c r="J146" i="29"/>
  <c r="C144" i="16"/>
  <c r="E144" i="16" s="1"/>
  <c r="F146" i="29"/>
  <c r="C144" i="10"/>
  <c r="E144" i="10" s="1"/>
  <c r="G146" i="29"/>
  <c r="C142" i="4"/>
  <c r="E142" i="4" s="1"/>
  <c r="I144" i="29"/>
  <c r="K85" i="29"/>
  <c r="C83" i="12"/>
  <c r="L85" i="29"/>
  <c r="C83" i="1"/>
  <c r="B84" i="4"/>
  <c r="B84" i="10"/>
  <c r="B84" i="1"/>
  <c r="B84" i="16"/>
  <c r="B84" i="11"/>
  <c r="B84" i="2"/>
  <c r="B84" i="5"/>
  <c r="B84" i="12"/>
  <c r="B84" i="3"/>
  <c r="B84" i="7"/>
  <c r="D85" i="29"/>
  <c r="C83" i="5"/>
  <c r="A84" i="30"/>
  <c r="A83" i="12"/>
  <c r="A83" i="11"/>
  <c r="A83" i="1"/>
  <c r="A83" i="16"/>
  <c r="A83" i="4"/>
  <c r="A83" i="10"/>
  <c r="A83" i="2"/>
  <c r="A83" i="5"/>
  <c r="A83" i="3"/>
  <c r="A83" i="7"/>
  <c r="C85" i="29"/>
  <c r="C83" i="3"/>
  <c r="H85" i="29"/>
  <c r="C83" i="11"/>
  <c r="B86" i="29"/>
  <c r="B85" i="34" s="1"/>
  <c r="A85" i="29"/>
  <c r="A84" i="34" s="1"/>
  <c r="C145" i="7" l="1"/>
  <c r="E147" i="29"/>
  <c r="C145" i="2"/>
  <c r="J147" i="29"/>
  <c r="C145" i="16"/>
  <c r="F147" i="29"/>
  <c r="C145" i="10"/>
  <c r="G147" i="29"/>
  <c r="C143" i="4"/>
  <c r="E143" i="4" s="1"/>
  <c r="I145" i="29"/>
  <c r="B85" i="1"/>
  <c r="B85" i="10"/>
  <c r="B85" i="5"/>
  <c r="B85" i="12"/>
  <c r="B85" i="11"/>
  <c r="B85" i="3"/>
  <c r="B85" i="2"/>
  <c r="B85" i="16"/>
  <c r="B85" i="4"/>
  <c r="B85" i="7"/>
  <c r="H86" i="29"/>
  <c r="C84" i="11"/>
  <c r="E84" i="11" s="1"/>
  <c r="C86" i="29"/>
  <c r="C84" i="3"/>
  <c r="L86" i="29"/>
  <c r="C84" i="1"/>
  <c r="D86" i="29"/>
  <c r="C84" i="5"/>
  <c r="E84" i="5" s="1"/>
  <c r="A85" i="30"/>
  <c r="A84" i="4"/>
  <c r="A84" i="10"/>
  <c r="A84" i="1"/>
  <c r="A84" i="11"/>
  <c r="A84" i="2"/>
  <c r="A84" i="5"/>
  <c r="A84" i="12"/>
  <c r="A84" i="3"/>
  <c r="A84" i="16"/>
  <c r="A84" i="7"/>
  <c r="K86" i="29"/>
  <c r="C84" i="12"/>
  <c r="E84" i="12" s="1"/>
  <c r="B87" i="29"/>
  <c r="B86" i="34" s="1"/>
  <c r="A86" i="29"/>
  <c r="A85" i="34" s="1"/>
  <c r="C146" i="7" l="1"/>
  <c r="E148" i="29"/>
  <c r="C146" i="2"/>
  <c r="J148" i="29"/>
  <c r="C146" i="16"/>
  <c r="F148" i="29"/>
  <c r="C146" i="10"/>
  <c r="G148" i="29"/>
  <c r="C144" i="4"/>
  <c r="E144" i="4" s="1"/>
  <c r="I146" i="29"/>
  <c r="E84" i="3"/>
  <c r="F84" i="3" s="1"/>
  <c r="K87" i="29"/>
  <c r="C85" i="12"/>
  <c r="E85" i="12" s="1"/>
  <c r="L87" i="29"/>
  <c r="C85" i="1"/>
  <c r="E85" i="1" s="1"/>
  <c r="C87" i="29"/>
  <c r="C85" i="3"/>
  <c r="H87" i="29"/>
  <c r="C85" i="11"/>
  <c r="E85" i="11" s="1"/>
  <c r="B86" i="10"/>
  <c r="B86" i="11"/>
  <c r="B86" i="1"/>
  <c r="B86" i="2"/>
  <c r="B86" i="16"/>
  <c r="B86" i="12"/>
  <c r="B86" i="5"/>
  <c r="B86" i="4"/>
  <c r="B86" i="3"/>
  <c r="B86" i="7"/>
  <c r="A86" i="30"/>
  <c r="A85" i="1"/>
  <c r="A85" i="16"/>
  <c r="A85" i="2"/>
  <c r="A85" i="11"/>
  <c r="A85" i="10"/>
  <c r="A85" i="12"/>
  <c r="A85" i="4"/>
  <c r="A85" i="5"/>
  <c r="A85" i="3"/>
  <c r="A85" i="7"/>
  <c r="D87" i="29"/>
  <c r="C85" i="5"/>
  <c r="E85" i="5" s="1"/>
  <c r="A87" i="29"/>
  <c r="A86" i="34" s="1"/>
  <c r="B88" i="29"/>
  <c r="B87" i="34" s="1"/>
  <c r="C147" i="7" l="1"/>
  <c r="E147" i="7" s="1"/>
  <c r="E149" i="29"/>
  <c r="C147" i="2"/>
  <c r="F147" i="2" s="1"/>
  <c r="J149" i="29"/>
  <c r="C147" i="16"/>
  <c r="E147" i="16" s="1"/>
  <c r="F149" i="29"/>
  <c r="C147" i="10"/>
  <c r="E147" i="10" s="1"/>
  <c r="G149" i="29"/>
  <c r="C145" i="4"/>
  <c r="I147" i="29"/>
  <c r="E85" i="3"/>
  <c r="F85" i="3" s="1"/>
  <c r="C88" i="29"/>
  <c r="C86" i="3"/>
  <c r="A87" i="30"/>
  <c r="A86" i="10"/>
  <c r="A86" i="11"/>
  <c r="A86" i="2"/>
  <c r="A86" i="4"/>
  <c r="A86" i="16"/>
  <c r="A86" i="12"/>
  <c r="A86" i="5"/>
  <c r="A86" i="3"/>
  <c r="A86" i="1"/>
  <c r="A86" i="7"/>
  <c r="D88" i="29"/>
  <c r="C86" i="5"/>
  <c r="E86" i="5" s="1"/>
  <c r="L88" i="29"/>
  <c r="C86" i="1"/>
  <c r="E86" i="1" s="1"/>
  <c r="H88" i="29"/>
  <c r="C86" i="11"/>
  <c r="E86" i="11" s="1"/>
  <c r="B87" i="12"/>
  <c r="B87" i="2"/>
  <c r="B87" i="4"/>
  <c r="B87" i="11"/>
  <c r="B87" i="1"/>
  <c r="B87" i="10"/>
  <c r="B87" i="5"/>
  <c r="B87" i="16"/>
  <c r="B87" i="3"/>
  <c r="B87" i="7"/>
  <c r="K88" i="29"/>
  <c r="C86" i="12"/>
  <c r="E86" i="12" s="1"/>
  <c r="B89" i="29"/>
  <c r="B88" i="34" s="1"/>
  <c r="A88" i="29"/>
  <c r="A87" i="34" s="1"/>
  <c r="C148" i="7" l="1"/>
  <c r="E148" i="7" s="1"/>
  <c r="E150" i="29"/>
  <c r="C148" i="2"/>
  <c r="F148" i="2" s="1"/>
  <c r="J150" i="29"/>
  <c r="C148" i="16"/>
  <c r="E148" i="16" s="1"/>
  <c r="F150" i="29"/>
  <c r="C148" i="10"/>
  <c r="E148" i="10" s="1"/>
  <c r="G150" i="29"/>
  <c r="C146" i="4"/>
  <c r="I148" i="29"/>
  <c r="K89" i="29"/>
  <c r="C87" i="12"/>
  <c r="E87" i="12" s="1"/>
  <c r="E86" i="3"/>
  <c r="F86" i="3" s="1"/>
  <c r="A88" i="30"/>
  <c r="A87" i="1"/>
  <c r="A87" i="10"/>
  <c r="A87" i="12"/>
  <c r="A87" i="4"/>
  <c r="A87" i="5"/>
  <c r="A87" i="16"/>
  <c r="A87" i="11"/>
  <c r="A87" i="3"/>
  <c r="A87" i="2"/>
  <c r="A87" i="7"/>
  <c r="C89" i="29"/>
  <c r="C87" i="3"/>
  <c r="F87" i="3" s="1"/>
  <c r="L89" i="29"/>
  <c r="C87" i="1"/>
  <c r="E87" i="1" s="1"/>
  <c r="D89" i="29"/>
  <c r="C87" i="5"/>
  <c r="E87" i="5" s="1"/>
  <c r="H89" i="29"/>
  <c r="C87" i="11"/>
  <c r="E87" i="11" s="1"/>
  <c r="B88" i="12"/>
  <c r="B88" i="10"/>
  <c r="B88" i="4"/>
  <c r="B88" i="5"/>
  <c r="B88" i="1"/>
  <c r="B88" i="16"/>
  <c r="B88" i="2"/>
  <c r="B88" i="3"/>
  <c r="B88" i="11"/>
  <c r="B88" i="7"/>
  <c r="B90" i="29"/>
  <c r="B89" i="34" s="1"/>
  <c r="A89" i="29"/>
  <c r="A88" i="34" s="1"/>
  <c r="C149" i="7" l="1"/>
  <c r="E149" i="7" s="1"/>
  <c r="E151" i="29"/>
  <c r="C149" i="2"/>
  <c r="F149" i="2" s="1"/>
  <c r="J151" i="29"/>
  <c r="C149" i="16"/>
  <c r="E149" i="16" s="1"/>
  <c r="F151" i="29"/>
  <c r="C149" i="10"/>
  <c r="E149" i="10" s="1"/>
  <c r="G151" i="29"/>
  <c r="C147" i="4"/>
  <c r="E147" i="4" s="1"/>
  <c r="I149" i="29"/>
  <c r="C90" i="29"/>
  <c r="C88" i="3"/>
  <c r="F88" i="3" s="1"/>
  <c r="D90" i="29"/>
  <c r="C88" i="5"/>
  <c r="E88" i="5" s="1"/>
  <c r="B89" i="12"/>
  <c r="B89" i="4"/>
  <c r="B89" i="1"/>
  <c r="B89" i="2"/>
  <c r="B89" i="11"/>
  <c r="B89" i="10"/>
  <c r="B89" i="5"/>
  <c r="B89" i="3"/>
  <c r="B89" i="16"/>
  <c r="B89" i="7"/>
  <c r="L90" i="29"/>
  <c r="C88" i="1"/>
  <c r="E88" i="1" s="1"/>
  <c r="H90" i="29"/>
  <c r="C88" i="11"/>
  <c r="E88" i="11" s="1"/>
  <c r="A89" i="30"/>
  <c r="A88" i="4"/>
  <c r="A88" i="16"/>
  <c r="A88" i="12"/>
  <c r="A88" i="1"/>
  <c r="A88" i="2"/>
  <c r="A88" i="11"/>
  <c r="A88" i="3"/>
  <c r="A88" i="10"/>
  <c r="A88" i="5"/>
  <c r="A88" i="7"/>
  <c r="K90" i="29"/>
  <c r="C88" i="12"/>
  <c r="E88" i="12" s="1"/>
  <c r="A90" i="29"/>
  <c r="A89" i="34" s="1"/>
  <c r="B91" i="29"/>
  <c r="B90" i="34" s="1"/>
  <c r="C150" i="7" l="1"/>
  <c r="E150" i="7" s="1"/>
  <c r="E152" i="29"/>
  <c r="C150" i="2"/>
  <c r="F150" i="2" s="1"/>
  <c r="J152" i="29"/>
  <c r="C150" i="16"/>
  <c r="E150" i="16" s="1"/>
  <c r="F152" i="29"/>
  <c r="C150" i="10"/>
  <c r="E150" i="10" s="1"/>
  <c r="G152" i="29"/>
  <c r="C148" i="4"/>
  <c r="E148" i="4" s="1"/>
  <c r="I150" i="29"/>
  <c r="L91" i="29"/>
  <c r="C89" i="1"/>
  <c r="D91" i="29"/>
  <c r="C89" i="5"/>
  <c r="A90" i="30"/>
  <c r="A89" i="1"/>
  <c r="A89" i="2"/>
  <c r="A89" i="11"/>
  <c r="A89" i="4"/>
  <c r="A89" i="10"/>
  <c r="A89" i="5"/>
  <c r="A89" i="16"/>
  <c r="A89" i="12"/>
  <c r="A89" i="3"/>
  <c r="A89" i="7"/>
  <c r="K91" i="29"/>
  <c r="C89" i="12"/>
  <c r="B90" i="10"/>
  <c r="B90" i="5"/>
  <c r="B90" i="12"/>
  <c r="B90" i="1"/>
  <c r="B90" i="4"/>
  <c r="B90" i="2"/>
  <c r="B90" i="16"/>
  <c r="B90" i="11"/>
  <c r="B90" i="3"/>
  <c r="B90" i="7"/>
  <c r="H91" i="29"/>
  <c r="C89" i="11"/>
  <c r="C91" i="29"/>
  <c r="C90" i="3" s="1"/>
  <c r="C89" i="3"/>
  <c r="A91" i="29"/>
  <c r="A90" i="34" s="1"/>
  <c r="B92" i="29"/>
  <c r="B91" i="34" s="1"/>
  <c r="C151" i="7" l="1"/>
  <c r="E151" i="7" s="1"/>
  <c r="E153" i="29"/>
  <c r="C151" i="2"/>
  <c r="F151" i="2" s="1"/>
  <c r="J153" i="29"/>
  <c r="C151" i="16"/>
  <c r="E151" i="16" s="1"/>
  <c r="F153" i="29"/>
  <c r="C151" i="10"/>
  <c r="E151" i="10" s="1"/>
  <c r="G153" i="29"/>
  <c r="C149" i="4"/>
  <c r="E149" i="4" s="1"/>
  <c r="I151" i="29"/>
  <c r="H92" i="29"/>
  <c r="C90" i="11"/>
  <c r="A91" i="30"/>
  <c r="A90" i="12"/>
  <c r="A90" i="4"/>
  <c r="A90" i="1"/>
  <c r="A90" i="2"/>
  <c r="A90" i="11"/>
  <c r="A90" i="3"/>
  <c r="A90" i="10"/>
  <c r="A90" i="5"/>
  <c r="A90" i="16"/>
  <c r="A90" i="7"/>
  <c r="D92" i="29"/>
  <c r="C90" i="5"/>
  <c r="C92" i="29"/>
  <c r="K92" i="29"/>
  <c r="C90" i="12"/>
  <c r="B91" i="1"/>
  <c r="B91" i="2"/>
  <c r="B91" i="11"/>
  <c r="B91" i="4"/>
  <c r="B91" i="10"/>
  <c r="B91" i="16"/>
  <c r="B91" i="12"/>
  <c r="B91" i="5"/>
  <c r="B91" i="3"/>
  <c r="B91" i="7"/>
  <c r="L92" i="29"/>
  <c r="C90" i="1"/>
  <c r="B93" i="29"/>
  <c r="B92" i="34" s="1"/>
  <c r="A92" i="29"/>
  <c r="A91" i="34" s="1"/>
  <c r="C152" i="7" l="1"/>
  <c r="E154" i="29"/>
  <c r="C152" i="2"/>
  <c r="J154" i="29"/>
  <c r="C152" i="16"/>
  <c r="F154" i="29"/>
  <c r="C152" i="10"/>
  <c r="G154" i="29"/>
  <c r="C150" i="4"/>
  <c r="E150" i="4" s="1"/>
  <c r="I152" i="29"/>
  <c r="B92" i="12"/>
  <c r="B92" i="2"/>
  <c r="B92" i="11"/>
  <c r="B92" i="4"/>
  <c r="B92" i="5"/>
  <c r="B92" i="1"/>
  <c r="B92" i="3"/>
  <c r="B92" i="16"/>
  <c r="B92" i="10"/>
  <c r="B92" i="7"/>
  <c r="C93" i="29"/>
  <c r="C91" i="3"/>
  <c r="L93" i="29"/>
  <c r="C91" i="1"/>
  <c r="D93" i="29"/>
  <c r="C91" i="5"/>
  <c r="K93" i="29"/>
  <c r="C91" i="12"/>
  <c r="A92" i="30"/>
  <c r="A91" i="1"/>
  <c r="A91" i="2"/>
  <c r="A91" i="11"/>
  <c r="A91" i="16"/>
  <c r="A91" i="12"/>
  <c r="A91" i="10"/>
  <c r="A91" i="5"/>
  <c r="A91" i="4"/>
  <c r="A91" i="3"/>
  <c r="A91" i="7"/>
  <c r="H93" i="29"/>
  <c r="C91" i="11"/>
  <c r="B94" i="29"/>
  <c r="B93" i="34" s="1"/>
  <c r="A93" i="29"/>
  <c r="A92" i="34" s="1"/>
  <c r="C153" i="7" l="1"/>
  <c r="E155" i="29"/>
  <c r="C153" i="2"/>
  <c r="J155" i="29"/>
  <c r="C153" i="16"/>
  <c r="F155" i="29"/>
  <c r="C153" i="10"/>
  <c r="G155" i="29"/>
  <c r="C151" i="4"/>
  <c r="E151" i="4" s="1"/>
  <c r="I153" i="29"/>
  <c r="H94" i="29"/>
  <c r="C92" i="11"/>
  <c r="D94" i="29"/>
  <c r="C92" i="5"/>
  <c r="E92" i="5" s="1"/>
  <c r="L94" i="29"/>
  <c r="C92" i="1"/>
  <c r="E92" i="1" s="1"/>
  <c r="C94" i="29"/>
  <c r="C92" i="3"/>
  <c r="F92" i="3" s="1"/>
  <c r="B93" i="1"/>
  <c r="B93" i="12"/>
  <c r="B93" i="2"/>
  <c r="B93" i="11"/>
  <c r="B93" i="10"/>
  <c r="B93" i="4"/>
  <c r="B93" i="5"/>
  <c r="B93" i="3"/>
  <c r="B93" i="16"/>
  <c r="B93" i="7"/>
  <c r="A93" i="30"/>
  <c r="A92" i="4"/>
  <c r="A92" i="2"/>
  <c r="A92" i="11"/>
  <c r="A92" i="1"/>
  <c r="A92" i="12"/>
  <c r="A92" i="10"/>
  <c r="A92" i="3"/>
  <c r="A92" i="16"/>
  <c r="A92" i="5"/>
  <c r="A92" i="7"/>
  <c r="K94" i="29"/>
  <c r="C92" i="12"/>
  <c r="E92" i="12" s="1"/>
  <c r="A94" i="29"/>
  <c r="A93" i="34" s="1"/>
  <c r="B95" i="29"/>
  <c r="B94" i="34" s="1"/>
  <c r="E92" i="11" l="1"/>
  <c r="C154" i="7"/>
  <c r="E154" i="7" s="1"/>
  <c r="E156" i="29"/>
  <c r="C154" i="2"/>
  <c r="F154" i="2" s="1"/>
  <c r="J156" i="29"/>
  <c r="C154" i="16"/>
  <c r="E154" i="16" s="1"/>
  <c r="F156" i="29"/>
  <c r="C154" i="10"/>
  <c r="G156" i="29"/>
  <c r="C152" i="4"/>
  <c r="I154" i="29"/>
  <c r="L95" i="29"/>
  <c r="C93" i="1"/>
  <c r="E93" i="1" s="1"/>
  <c r="B94" i="12"/>
  <c r="B94" i="4"/>
  <c r="B94" i="10"/>
  <c r="B94" i="1"/>
  <c r="B94" i="2"/>
  <c r="B94" i="11"/>
  <c r="B94" i="5"/>
  <c r="B94" i="16"/>
  <c r="B94" i="3"/>
  <c r="B94" i="7"/>
  <c r="D95" i="29"/>
  <c r="C93" i="5"/>
  <c r="E93" i="5" s="1"/>
  <c r="K95" i="29"/>
  <c r="C93" i="12"/>
  <c r="E93" i="12" s="1"/>
  <c r="A94" i="30"/>
  <c r="A93" i="2"/>
  <c r="A93" i="11"/>
  <c r="A93" i="16"/>
  <c r="A93" i="10"/>
  <c r="A93" i="12"/>
  <c r="A93" i="4"/>
  <c r="A93" i="1"/>
  <c r="A93" i="5"/>
  <c r="A93" i="3"/>
  <c r="A93" i="7"/>
  <c r="C95" i="29"/>
  <c r="C93" i="3"/>
  <c r="F93" i="3" s="1"/>
  <c r="H95" i="29"/>
  <c r="C93" i="11"/>
  <c r="B96" i="29"/>
  <c r="B95" i="34" s="1"/>
  <c r="A95" i="29"/>
  <c r="A94" i="34" s="1"/>
  <c r="E93" i="11" l="1"/>
  <c r="C155" i="7"/>
  <c r="E155" i="7" s="1"/>
  <c r="E157" i="29"/>
  <c r="C155" i="2"/>
  <c r="F155" i="2" s="1"/>
  <c r="J157" i="29"/>
  <c r="C155" i="16"/>
  <c r="E155" i="16" s="1"/>
  <c r="F157" i="29"/>
  <c r="C155" i="10"/>
  <c r="E155" i="10" s="1"/>
  <c r="G157" i="29"/>
  <c r="C153" i="4"/>
  <c r="I155" i="29"/>
  <c r="H96" i="29"/>
  <c r="C94" i="11"/>
  <c r="D96" i="29"/>
  <c r="C94" i="5"/>
  <c r="E94" i="5" s="1"/>
  <c r="K96" i="29"/>
  <c r="C94" i="12"/>
  <c r="E94" i="12" s="1"/>
  <c r="C96" i="29"/>
  <c r="C94" i="3"/>
  <c r="F94" i="3" s="1"/>
  <c r="B95" i="12"/>
  <c r="B95" i="2"/>
  <c r="B95" i="1"/>
  <c r="B95" i="11"/>
  <c r="B95" i="16"/>
  <c r="B95" i="4"/>
  <c r="B95" i="10"/>
  <c r="B95" i="3"/>
  <c r="B95" i="5"/>
  <c r="B95" i="7"/>
  <c r="A95" i="30"/>
  <c r="A94" i="12"/>
  <c r="A94" i="4"/>
  <c r="A94" i="10"/>
  <c r="A94" i="1"/>
  <c r="A94" i="2"/>
  <c r="A94" i="11"/>
  <c r="A94" i="5"/>
  <c r="A94" i="16"/>
  <c r="A94" i="3"/>
  <c r="A94" i="7"/>
  <c r="L96" i="29"/>
  <c r="C94" i="1"/>
  <c r="E94" i="1" s="1"/>
  <c r="B97" i="29"/>
  <c r="B96" i="34" s="1"/>
  <c r="A96" i="29"/>
  <c r="A95" i="34" s="1"/>
  <c r="E94" i="11" l="1"/>
  <c r="C156" i="7"/>
  <c r="E156" i="7" s="1"/>
  <c r="E158" i="29"/>
  <c r="C156" i="2"/>
  <c r="F156" i="2" s="1"/>
  <c r="J158" i="29"/>
  <c r="C156" i="16"/>
  <c r="E156" i="16" s="1"/>
  <c r="F158" i="29"/>
  <c r="C156" i="10"/>
  <c r="E156" i="10" s="1"/>
  <c r="G158" i="29"/>
  <c r="C154" i="4"/>
  <c r="E154" i="4" s="1"/>
  <c r="I156" i="29"/>
  <c r="K97" i="29"/>
  <c r="C95" i="12"/>
  <c r="E95" i="12" s="1"/>
  <c r="L97" i="29"/>
  <c r="C95" i="1"/>
  <c r="E95" i="1" s="1"/>
  <c r="C97" i="29"/>
  <c r="C95" i="3"/>
  <c r="F95" i="3" s="1"/>
  <c r="D97" i="29"/>
  <c r="C95" i="5"/>
  <c r="E95" i="5" s="1"/>
  <c r="A96" i="30"/>
  <c r="A95" i="2"/>
  <c r="A95" i="1"/>
  <c r="A95" i="11"/>
  <c r="A95" i="3"/>
  <c r="A95" i="4"/>
  <c r="A95" i="10"/>
  <c r="A95" i="12"/>
  <c r="A95" i="16"/>
  <c r="A95" i="5"/>
  <c r="A95" i="7"/>
  <c r="B96" i="11"/>
  <c r="B96" i="12"/>
  <c r="B96" i="10"/>
  <c r="B96" i="1"/>
  <c r="B96" i="2"/>
  <c r="B96" i="4"/>
  <c r="B96" i="5"/>
  <c r="B96" i="3"/>
  <c r="B96" i="16"/>
  <c r="B96" i="7"/>
  <c r="H97" i="29"/>
  <c r="C95" i="11"/>
  <c r="B98" i="29"/>
  <c r="B97" i="34" s="1"/>
  <c r="A97" i="29"/>
  <c r="A96" i="34" s="1"/>
  <c r="E95" i="11" l="1"/>
  <c r="C157" i="7"/>
  <c r="E157" i="7" s="1"/>
  <c r="E159" i="29"/>
  <c r="C157" i="2"/>
  <c r="F157" i="2" s="1"/>
  <c r="J159" i="29"/>
  <c r="C157" i="16"/>
  <c r="E157" i="16" s="1"/>
  <c r="F159" i="29"/>
  <c r="C157" i="10"/>
  <c r="E157" i="10" s="1"/>
  <c r="G159" i="29"/>
  <c r="C155" i="4"/>
  <c r="E155" i="4" s="1"/>
  <c r="I157" i="29"/>
  <c r="D98" i="29"/>
  <c r="C96" i="5"/>
  <c r="C98" i="29"/>
  <c r="C96" i="3"/>
  <c r="L98" i="29"/>
  <c r="C97" i="1" s="1"/>
  <c r="C96" i="1"/>
  <c r="H98" i="29"/>
  <c r="C96" i="11"/>
  <c r="A97" i="30"/>
  <c r="A96" i="12"/>
  <c r="A96" i="4"/>
  <c r="A96" i="10"/>
  <c r="A96" i="1"/>
  <c r="A96" i="2"/>
  <c r="A96" i="11"/>
  <c r="A96" i="3"/>
  <c r="A96" i="16"/>
  <c r="A96" i="5"/>
  <c r="A96" i="7"/>
  <c r="B97" i="1"/>
  <c r="B97" i="2"/>
  <c r="B97" i="10"/>
  <c r="B97" i="16"/>
  <c r="B97" i="3"/>
  <c r="B97" i="4"/>
  <c r="B97" i="11"/>
  <c r="B97" i="5"/>
  <c r="B97" i="12"/>
  <c r="B97" i="7"/>
  <c r="K98" i="29"/>
  <c r="C96" i="12"/>
  <c r="B99" i="29"/>
  <c r="A98" i="29"/>
  <c r="A97" i="34" s="1"/>
  <c r="C158" i="7" l="1"/>
  <c r="E158" i="7" s="1"/>
  <c r="E160" i="29"/>
  <c r="C158" i="2"/>
  <c r="F158" i="2" s="1"/>
  <c r="J160" i="29"/>
  <c r="J161" i="29" s="1"/>
  <c r="J162" i="29" s="1"/>
  <c r="J163" i="29" s="1"/>
  <c r="J164" i="29" s="1"/>
  <c r="J165" i="29" s="1"/>
  <c r="J166" i="29" s="1"/>
  <c r="J167" i="29" s="1"/>
  <c r="J168" i="29" s="1"/>
  <c r="J169" i="29" s="1"/>
  <c r="J170" i="29" s="1"/>
  <c r="J171" i="29" s="1"/>
  <c r="J172" i="29" s="1"/>
  <c r="J173" i="29" s="1"/>
  <c r="J174" i="29" s="1"/>
  <c r="J175" i="29" s="1"/>
  <c r="J176" i="29" s="1"/>
  <c r="J177" i="29" s="1"/>
  <c r="J178" i="29" s="1"/>
  <c r="J179" i="29" s="1"/>
  <c r="J180" i="29" s="1"/>
  <c r="J181" i="29" s="1"/>
  <c r="J182" i="29" s="1"/>
  <c r="J183" i="29" s="1"/>
  <c r="J184" i="29" s="1"/>
  <c r="J185" i="29" s="1"/>
  <c r="J186" i="29" s="1"/>
  <c r="J187" i="29" s="1"/>
  <c r="J188" i="29" s="1"/>
  <c r="J189" i="29" s="1"/>
  <c r="J190" i="29" s="1"/>
  <c r="J191" i="29" s="1"/>
  <c r="J192" i="29" s="1"/>
  <c r="J193" i="29" s="1"/>
  <c r="J194" i="29" s="1"/>
  <c r="J195" i="29" s="1"/>
  <c r="J196" i="29" s="1"/>
  <c r="J197" i="29" s="1"/>
  <c r="J198" i="29" s="1"/>
  <c r="J199" i="29" s="1"/>
  <c r="J200" i="29" s="1"/>
  <c r="J201" i="29" s="1"/>
  <c r="J202" i="29" s="1"/>
  <c r="J203" i="29" s="1"/>
  <c r="J204" i="29" s="1"/>
  <c r="J205" i="29" s="1"/>
  <c r="J206" i="29" s="1"/>
  <c r="J207" i="29" s="1"/>
  <c r="J208" i="29" s="1"/>
  <c r="J209" i="29" s="1"/>
  <c r="J210" i="29" s="1"/>
  <c r="J211" i="29" s="1"/>
  <c r="J212" i="29" s="1"/>
  <c r="J213" i="29" s="1"/>
  <c r="J214" i="29" s="1"/>
  <c r="J215" i="29" s="1"/>
  <c r="J216" i="29" s="1"/>
  <c r="J217" i="29" s="1"/>
  <c r="J218" i="29" s="1"/>
  <c r="J219" i="29" s="1"/>
  <c r="J220" i="29" s="1"/>
  <c r="J221" i="29" s="1"/>
  <c r="J222" i="29" s="1"/>
  <c r="J223" i="29" s="1"/>
  <c r="J224" i="29" s="1"/>
  <c r="J225" i="29" s="1"/>
  <c r="J226" i="29" s="1"/>
  <c r="J227" i="29" s="1"/>
  <c r="J228" i="29" s="1"/>
  <c r="J229" i="29" s="1"/>
  <c r="J230" i="29" s="1"/>
  <c r="J231" i="29" s="1"/>
  <c r="J232" i="29" s="1"/>
  <c r="J233" i="29" s="1"/>
  <c r="J234" i="29" s="1"/>
  <c r="J235" i="29" s="1"/>
  <c r="J236" i="29" s="1"/>
  <c r="J237" i="29" s="1"/>
  <c r="J238" i="29" s="1"/>
  <c r="J239" i="29" s="1"/>
  <c r="J240" i="29" s="1"/>
  <c r="J241" i="29" s="1"/>
  <c r="J242" i="29" s="1"/>
  <c r="J243" i="29" s="1"/>
  <c r="J244" i="29" s="1"/>
  <c r="J245" i="29" s="1"/>
  <c r="J246" i="29" s="1"/>
  <c r="J247" i="29" s="1"/>
  <c r="J248" i="29" s="1"/>
  <c r="J249" i="29" s="1"/>
  <c r="J250" i="29" s="1"/>
  <c r="J251" i="29" s="1"/>
  <c r="J252" i="29" s="1"/>
  <c r="J253" i="29" s="1"/>
  <c r="J254" i="29" s="1"/>
  <c r="J255" i="29" s="1"/>
  <c r="J256" i="29" s="1"/>
  <c r="J257" i="29" s="1"/>
  <c r="J258" i="29" s="1"/>
  <c r="J259" i="29" s="1"/>
  <c r="J260" i="29" s="1"/>
  <c r="J261" i="29" s="1"/>
  <c r="J262" i="29" s="1"/>
  <c r="J263" i="29" s="1"/>
  <c r="J264" i="29" s="1"/>
  <c r="J265" i="29" s="1"/>
  <c r="J266" i="29" s="1"/>
  <c r="J267" i="29" s="1"/>
  <c r="J268" i="29" s="1"/>
  <c r="J269" i="29" s="1"/>
  <c r="J270" i="29" s="1"/>
  <c r="J271" i="29" s="1"/>
  <c r="J272" i="29" s="1"/>
  <c r="J273" i="29" s="1"/>
  <c r="J274" i="29" s="1"/>
  <c r="J275" i="29" s="1"/>
  <c r="J276" i="29" s="1"/>
  <c r="J277" i="29" s="1"/>
  <c r="J278" i="29" s="1"/>
  <c r="J279" i="29" s="1"/>
  <c r="J280" i="29" s="1"/>
  <c r="J281" i="29" s="1"/>
  <c r="J282" i="29" s="1"/>
  <c r="J283" i="29" s="1"/>
  <c r="J284" i="29" s="1"/>
  <c r="J285" i="29" s="1"/>
  <c r="J286" i="29" s="1"/>
  <c r="J287" i="29" s="1"/>
  <c r="J288" i="29" s="1"/>
  <c r="J289" i="29" s="1"/>
  <c r="J290" i="29" s="1"/>
  <c r="J291" i="29" s="1"/>
  <c r="J292" i="29" s="1"/>
  <c r="J293" i="29" s="1"/>
  <c r="J294" i="29" s="1"/>
  <c r="J295" i="29" s="1"/>
  <c r="J296" i="29" s="1"/>
  <c r="J297" i="29" s="1"/>
  <c r="J298" i="29" s="1"/>
  <c r="J299" i="29" s="1"/>
  <c r="J300" i="29" s="1"/>
  <c r="J301" i="29" s="1"/>
  <c r="J302" i="29" s="1"/>
  <c r="J303" i="29" s="1"/>
  <c r="J304" i="29" s="1"/>
  <c r="J305" i="29" s="1"/>
  <c r="J306" i="29" s="1"/>
  <c r="J307" i="29" s="1"/>
  <c r="J308" i="29" s="1"/>
  <c r="J309" i="29" s="1"/>
  <c r="J310" i="29" s="1"/>
  <c r="J311" i="29" s="1"/>
  <c r="J312" i="29" s="1"/>
  <c r="J313" i="29" s="1"/>
  <c r="J314" i="29" s="1"/>
  <c r="J315" i="29" s="1"/>
  <c r="J316" i="29" s="1"/>
  <c r="J317" i="29" s="1"/>
  <c r="J318" i="29" s="1"/>
  <c r="J319" i="29" s="1"/>
  <c r="J320" i="29" s="1"/>
  <c r="J321" i="29" s="1"/>
  <c r="J322" i="29" s="1"/>
  <c r="J323" i="29" s="1"/>
  <c r="J324" i="29" s="1"/>
  <c r="J325" i="29" s="1"/>
  <c r="J326" i="29" s="1"/>
  <c r="J327" i="29" s="1"/>
  <c r="J328" i="29" s="1"/>
  <c r="J329" i="29" s="1"/>
  <c r="J330" i="29" s="1"/>
  <c r="J331" i="29" s="1"/>
  <c r="J332" i="29" s="1"/>
  <c r="J333" i="29" s="1"/>
  <c r="J334" i="29" s="1"/>
  <c r="J335" i="29" s="1"/>
  <c r="J336" i="29" s="1"/>
  <c r="J337" i="29" s="1"/>
  <c r="J338" i="29" s="1"/>
  <c r="J339" i="29" s="1"/>
  <c r="J340" i="29" s="1"/>
  <c r="J341" i="29" s="1"/>
  <c r="J342" i="29" s="1"/>
  <c r="J343" i="29" s="1"/>
  <c r="J344" i="29" s="1"/>
  <c r="J345" i="29" s="1"/>
  <c r="J346" i="29" s="1"/>
  <c r="J347" i="29" s="1"/>
  <c r="J348" i="29" s="1"/>
  <c r="J349" i="29" s="1"/>
  <c r="J350" i="29" s="1"/>
  <c r="J351" i="29" s="1"/>
  <c r="J352" i="29" s="1"/>
  <c r="J353" i="29" s="1"/>
  <c r="J354" i="29" s="1"/>
  <c r="J355" i="29" s="1"/>
  <c r="J356" i="29" s="1"/>
  <c r="J357" i="29" s="1"/>
  <c r="J358" i="29" s="1"/>
  <c r="J359" i="29" s="1"/>
  <c r="J360" i="29" s="1"/>
  <c r="J361" i="29" s="1"/>
  <c r="J362" i="29" s="1"/>
  <c r="J363" i="29" s="1"/>
  <c r="J364" i="29" s="1"/>
  <c r="J365" i="29" s="1"/>
  <c r="J366" i="29" s="1"/>
  <c r="J367" i="29" s="1"/>
  <c r="J368" i="29" s="1"/>
  <c r="J369" i="29" s="1"/>
  <c r="J370" i="29" s="1"/>
  <c r="J371" i="29" s="1"/>
  <c r="C158" i="16"/>
  <c r="E158" i="16" s="1"/>
  <c r="F160" i="29"/>
  <c r="F161" i="29" s="1"/>
  <c r="F162" i="29" s="1"/>
  <c r="F163" i="29" s="1"/>
  <c r="F164" i="29" s="1"/>
  <c r="F165" i="29" s="1"/>
  <c r="F166" i="29" s="1"/>
  <c r="F167" i="29" s="1"/>
  <c r="F168" i="29" s="1"/>
  <c r="F169" i="29" s="1"/>
  <c r="F170" i="29" s="1"/>
  <c r="F171" i="29" s="1"/>
  <c r="F172" i="29" s="1"/>
  <c r="F173" i="29" s="1"/>
  <c r="F174" i="29" s="1"/>
  <c r="F175" i="29" s="1"/>
  <c r="F176" i="29" s="1"/>
  <c r="F177" i="29" s="1"/>
  <c r="F178" i="29" s="1"/>
  <c r="F179" i="29" s="1"/>
  <c r="F180" i="29" s="1"/>
  <c r="F181" i="29" s="1"/>
  <c r="F182" i="29" s="1"/>
  <c r="F183" i="29" s="1"/>
  <c r="F184" i="29" s="1"/>
  <c r="F185" i="29" s="1"/>
  <c r="F186" i="29" s="1"/>
  <c r="F187" i="29" s="1"/>
  <c r="F188" i="29" s="1"/>
  <c r="F189" i="29" s="1"/>
  <c r="F190" i="29" s="1"/>
  <c r="F191" i="29" s="1"/>
  <c r="F192" i="29" s="1"/>
  <c r="F193" i="29" s="1"/>
  <c r="F194" i="29" s="1"/>
  <c r="F195" i="29" s="1"/>
  <c r="F196" i="29" s="1"/>
  <c r="F197" i="29" s="1"/>
  <c r="F198" i="29" s="1"/>
  <c r="F199" i="29" s="1"/>
  <c r="F200" i="29" s="1"/>
  <c r="F201" i="29" s="1"/>
  <c r="F202" i="29" s="1"/>
  <c r="F203" i="29" s="1"/>
  <c r="F204" i="29" s="1"/>
  <c r="F205" i="29" s="1"/>
  <c r="F206" i="29" s="1"/>
  <c r="F207" i="29" s="1"/>
  <c r="F208" i="29" s="1"/>
  <c r="F209" i="29" s="1"/>
  <c r="F210" i="29" s="1"/>
  <c r="F211" i="29" s="1"/>
  <c r="F212" i="29" s="1"/>
  <c r="F213" i="29" s="1"/>
  <c r="F214" i="29" s="1"/>
  <c r="F215" i="29" s="1"/>
  <c r="F216" i="29" s="1"/>
  <c r="F217" i="29" s="1"/>
  <c r="F218" i="29" s="1"/>
  <c r="F219" i="29" s="1"/>
  <c r="F220" i="29" s="1"/>
  <c r="F221" i="29" s="1"/>
  <c r="F222" i="29" s="1"/>
  <c r="F223" i="29" s="1"/>
  <c r="F224" i="29" s="1"/>
  <c r="F225" i="29" s="1"/>
  <c r="F226" i="29" s="1"/>
  <c r="F227" i="29" s="1"/>
  <c r="F228" i="29" s="1"/>
  <c r="F229" i="29" s="1"/>
  <c r="F230" i="29" s="1"/>
  <c r="F231" i="29" s="1"/>
  <c r="F232" i="29" s="1"/>
  <c r="F233" i="29" s="1"/>
  <c r="F234" i="29" s="1"/>
  <c r="F235" i="29" s="1"/>
  <c r="F236" i="29" s="1"/>
  <c r="F237" i="29" s="1"/>
  <c r="F238" i="29" s="1"/>
  <c r="F239" i="29" s="1"/>
  <c r="F240" i="29" s="1"/>
  <c r="F241" i="29" s="1"/>
  <c r="F242" i="29" s="1"/>
  <c r="F243" i="29" s="1"/>
  <c r="F244" i="29" s="1"/>
  <c r="F245" i="29" s="1"/>
  <c r="F246" i="29" s="1"/>
  <c r="F247" i="29" s="1"/>
  <c r="F248" i="29" s="1"/>
  <c r="F249" i="29" s="1"/>
  <c r="F250" i="29" s="1"/>
  <c r="F251" i="29" s="1"/>
  <c r="F252" i="29" s="1"/>
  <c r="F253" i="29" s="1"/>
  <c r="F254" i="29" s="1"/>
  <c r="F255" i="29" s="1"/>
  <c r="F256" i="29" s="1"/>
  <c r="F257" i="29" s="1"/>
  <c r="F258" i="29" s="1"/>
  <c r="F259" i="29" s="1"/>
  <c r="F260" i="29" s="1"/>
  <c r="F261" i="29" s="1"/>
  <c r="F262" i="29" s="1"/>
  <c r="F263" i="29" s="1"/>
  <c r="F264" i="29" s="1"/>
  <c r="F265" i="29" s="1"/>
  <c r="F266" i="29" s="1"/>
  <c r="F267" i="29" s="1"/>
  <c r="F268" i="29" s="1"/>
  <c r="F269" i="29" s="1"/>
  <c r="F270" i="29" s="1"/>
  <c r="F271" i="29" s="1"/>
  <c r="F272" i="29" s="1"/>
  <c r="F273" i="29" s="1"/>
  <c r="F274" i="29" s="1"/>
  <c r="F275" i="29" s="1"/>
  <c r="F276" i="29" s="1"/>
  <c r="F277" i="29" s="1"/>
  <c r="F278" i="29" s="1"/>
  <c r="F279" i="29" s="1"/>
  <c r="F280" i="29" s="1"/>
  <c r="F281" i="29" s="1"/>
  <c r="F282" i="29" s="1"/>
  <c r="F283" i="29" s="1"/>
  <c r="F284" i="29" s="1"/>
  <c r="F285" i="29" s="1"/>
  <c r="F286" i="29" s="1"/>
  <c r="F287" i="29" s="1"/>
  <c r="F288" i="29" s="1"/>
  <c r="F289" i="29" s="1"/>
  <c r="F290" i="29" s="1"/>
  <c r="F291" i="29" s="1"/>
  <c r="F292" i="29" s="1"/>
  <c r="F293" i="29" s="1"/>
  <c r="F294" i="29" s="1"/>
  <c r="F295" i="29" s="1"/>
  <c r="F296" i="29" s="1"/>
  <c r="F297" i="29" s="1"/>
  <c r="F298" i="29" s="1"/>
  <c r="F299" i="29" s="1"/>
  <c r="F300" i="29" s="1"/>
  <c r="F301" i="29" s="1"/>
  <c r="F302" i="29" s="1"/>
  <c r="F303" i="29" s="1"/>
  <c r="F304" i="29" s="1"/>
  <c r="F305" i="29" s="1"/>
  <c r="F306" i="29" s="1"/>
  <c r="F307" i="29" s="1"/>
  <c r="F308" i="29" s="1"/>
  <c r="F309" i="29" s="1"/>
  <c r="F310" i="29" s="1"/>
  <c r="F311" i="29" s="1"/>
  <c r="F312" i="29" s="1"/>
  <c r="F313" i="29" s="1"/>
  <c r="F314" i="29" s="1"/>
  <c r="F315" i="29" s="1"/>
  <c r="F316" i="29" s="1"/>
  <c r="F317" i="29" s="1"/>
  <c r="F318" i="29" s="1"/>
  <c r="F319" i="29" s="1"/>
  <c r="F320" i="29" s="1"/>
  <c r="F321" i="29" s="1"/>
  <c r="F322" i="29" s="1"/>
  <c r="F323" i="29" s="1"/>
  <c r="F324" i="29" s="1"/>
  <c r="F325" i="29" s="1"/>
  <c r="F326" i="29" s="1"/>
  <c r="F327" i="29" s="1"/>
  <c r="F328" i="29" s="1"/>
  <c r="F329" i="29" s="1"/>
  <c r="F330" i="29" s="1"/>
  <c r="F331" i="29" s="1"/>
  <c r="F332" i="29" s="1"/>
  <c r="F333" i="29" s="1"/>
  <c r="F334" i="29" s="1"/>
  <c r="F335" i="29" s="1"/>
  <c r="F336" i="29" s="1"/>
  <c r="F337" i="29" s="1"/>
  <c r="F338" i="29" s="1"/>
  <c r="F339" i="29" s="1"/>
  <c r="F340" i="29" s="1"/>
  <c r="F341" i="29" s="1"/>
  <c r="F342" i="29" s="1"/>
  <c r="F343" i="29" s="1"/>
  <c r="F344" i="29" s="1"/>
  <c r="F345" i="29" s="1"/>
  <c r="F346" i="29" s="1"/>
  <c r="F347" i="29" s="1"/>
  <c r="F348" i="29" s="1"/>
  <c r="F349" i="29" s="1"/>
  <c r="F350" i="29" s="1"/>
  <c r="F351" i="29" s="1"/>
  <c r="F352" i="29" s="1"/>
  <c r="F353" i="29" s="1"/>
  <c r="F354" i="29" s="1"/>
  <c r="F355" i="29" s="1"/>
  <c r="F356" i="29" s="1"/>
  <c r="F357" i="29" s="1"/>
  <c r="F358" i="29" s="1"/>
  <c r="F359" i="29" s="1"/>
  <c r="F360" i="29" s="1"/>
  <c r="F361" i="29" s="1"/>
  <c r="F362" i="29" s="1"/>
  <c r="F363" i="29" s="1"/>
  <c r="F364" i="29" s="1"/>
  <c r="F365" i="29" s="1"/>
  <c r="F366" i="29" s="1"/>
  <c r="F367" i="29" s="1"/>
  <c r="F368" i="29" s="1"/>
  <c r="F369" i="29" s="1"/>
  <c r="F370" i="29" s="1"/>
  <c r="F371" i="29" s="1"/>
  <c r="C158" i="10"/>
  <c r="E158" i="10" s="1"/>
  <c r="G160" i="29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G183" i="29" s="1"/>
  <c r="G184" i="29" s="1"/>
  <c r="G185" i="29" s="1"/>
  <c r="G186" i="29" s="1"/>
  <c r="G187" i="29" s="1"/>
  <c r="G188" i="29" s="1"/>
  <c r="G189" i="29" s="1"/>
  <c r="G190" i="29" s="1"/>
  <c r="G191" i="29" s="1"/>
  <c r="G192" i="29" s="1"/>
  <c r="G193" i="29" s="1"/>
  <c r="G194" i="29" s="1"/>
  <c r="G195" i="29" s="1"/>
  <c r="G196" i="29" s="1"/>
  <c r="G197" i="29" s="1"/>
  <c r="G198" i="29" s="1"/>
  <c r="G199" i="29" s="1"/>
  <c r="G200" i="29" s="1"/>
  <c r="G201" i="29" s="1"/>
  <c r="G202" i="29" s="1"/>
  <c r="G203" i="29" s="1"/>
  <c r="G204" i="29" s="1"/>
  <c r="G205" i="29" s="1"/>
  <c r="G206" i="29" s="1"/>
  <c r="G207" i="29" s="1"/>
  <c r="G208" i="29" s="1"/>
  <c r="G209" i="29" s="1"/>
  <c r="G210" i="29" s="1"/>
  <c r="G211" i="29" s="1"/>
  <c r="G212" i="29" s="1"/>
  <c r="G213" i="29" s="1"/>
  <c r="G214" i="29" s="1"/>
  <c r="G215" i="29" s="1"/>
  <c r="G216" i="29" s="1"/>
  <c r="G217" i="29" s="1"/>
  <c r="G218" i="29" s="1"/>
  <c r="G219" i="29" s="1"/>
  <c r="G220" i="29" s="1"/>
  <c r="G221" i="29" s="1"/>
  <c r="G222" i="29" s="1"/>
  <c r="G223" i="29" s="1"/>
  <c r="G224" i="29" s="1"/>
  <c r="G225" i="29" s="1"/>
  <c r="G226" i="29" s="1"/>
  <c r="G227" i="29" s="1"/>
  <c r="G228" i="29" s="1"/>
  <c r="G229" i="29" s="1"/>
  <c r="G230" i="29" s="1"/>
  <c r="G231" i="29" s="1"/>
  <c r="G232" i="29" s="1"/>
  <c r="G233" i="29" s="1"/>
  <c r="G234" i="29" s="1"/>
  <c r="G235" i="29" s="1"/>
  <c r="G236" i="29" s="1"/>
  <c r="G237" i="29" s="1"/>
  <c r="G238" i="29" s="1"/>
  <c r="G239" i="29" s="1"/>
  <c r="G240" i="29" s="1"/>
  <c r="G241" i="29" s="1"/>
  <c r="G242" i="29" s="1"/>
  <c r="G243" i="29" s="1"/>
  <c r="G244" i="29" s="1"/>
  <c r="G245" i="29" s="1"/>
  <c r="G246" i="29" s="1"/>
  <c r="G247" i="29" s="1"/>
  <c r="G248" i="29" s="1"/>
  <c r="G249" i="29" s="1"/>
  <c r="G250" i="29" s="1"/>
  <c r="G251" i="29" s="1"/>
  <c r="G252" i="29" s="1"/>
  <c r="G253" i="29" s="1"/>
  <c r="G254" i="29" s="1"/>
  <c r="G255" i="29" s="1"/>
  <c r="G256" i="29" s="1"/>
  <c r="G257" i="29" s="1"/>
  <c r="G258" i="29" s="1"/>
  <c r="G259" i="29" s="1"/>
  <c r="G260" i="29" s="1"/>
  <c r="G261" i="29" s="1"/>
  <c r="G262" i="29" s="1"/>
  <c r="G263" i="29" s="1"/>
  <c r="G264" i="29" s="1"/>
  <c r="G265" i="29" s="1"/>
  <c r="G266" i="29" s="1"/>
  <c r="G267" i="29" s="1"/>
  <c r="G268" i="29" s="1"/>
  <c r="G269" i="29" s="1"/>
  <c r="G270" i="29" s="1"/>
  <c r="G271" i="29" s="1"/>
  <c r="G272" i="29" s="1"/>
  <c r="G273" i="29" s="1"/>
  <c r="G274" i="29" s="1"/>
  <c r="G275" i="29" s="1"/>
  <c r="G276" i="29" s="1"/>
  <c r="G277" i="29" s="1"/>
  <c r="G278" i="29" s="1"/>
  <c r="G279" i="29" s="1"/>
  <c r="G280" i="29" s="1"/>
  <c r="G281" i="29" s="1"/>
  <c r="G282" i="29" s="1"/>
  <c r="G283" i="29" s="1"/>
  <c r="G284" i="29" s="1"/>
  <c r="G285" i="29" s="1"/>
  <c r="G286" i="29" s="1"/>
  <c r="G287" i="29" s="1"/>
  <c r="G288" i="29" s="1"/>
  <c r="G289" i="29" s="1"/>
  <c r="G290" i="29" s="1"/>
  <c r="G291" i="29" s="1"/>
  <c r="G292" i="29" s="1"/>
  <c r="G293" i="29" s="1"/>
  <c r="G294" i="29" s="1"/>
  <c r="G295" i="29" s="1"/>
  <c r="G296" i="29" s="1"/>
  <c r="G297" i="29" s="1"/>
  <c r="G298" i="29" s="1"/>
  <c r="G299" i="29" s="1"/>
  <c r="G300" i="29" s="1"/>
  <c r="G301" i="29" s="1"/>
  <c r="G302" i="29" s="1"/>
  <c r="G303" i="29" s="1"/>
  <c r="G304" i="29" s="1"/>
  <c r="G305" i="29" s="1"/>
  <c r="G306" i="29" s="1"/>
  <c r="G307" i="29" s="1"/>
  <c r="G308" i="29" s="1"/>
  <c r="G309" i="29" s="1"/>
  <c r="G310" i="29" s="1"/>
  <c r="G311" i="29" s="1"/>
  <c r="G312" i="29" s="1"/>
  <c r="G313" i="29" s="1"/>
  <c r="G314" i="29" s="1"/>
  <c r="G315" i="29" s="1"/>
  <c r="G316" i="29" s="1"/>
  <c r="G317" i="29" s="1"/>
  <c r="G318" i="29" s="1"/>
  <c r="G319" i="29" s="1"/>
  <c r="G320" i="29" s="1"/>
  <c r="G321" i="29" s="1"/>
  <c r="G322" i="29" s="1"/>
  <c r="G323" i="29" s="1"/>
  <c r="G324" i="29" s="1"/>
  <c r="G325" i="29" s="1"/>
  <c r="G326" i="29" s="1"/>
  <c r="G327" i="29" s="1"/>
  <c r="G328" i="29" s="1"/>
  <c r="G329" i="29" s="1"/>
  <c r="G330" i="29" s="1"/>
  <c r="G331" i="29" s="1"/>
  <c r="G332" i="29" s="1"/>
  <c r="G333" i="29" s="1"/>
  <c r="G334" i="29" s="1"/>
  <c r="G335" i="29" s="1"/>
  <c r="G336" i="29" s="1"/>
  <c r="G337" i="29" s="1"/>
  <c r="G338" i="29" s="1"/>
  <c r="G339" i="29" s="1"/>
  <c r="G340" i="29" s="1"/>
  <c r="G341" i="29" s="1"/>
  <c r="G342" i="29" s="1"/>
  <c r="G343" i="29" s="1"/>
  <c r="G344" i="29" s="1"/>
  <c r="G345" i="29" s="1"/>
  <c r="G346" i="29" s="1"/>
  <c r="G347" i="29" s="1"/>
  <c r="G348" i="29" s="1"/>
  <c r="G349" i="29" s="1"/>
  <c r="G350" i="29" s="1"/>
  <c r="G351" i="29" s="1"/>
  <c r="G352" i="29" s="1"/>
  <c r="G353" i="29" s="1"/>
  <c r="G354" i="29" s="1"/>
  <c r="G355" i="29" s="1"/>
  <c r="G356" i="29" s="1"/>
  <c r="G357" i="29" s="1"/>
  <c r="G358" i="29" s="1"/>
  <c r="G359" i="29" s="1"/>
  <c r="G360" i="29" s="1"/>
  <c r="G361" i="29" s="1"/>
  <c r="G362" i="29" s="1"/>
  <c r="G363" i="29" s="1"/>
  <c r="G364" i="29" s="1"/>
  <c r="G365" i="29" s="1"/>
  <c r="G366" i="29" s="1"/>
  <c r="G367" i="29" s="1"/>
  <c r="G368" i="29" s="1"/>
  <c r="G369" i="29" s="1"/>
  <c r="G370" i="29" s="1"/>
  <c r="G371" i="29" s="1"/>
  <c r="C156" i="4"/>
  <c r="E156" i="4" s="1"/>
  <c r="I158" i="29"/>
  <c r="B98" i="11"/>
  <c r="B98" i="12"/>
  <c r="B98" i="2"/>
  <c r="B98" i="16"/>
  <c r="B98" i="5"/>
  <c r="B98" i="10"/>
  <c r="B98" i="3"/>
  <c r="B98" i="4"/>
  <c r="B98" i="34"/>
  <c r="B98" i="1"/>
  <c r="B98" i="7"/>
  <c r="C99" i="29"/>
  <c r="C97" i="3"/>
  <c r="L99" i="29"/>
  <c r="D99" i="29"/>
  <c r="C97" i="5"/>
  <c r="A98" i="30"/>
  <c r="A97" i="1"/>
  <c r="A97" i="2"/>
  <c r="A97" i="11"/>
  <c r="A97" i="4"/>
  <c r="A97" i="10"/>
  <c r="A97" i="16"/>
  <c r="A97" i="12"/>
  <c r="A97" i="5"/>
  <c r="A97" i="3"/>
  <c r="A97" i="7"/>
  <c r="K99" i="29"/>
  <c r="C97" i="12"/>
  <c r="H99" i="29"/>
  <c r="C97" i="11"/>
  <c r="B100" i="29"/>
  <c r="A99" i="29"/>
  <c r="C159" i="7" l="1"/>
  <c r="E159" i="7" s="1"/>
  <c r="E161" i="29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C157" i="4"/>
  <c r="I159" i="29"/>
  <c r="C100" i="29"/>
  <c r="C98" i="3"/>
  <c r="F98" i="3" s="1"/>
  <c r="L100" i="29"/>
  <c r="C98" i="1"/>
  <c r="E98" i="1" s="1"/>
  <c r="D100" i="29"/>
  <c r="C98" i="5"/>
  <c r="E98" i="5" s="1"/>
  <c r="K100" i="29"/>
  <c r="C98" i="12"/>
  <c r="E98" i="12" s="1"/>
  <c r="H100" i="29"/>
  <c r="C98" i="11"/>
  <c r="B99" i="12"/>
  <c r="B99" i="1"/>
  <c r="B99" i="4"/>
  <c r="B99" i="3"/>
  <c r="B99" i="34"/>
  <c r="B99" i="7"/>
  <c r="B99" i="5"/>
  <c r="B99" i="10"/>
  <c r="B99" i="11"/>
  <c r="B99" i="16"/>
  <c r="B99" i="2"/>
  <c r="A99" i="30"/>
  <c r="A98" i="10"/>
  <c r="A98" i="4"/>
  <c r="A98" i="12"/>
  <c r="A98" i="11"/>
  <c r="A98" i="1"/>
  <c r="A98" i="34"/>
  <c r="A98" i="2"/>
  <c r="A98" i="16"/>
  <c r="A98" i="3"/>
  <c r="A98" i="7"/>
  <c r="A98" i="5"/>
  <c r="B101" i="29"/>
  <c r="A100" i="29"/>
  <c r="E98" i="11" l="1"/>
  <c r="C158" i="4"/>
  <c r="I160" i="29"/>
  <c r="I161" i="29" s="1"/>
  <c r="I162" i="29" s="1"/>
  <c r="I163" i="29" s="1"/>
  <c r="I164" i="29" s="1"/>
  <c r="I165" i="29" s="1"/>
  <c r="I166" i="29" s="1"/>
  <c r="I167" i="29" s="1"/>
  <c r="I168" i="29" s="1"/>
  <c r="I169" i="29" s="1"/>
  <c r="I170" i="29" s="1"/>
  <c r="I171" i="29" s="1"/>
  <c r="I172" i="29" s="1"/>
  <c r="I173" i="29" s="1"/>
  <c r="I174" i="29" s="1"/>
  <c r="I175" i="29" s="1"/>
  <c r="I176" i="29" s="1"/>
  <c r="I177" i="29" s="1"/>
  <c r="I178" i="29" s="1"/>
  <c r="I179" i="29" s="1"/>
  <c r="I180" i="29" s="1"/>
  <c r="I181" i="29" s="1"/>
  <c r="I182" i="29" s="1"/>
  <c r="I183" i="29" s="1"/>
  <c r="I184" i="29" s="1"/>
  <c r="I185" i="29" s="1"/>
  <c r="I186" i="29" s="1"/>
  <c r="I187" i="29" s="1"/>
  <c r="I188" i="29" s="1"/>
  <c r="I189" i="29" s="1"/>
  <c r="I190" i="29" s="1"/>
  <c r="I191" i="29" s="1"/>
  <c r="I192" i="29" s="1"/>
  <c r="I193" i="29" s="1"/>
  <c r="I194" i="29" s="1"/>
  <c r="I195" i="29" s="1"/>
  <c r="I196" i="29" s="1"/>
  <c r="I197" i="29" s="1"/>
  <c r="I198" i="29" s="1"/>
  <c r="I199" i="29" s="1"/>
  <c r="I200" i="29" s="1"/>
  <c r="I201" i="29" s="1"/>
  <c r="I202" i="29" s="1"/>
  <c r="I203" i="29" s="1"/>
  <c r="I204" i="29" s="1"/>
  <c r="I205" i="29" s="1"/>
  <c r="I206" i="29" s="1"/>
  <c r="I207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243" i="29" s="1"/>
  <c r="I244" i="29" s="1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C99" i="3"/>
  <c r="F99" i="3" s="1"/>
  <c r="C101" i="29"/>
  <c r="C99" i="1"/>
  <c r="E99" i="1" s="1"/>
  <c r="L101" i="29"/>
  <c r="C99" i="5"/>
  <c r="E99" i="5" s="1"/>
  <c r="D101" i="29"/>
  <c r="C99" i="12"/>
  <c r="E99" i="12" s="1"/>
  <c r="K101" i="29"/>
  <c r="C99" i="11"/>
  <c r="H101" i="29"/>
  <c r="B100" i="11"/>
  <c r="B100" i="2"/>
  <c r="B100" i="16"/>
  <c r="B100" i="3"/>
  <c r="B100" i="4"/>
  <c r="B100" i="5"/>
  <c r="B100" i="10"/>
  <c r="B100" i="7"/>
  <c r="B100" i="1"/>
  <c r="B100" i="34"/>
  <c r="B100" i="12"/>
  <c r="A100" i="30"/>
  <c r="A99" i="11"/>
  <c r="A99" i="12"/>
  <c r="A99" i="2"/>
  <c r="A99" i="16"/>
  <c r="A99" i="5"/>
  <c r="A99" i="10"/>
  <c r="A99" i="4"/>
  <c r="A99" i="7"/>
  <c r="A99" i="3"/>
  <c r="A99" i="1"/>
  <c r="A99" i="34"/>
  <c r="B102" i="29"/>
  <c r="A101" i="29"/>
  <c r="E99" i="11" l="1"/>
  <c r="C100" i="3"/>
  <c r="F100" i="3" s="1"/>
  <c r="C102" i="29"/>
  <c r="C100" i="1"/>
  <c r="E100" i="1" s="1"/>
  <c r="L102" i="29"/>
  <c r="C100" i="5"/>
  <c r="E100" i="5" s="1"/>
  <c r="D102" i="29"/>
  <c r="C100" i="12"/>
  <c r="E100" i="12" s="1"/>
  <c r="K102" i="29"/>
  <c r="C100" i="11"/>
  <c r="H102" i="29"/>
  <c r="B101" i="12"/>
  <c r="B101" i="16"/>
  <c r="B101" i="2"/>
  <c r="B101" i="5"/>
  <c r="B101" i="10"/>
  <c r="B101" i="34"/>
  <c r="B101" i="7"/>
  <c r="B101" i="3"/>
  <c r="B101" i="4"/>
  <c r="B101" i="1"/>
  <c r="B101" i="11"/>
  <c r="A101" i="30"/>
  <c r="A100" i="12"/>
  <c r="A100" i="4"/>
  <c r="A100" i="2"/>
  <c r="A100" i="16"/>
  <c r="A100" i="5"/>
  <c r="A100" i="10"/>
  <c r="A100" i="3"/>
  <c r="A100" i="7"/>
  <c r="A100" i="1"/>
  <c r="A100" i="11"/>
  <c r="A100" i="34"/>
  <c r="A102" i="29"/>
  <c r="B103" i="29"/>
  <c r="E100" i="11" l="1"/>
  <c r="C101" i="3"/>
  <c r="F101" i="3" s="1"/>
  <c r="C103" i="29"/>
  <c r="C101" i="1"/>
  <c r="E101" i="1" s="1"/>
  <c r="L103" i="29"/>
  <c r="C101" i="5"/>
  <c r="E101" i="5" s="1"/>
  <c r="D103" i="29"/>
  <c r="C101" i="12"/>
  <c r="E101" i="12" s="1"/>
  <c r="K103" i="29"/>
  <c r="C101" i="11"/>
  <c r="H103" i="29"/>
  <c r="A102" i="30"/>
  <c r="A101" i="11"/>
  <c r="A101" i="2"/>
  <c r="A101" i="16"/>
  <c r="A101" i="5"/>
  <c r="A101" i="10"/>
  <c r="A101" i="34"/>
  <c r="A101" i="7"/>
  <c r="A101" i="4"/>
  <c r="A101" i="1"/>
  <c r="A101" i="12"/>
  <c r="A101" i="3"/>
  <c r="B102" i="11"/>
  <c r="B102" i="2"/>
  <c r="B102" i="16"/>
  <c r="B102" i="5"/>
  <c r="B102" i="10"/>
  <c r="B102" i="7"/>
  <c r="B102" i="34"/>
  <c r="B102" i="4"/>
  <c r="B102" i="1"/>
  <c r="B102" i="12"/>
  <c r="B102" i="3"/>
  <c r="A103" i="29"/>
  <c r="B104" i="29"/>
  <c r="E101" i="11" l="1"/>
  <c r="C102" i="3"/>
  <c r="F102" i="3" s="1"/>
  <c r="C104" i="29"/>
  <c r="C102" i="1"/>
  <c r="E102" i="1" s="1"/>
  <c r="L104" i="29"/>
  <c r="C102" i="5"/>
  <c r="E102" i="5" s="1"/>
  <c r="D104" i="29"/>
  <c r="C102" i="12"/>
  <c r="E102" i="12" s="1"/>
  <c r="K104" i="29"/>
  <c r="C102" i="11"/>
  <c r="H104" i="29"/>
  <c r="A103" i="30"/>
  <c r="A102" i="12"/>
  <c r="A102" i="2"/>
  <c r="A102" i="34"/>
  <c r="A102" i="5"/>
  <c r="A102" i="10"/>
  <c r="A102" i="3"/>
  <c r="A102" i="7"/>
  <c r="A102" i="4"/>
  <c r="A102" i="1"/>
  <c r="A102" i="11"/>
  <c r="A102" i="16"/>
  <c r="B103" i="12"/>
  <c r="B103" i="2"/>
  <c r="B103" i="16"/>
  <c r="B103" i="34"/>
  <c r="B103" i="5"/>
  <c r="B103" i="10"/>
  <c r="B103" i="3"/>
  <c r="B103" i="7"/>
  <c r="B103" i="4"/>
  <c r="B103" i="1"/>
  <c r="B103" i="11"/>
  <c r="A104" i="29"/>
  <c r="B105" i="29"/>
  <c r="E102" i="11" l="1"/>
  <c r="C103" i="3"/>
  <c r="C105" i="29"/>
  <c r="C103" i="1"/>
  <c r="L105" i="29"/>
  <c r="C103" i="5"/>
  <c r="D105" i="29"/>
  <c r="C103" i="12"/>
  <c r="K105" i="29"/>
  <c r="C103" i="11"/>
  <c r="H105" i="29"/>
  <c r="A104" i="30"/>
  <c r="A103" i="11"/>
  <c r="A103" i="16"/>
  <c r="A103" i="34"/>
  <c r="A103" i="2"/>
  <c r="A103" i="5"/>
  <c r="A103" i="10"/>
  <c r="A103" i="7"/>
  <c r="A103" i="3"/>
  <c r="A103" i="4"/>
  <c r="A103" i="1"/>
  <c r="A103" i="12"/>
  <c r="B104" i="11"/>
  <c r="B104" i="12"/>
  <c r="B104" i="34"/>
  <c r="B104" i="2"/>
  <c r="B104" i="16"/>
  <c r="B104" i="5"/>
  <c r="B104" i="10"/>
  <c r="B104" i="3"/>
  <c r="B104" i="7"/>
  <c r="B104" i="4"/>
  <c r="B104" i="1"/>
  <c r="A105" i="29"/>
  <c r="B106" i="29"/>
  <c r="C104" i="3" l="1"/>
  <c r="C106" i="29"/>
  <c r="C104" i="1"/>
  <c r="L106" i="29"/>
  <c r="C104" i="5"/>
  <c r="D106" i="29"/>
  <c r="C104" i="12"/>
  <c r="K106" i="29"/>
  <c r="C104" i="11"/>
  <c r="H106" i="29"/>
  <c r="A105" i="30"/>
  <c r="A104" i="2"/>
  <c r="A104" i="5"/>
  <c r="A104" i="10"/>
  <c r="A104" i="7"/>
  <c r="A104" i="34"/>
  <c r="A104" i="4"/>
  <c r="A104" i="1"/>
  <c r="A104" i="11"/>
  <c r="A104" i="12"/>
  <c r="A104" i="16"/>
  <c r="A104" i="3"/>
  <c r="B105" i="2"/>
  <c r="B105" i="16"/>
  <c r="B105" i="5"/>
  <c r="B105" i="10"/>
  <c r="B105" i="34"/>
  <c r="B105" i="7"/>
  <c r="B105" i="4"/>
  <c r="B105" i="1"/>
  <c r="B105" i="11"/>
  <c r="B105" i="12"/>
  <c r="B105" i="3"/>
  <c r="A106" i="29"/>
  <c r="B107" i="29"/>
  <c r="C105" i="3" l="1"/>
  <c r="F105" i="3" s="1"/>
  <c r="C107" i="29"/>
  <c r="C105" i="1"/>
  <c r="E105" i="1" s="1"/>
  <c r="L107" i="29"/>
  <c r="C105" i="5"/>
  <c r="E105" i="5" s="1"/>
  <c r="D107" i="29"/>
  <c r="C105" i="12"/>
  <c r="E105" i="12" s="1"/>
  <c r="K107" i="29"/>
  <c r="C105" i="11"/>
  <c r="H107" i="29"/>
  <c r="A106" i="30"/>
  <c r="A105" i="11"/>
  <c r="A105" i="12"/>
  <c r="A105" i="2"/>
  <c r="A105" i="5"/>
  <c r="A105" i="10"/>
  <c r="A105" i="3"/>
  <c r="A105" i="7"/>
  <c r="A105" i="4"/>
  <c r="A105" i="1"/>
  <c r="A105" i="16"/>
  <c r="A105" i="34"/>
  <c r="B106" i="11"/>
  <c r="B106" i="12"/>
  <c r="B106" i="2"/>
  <c r="B106" i="16"/>
  <c r="B106" i="34"/>
  <c r="B106" i="5"/>
  <c r="B106" i="10"/>
  <c r="B106" i="7"/>
  <c r="B106" i="4"/>
  <c r="B106" i="1"/>
  <c r="B106" i="3"/>
  <c r="A107" i="29"/>
  <c r="B108" i="29"/>
  <c r="E105" i="11" l="1"/>
  <c r="C106" i="3"/>
  <c r="F106" i="3" s="1"/>
  <c r="C108" i="29"/>
  <c r="C106" i="1"/>
  <c r="E106" i="1" s="1"/>
  <c r="L108" i="29"/>
  <c r="C106" i="5"/>
  <c r="E106" i="5" s="1"/>
  <c r="D108" i="29"/>
  <c r="C106" i="12"/>
  <c r="E106" i="12" s="1"/>
  <c r="K108" i="29"/>
  <c r="C106" i="11"/>
  <c r="H108" i="29"/>
  <c r="A107" i="30"/>
  <c r="A106" i="2"/>
  <c r="A106" i="16"/>
  <c r="A106" i="5"/>
  <c r="A106" i="10"/>
  <c r="A106" i="3"/>
  <c r="A106" i="34"/>
  <c r="A106" i="7"/>
  <c r="A106" i="4"/>
  <c r="A106" i="1"/>
  <c r="A106" i="11"/>
  <c r="A106" i="12"/>
  <c r="B107" i="2"/>
  <c r="B107" i="5"/>
  <c r="B107" i="10"/>
  <c r="B107" i="34"/>
  <c r="B107" i="7"/>
  <c r="B107" i="3"/>
  <c r="B107" i="4"/>
  <c r="B107" i="1"/>
  <c r="B107" i="11"/>
  <c r="B107" i="12"/>
  <c r="B107" i="16"/>
  <c r="B109" i="29"/>
  <c r="A108" i="29"/>
  <c r="E106" i="11" l="1"/>
  <c r="C107" i="3"/>
  <c r="F107" i="3" s="1"/>
  <c r="C109" i="29"/>
  <c r="C107" i="1"/>
  <c r="E107" i="1" s="1"/>
  <c r="L109" i="29"/>
  <c r="C107" i="5"/>
  <c r="E107" i="5" s="1"/>
  <c r="D109" i="29"/>
  <c r="C107" i="12"/>
  <c r="E107" i="12" s="1"/>
  <c r="K109" i="29"/>
  <c r="C107" i="11"/>
  <c r="H109" i="29"/>
  <c r="B108" i="11"/>
  <c r="B108" i="12"/>
  <c r="B108" i="2"/>
  <c r="B108" i="16"/>
  <c r="B108" i="5"/>
  <c r="B108" i="10"/>
  <c r="B108" i="3"/>
  <c r="B108" i="7"/>
  <c r="B108" i="4"/>
  <c r="B108" i="1"/>
  <c r="B108" i="34"/>
  <c r="A108" i="30"/>
  <c r="A107" i="11"/>
  <c r="A107" i="34"/>
  <c r="A107" i="2"/>
  <c r="A107" i="3"/>
  <c r="A107" i="5"/>
  <c r="A107" i="10"/>
  <c r="A107" i="7"/>
  <c r="A107" i="4"/>
  <c r="A107" i="1"/>
  <c r="A107" i="12"/>
  <c r="A107" i="16"/>
  <c r="B110" i="29"/>
  <c r="A109" i="29"/>
  <c r="E107" i="11" l="1"/>
  <c r="C108" i="3"/>
  <c r="F108" i="3" s="1"/>
  <c r="C110" i="29"/>
  <c r="C108" i="1"/>
  <c r="L110" i="29"/>
  <c r="C108" i="5"/>
  <c r="E108" i="5" s="1"/>
  <c r="D110" i="29"/>
  <c r="C108" i="12"/>
  <c r="E108" i="12" s="1"/>
  <c r="K110" i="29"/>
  <c r="C108" i="11"/>
  <c r="H110" i="29"/>
  <c r="B109" i="11"/>
  <c r="B109" i="2"/>
  <c r="B109" i="16"/>
  <c r="B109" i="34"/>
  <c r="B109" i="5"/>
  <c r="B109" i="10"/>
  <c r="B109" i="7"/>
  <c r="B109" i="4"/>
  <c r="B109" i="1"/>
  <c r="B109" i="12"/>
  <c r="B109" i="3"/>
  <c r="A109" i="30"/>
  <c r="A108" i="3"/>
  <c r="A108" i="2"/>
  <c r="A108" i="34"/>
  <c r="A108" i="5"/>
  <c r="A108" i="10"/>
  <c r="A108" i="7"/>
  <c r="A108" i="4"/>
  <c r="A108" i="1"/>
  <c r="A108" i="11"/>
  <c r="A108" i="12"/>
  <c r="A108" i="16"/>
  <c r="A110" i="29"/>
  <c r="B111" i="29"/>
  <c r="E108" i="11" l="1"/>
  <c r="C109" i="3"/>
  <c r="F109" i="3" s="1"/>
  <c r="C111" i="29"/>
  <c r="C109" i="1"/>
  <c r="E109" i="1" s="1"/>
  <c r="L111" i="29"/>
  <c r="C109" i="5"/>
  <c r="E109" i="5" s="1"/>
  <c r="D111" i="29"/>
  <c r="C109" i="12"/>
  <c r="E109" i="12" s="1"/>
  <c r="K111" i="29"/>
  <c r="C109" i="11"/>
  <c r="H111" i="29"/>
  <c r="A110" i="30"/>
  <c r="A109" i="12"/>
  <c r="A109" i="2"/>
  <c r="A109" i="16"/>
  <c r="A109" i="5"/>
  <c r="A109" i="10"/>
  <c r="A109" i="3"/>
  <c r="A109" i="7"/>
  <c r="A109" i="4"/>
  <c r="A109" i="1"/>
  <c r="A109" i="34"/>
  <c r="A109" i="11"/>
  <c r="B110" i="12"/>
  <c r="B110" i="2"/>
  <c r="B110" i="16"/>
  <c r="B110" i="5"/>
  <c r="B110" i="10"/>
  <c r="B110" i="3"/>
  <c r="B110" i="7"/>
  <c r="B110" i="4"/>
  <c r="B110" i="1"/>
  <c r="B110" i="34"/>
  <c r="B110" i="11"/>
  <c r="B112" i="29"/>
  <c r="A111" i="29"/>
  <c r="E109" i="11" l="1"/>
  <c r="C110" i="3"/>
  <c r="C112" i="29"/>
  <c r="C110" i="1"/>
  <c r="L112" i="29"/>
  <c r="C110" i="5"/>
  <c r="D112" i="29"/>
  <c r="C110" i="12"/>
  <c r="K112" i="29"/>
  <c r="C110" i="11"/>
  <c r="H112" i="29"/>
  <c r="H113" i="29" s="1"/>
  <c r="H114" i="29" s="1"/>
  <c r="B111" i="12"/>
  <c r="B111" i="3"/>
  <c r="B111" i="2"/>
  <c r="B111" i="16"/>
  <c r="B111" i="5"/>
  <c r="B111" i="10"/>
  <c r="B111" i="7"/>
  <c r="B111" i="4"/>
  <c r="B111" i="1"/>
  <c r="B111" i="11"/>
  <c r="B111" i="34"/>
  <c r="A111" i="30"/>
  <c r="A110" i="11"/>
  <c r="A110" i="16"/>
  <c r="A110" i="3"/>
  <c r="A110" i="2"/>
  <c r="A110" i="5"/>
  <c r="A110" i="10"/>
  <c r="A110" i="7"/>
  <c r="A110" i="34"/>
  <c r="A110" i="4"/>
  <c r="A110" i="1"/>
  <c r="A110" i="12"/>
  <c r="B113" i="29"/>
  <c r="A112" i="29"/>
  <c r="H115" i="29" l="1"/>
  <c r="H116" i="29" s="1"/>
  <c r="H117" i="29" s="1"/>
  <c r="C111" i="3"/>
  <c r="C113" i="29"/>
  <c r="C111" i="1"/>
  <c r="L113" i="29"/>
  <c r="C111" i="5"/>
  <c r="D113" i="29"/>
  <c r="C111" i="12"/>
  <c r="K113" i="29"/>
  <c r="C111" i="11"/>
  <c r="B112" i="11"/>
  <c r="B112" i="16"/>
  <c r="B112" i="2"/>
  <c r="B112" i="5"/>
  <c r="B112" i="10"/>
  <c r="B112" i="7"/>
  <c r="B112" i="34"/>
  <c r="B112" i="4"/>
  <c r="B112" i="1"/>
  <c r="B112" i="12"/>
  <c r="B112" i="3"/>
  <c r="A112" i="30"/>
  <c r="A111" i="11"/>
  <c r="A111" i="12"/>
  <c r="A111" i="16"/>
  <c r="A111" i="2"/>
  <c r="A111" i="5"/>
  <c r="A111" i="10"/>
  <c r="A111" i="3"/>
  <c r="A111" i="34"/>
  <c r="A111" i="7"/>
  <c r="A111" i="4"/>
  <c r="A111" i="1"/>
  <c r="B114" i="29"/>
  <c r="A113" i="29"/>
  <c r="C112" i="3" l="1"/>
  <c r="F112" i="3" s="1"/>
  <c r="C114" i="29"/>
  <c r="C112" i="1"/>
  <c r="E112" i="1" s="1"/>
  <c r="L114" i="29"/>
  <c r="C112" i="5"/>
  <c r="E112" i="5" s="1"/>
  <c r="D114" i="29"/>
  <c r="C112" i="12"/>
  <c r="E112" i="12" s="1"/>
  <c r="K114" i="29"/>
  <c r="C112" i="11"/>
  <c r="B113" i="11"/>
  <c r="B113" i="3"/>
  <c r="B113" i="2"/>
  <c r="B113" i="16"/>
  <c r="B113" i="5"/>
  <c r="B113" i="10"/>
  <c r="B113" i="34"/>
  <c r="B113" i="7"/>
  <c r="B113" i="4"/>
  <c r="B113" i="1"/>
  <c r="B113" i="12"/>
  <c r="A113" i="30"/>
  <c r="A112" i="12"/>
  <c r="A112" i="2"/>
  <c r="A112" i="16"/>
  <c r="A112" i="5"/>
  <c r="A112" i="10"/>
  <c r="A112" i="3"/>
  <c r="A112" i="7"/>
  <c r="A112" i="4"/>
  <c r="A112" i="1"/>
  <c r="A112" i="11"/>
  <c r="A112" i="34"/>
  <c r="B115" i="29"/>
  <c r="A114" i="29"/>
  <c r="E112" i="11" l="1"/>
  <c r="C113" i="3"/>
  <c r="F113" i="3" s="1"/>
  <c r="C115" i="29"/>
  <c r="C113" i="1"/>
  <c r="E113" i="1" s="1"/>
  <c r="L115" i="29"/>
  <c r="C113" i="5"/>
  <c r="E113" i="5" s="1"/>
  <c r="D115" i="29"/>
  <c r="C113" i="12"/>
  <c r="E113" i="12" s="1"/>
  <c r="K115" i="29"/>
  <c r="C113" i="11"/>
  <c r="B114" i="12"/>
  <c r="B114" i="34"/>
  <c r="B114" i="2"/>
  <c r="B114" i="16"/>
  <c r="B114" i="5"/>
  <c r="B114" i="10"/>
  <c r="B114" i="3"/>
  <c r="B114" i="7"/>
  <c r="B114" i="4"/>
  <c r="B114" i="1"/>
  <c r="B114" i="11"/>
  <c r="A114" i="30"/>
  <c r="A113" i="12"/>
  <c r="A113" i="16"/>
  <c r="A113" i="2"/>
  <c r="A113" i="5"/>
  <c r="A113" i="10"/>
  <c r="A113" i="3"/>
  <c r="A113" i="7"/>
  <c r="A113" i="4"/>
  <c r="A113" i="1"/>
  <c r="A113" i="34"/>
  <c r="A113" i="11"/>
  <c r="B116" i="29"/>
  <c r="A115" i="29"/>
  <c r="E113" i="11" l="1"/>
  <c r="C114" i="3"/>
  <c r="F114" i="3" s="1"/>
  <c r="C116" i="29"/>
  <c r="C114" i="1"/>
  <c r="E114" i="1" s="1"/>
  <c r="L116" i="29"/>
  <c r="C114" i="5"/>
  <c r="E114" i="5" s="1"/>
  <c r="D116" i="29"/>
  <c r="C114" i="12"/>
  <c r="E114" i="12" s="1"/>
  <c r="K116" i="29"/>
  <c r="C114" i="11"/>
  <c r="B115" i="11"/>
  <c r="B115" i="16"/>
  <c r="B115" i="3"/>
  <c r="B115" i="2"/>
  <c r="B115" i="5"/>
  <c r="B115" i="10"/>
  <c r="B115" i="7"/>
  <c r="B115" i="4"/>
  <c r="B115" i="1"/>
  <c r="B115" i="12"/>
  <c r="B115" i="34"/>
  <c r="A115" i="30"/>
  <c r="A114" i="16"/>
  <c r="A114" i="2"/>
  <c r="A114" i="34"/>
  <c r="A114" i="5"/>
  <c r="A114" i="10"/>
  <c r="A114" i="7"/>
  <c r="A114" i="3"/>
  <c r="A114" i="4"/>
  <c r="A114" i="1"/>
  <c r="A114" i="11"/>
  <c r="A114" i="12"/>
  <c r="A116" i="29"/>
  <c r="B117" i="29"/>
  <c r="E114" i="11" l="1"/>
  <c r="C115" i="3"/>
  <c r="C117" i="29"/>
  <c r="C115" i="1"/>
  <c r="E115" i="1" s="1"/>
  <c r="L117" i="29"/>
  <c r="C115" i="5"/>
  <c r="E115" i="5" s="1"/>
  <c r="D117" i="29"/>
  <c r="C115" i="12"/>
  <c r="E115" i="12" s="1"/>
  <c r="K117" i="29"/>
  <c r="C115" i="11"/>
  <c r="A116" i="30"/>
  <c r="A115" i="12"/>
  <c r="A115" i="2"/>
  <c r="A115" i="16"/>
  <c r="A115" i="5"/>
  <c r="A115" i="10"/>
  <c r="A115" i="7"/>
  <c r="A115" i="3"/>
  <c r="A115" i="34"/>
  <c r="A115" i="4"/>
  <c r="A115" i="1"/>
  <c r="A115" i="11"/>
  <c r="B116" i="12"/>
  <c r="B116" i="16"/>
  <c r="B116" i="2"/>
  <c r="B116" i="5"/>
  <c r="B116" i="10"/>
  <c r="B116" i="3"/>
  <c r="B116" i="7"/>
  <c r="B116" i="34"/>
  <c r="B116" i="4"/>
  <c r="B116" i="1"/>
  <c r="B116" i="11"/>
  <c r="B118" i="29"/>
  <c r="A117" i="29"/>
  <c r="E115" i="11" l="1"/>
  <c r="C116" i="3"/>
  <c r="C118" i="29"/>
  <c r="C116" i="1"/>
  <c r="L118" i="29"/>
  <c r="C116" i="5"/>
  <c r="D118" i="29"/>
  <c r="C116" i="12"/>
  <c r="K118" i="29"/>
  <c r="C116" i="11"/>
  <c r="H118" i="29"/>
  <c r="B117" i="2"/>
  <c r="B117" i="16"/>
  <c r="B117" i="5"/>
  <c r="B117" i="10"/>
  <c r="B117" i="7"/>
  <c r="B117" i="3"/>
  <c r="B117" i="4"/>
  <c r="B117" i="1"/>
  <c r="B117" i="11"/>
  <c r="B117" i="12"/>
  <c r="B117" i="34"/>
  <c r="A117" i="30"/>
  <c r="A116" i="11"/>
  <c r="A116" i="2"/>
  <c r="A116" i="16"/>
  <c r="A116" i="5"/>
  <c r="A116" i="10"/>
  <c r="A116" i="34"/>
  <c r="A116" i="7"/>
  <c r="A116" i="3"/>
  <c r="A116" i="4"/>
  <c r="A116" i="1"/>
  <c r="A116" i="12"/>
  <c r="A118" i="29"/>
  <c r="B119" i="29"/>
  <c r="C117" i="3" l="1"/>
  <c r="C119" i="29"/>
  <c r="C117" i="1"/>
  <c r="L119" i="29"/>
  <c r="C117" i="5"/>
  <c r="D119" i="29"/>
  <c r="C117" i="12"/>
  <c r="K119" i="29"/>
  <c r="C117" i="11"/>
  <c r="H119" i="29"/>
  <c r="A118" i="30"/>
  <c r="A117" i="11"/>
  <c r="A117" i="12"/>
  <c r="A117" i="34"/>
  <c r="A117" i="2"/>
  <c r="A117" i="5"/>
  <c r="A117" i="10"/>
  <c r="A117" i="7"/>
  <c r="A117" i="4"/>
  <c r="A117" i="1"/>
  <c r="A117" i="16"/>
  <c r="A117" i="3"/>
  <c r="B118" i="11"/>
  <c r="B118" i="16"/>
  <c r="B118" i="34"/>
  <c r="B118" i="2"/>
  <c r="B118" i="5"/>
  <c r="B118" i="10"/>
  <c r="B118" i="7"/>
  <c r="B118" i="3"/>
  <c r="B118" i="4"/>
  <c r="B118" i="1"/>
  <c r="B118" i="12"/>
  <c r="A119" i="29"/>
  <c r="B120" i="29"/>
  <c r="C118" i="3" l="1"/>
  <c r="C120" i="29"/>
  <c r="C118" i="1"/>
  <c r="L120" i="29"/>
  <c r="C118" i="5"/>
  <c r="D120" i="29"/>
  <c r="C118" i="12"/>
  <c r="K120" i="29"/>
  <c r="C118" i="11"/>
  <c r="H120" i="29"/>
  <c r="A119" i="30"/>
  <c r="A118" i="12"/>
  <c r="A118" i="2"/>
  <c r="A118" i="16"/>
  <c r="A118" i="5"/>
  <c r="A118" i="10"/>
  <c r="A118" i="3"/>
  <c r="A118" i="7"/>
  <c r="A118" i="4"/>
  <c r="A118" i="1"/>
  <c r="A118" i="34"/>
  <c r="A118" i="11"/>
  <c r="B119" i="16"/>
  <c r="B119" i="3"/>
  <c r="B119" i="12"/>
  <c r="B119" i="2"/>
  <c r="B119" i="5"/>
  <c r="B119" i="10"/>
  <c r="B119" i="7"/>
  <c r="B119" i="4"/>
  <c r="B119" i="1"/>
  <c r="B119" i="34"/>
  <c r="B119" i="11"/>
  <c r="B121" i="29"/>
  <c r="A120" i="29"/>
  <c r="C119" i="3" l="1"/>
  <c r="F119" i="3" s="1"/>
  <c r="C121" i="29"/>
  <c r="C119" i="1"/>
  <c r="E119" i="1" s="1"/>
  <c r="L121" i="29"/>
  <c r="C119" i="5"/>
  <c r="E119" i="5" s="1"/>
  <c r="D121" i="29"/>
  <c r="C119" i="12"/>
  <c r="E119" i="12" s="1"/>
  <c r="K121" i="29"/>
  <c r="C119" i="11"/>
  <c r="H121" i="29"/>
  <c r="B120" i="12"/>
  <c r="B120" i="2"/>
  <c r="B120" i="5"/>
  <c r="B120" i="3"/>
  <c r="B120" i="7"/>
  <c r="B120" i="4"/>
  <c r="B120" i="1"/>
  <c r="B120" i="11"/>
  <c r="B120" i="16"/>
  <c r="B120" i="10"/>
  <c r="B120" i="34"/>
  <c r="A120" i="30"/>
  <c r="A119" i="11"/>
  <c r="A119" i="2"/>
  <c r="A119" i="16"/>
  <c r="A119" i="3"/>
  <c r="A119" i="5"/>
  <c r="A119" i="10"/>
  <c r="A119" i="7"/>
  <c r="A119" i="4"/>
  <c r="A119" i="1"/>
  <c r="A119" i="12"/>
  <c r="A119" i="34"/>
  <c r="A121" i="29"/>
  <c r="B122" i="29"/>
  <c r="E119" i="11" l="1"/>
  <c r="C120" i="3"/>
  <c r="F120" i="3" s="1"/>
  <c r="C122" i="29"/>
  <c r="C120" i="1"/>
  <c r="E120" i="1" s="1"/>
  <c r="L122" i="29"/>
  <c r="C120" i="5"/>
  <c r="E120" i="5" s="1"/>
  <c r="D122" i="29"/>
  <c r="C120" i="12"/>
  <c r="E120" i="12" s="1"/>
  <c r="K122" i="29"/>
  <c r="C120" i="11"/>
  <c r="H122" i="29"/>
  <c r="A121" i="30"/>
  <c r="A120" i="16"/>
  <c r="A120" i="10"/>
  <c r="A120" i="12"/>
  <c r="A120" i="2"/>
  <c r="A120" i="5"/>
  <c r="A120" i="7"/>
  <c r="A120" i="3"/>
  <c r="A120" i="34"/>
  <c r="A120" i="4"/>
  <c r="A120" i="1"/>
  <c r="A120" i="11"/>
  <c r="B121" i="11"/>
  <c r="B121" i="12"/>
  <c r="B121" i="2"/>
  <c r="B121" i="16"/>
  <c r="B121" i="34"/>
  <c r="B121" i="5"/>
  <c r="B121" i="7"/>
  <c r="B121" i="4"/>
  <c r="B121" i="1"/>
  <c r="B121" i="10"/>
  <c r="B121" i="3"/>
  <c r="A122" i="29"/>
  <c r="B123" i="29"/>
  <c r="E120" i="11" l="1"/>
  <c r="C121" i="3"/>
  <c r="F121" i="3" s="1"/>
  <c r="C123" i="29"/>
  <c r="C121" i="1"/>
  <c r="E121" i="1" s="1"/>
  <c r="L123" i="29"/>
  <c r="C121" i="5"/>
  <c r="E121" i="5" s="1"/>
  <c r="D123" i="29"/>
  <c r="C121" i="12"/>
  <c r="E121" i="12" s="1"/>
  <c r="K123" i="29"/>
  <c r="C121" i="11"/>
  <c r="H123" i="29"/>
  <c r="A122" i="30"/>
  <c r="A121" i="16"/>
  <c r="A121" i="10"/>
  <c r="A121" i="12"/>
  <c r="A121" i="2"/>
  <c r="A121" i="34"/>
  <c r="A121" i="5"/>
  <c r="A121" i="7"/>
  <c r="A121" i="3"/>
  <c r="A121" i="4"/>
  <c r="A121" i="1"/>
  <c r="A121" i="11"/>
  <c r="B122" i="12"/>
  <c r="B122" i="2"/>
  <c r="B122" i="16"/>
  <c r="B122" i="5"/>
  <c r="B122" i="3"/>
  <c r="B122" i="7"/>
  <c r="B122" i="4"/>
  <c r="B122" i="1"/>
  <c r="B122" i="34"/>
  <c r="B122" i="11"/>
  <c r="B122" i="10"/>
  <c r="A123" i="29"/>
  <c r="B124" i="29"/>
  <c r="E121" i="11" l="1"/>
  <c r="C122" i="3"/>
  <c r="F122" i="3" s="1"/>
  <c r="C124" i="29"/>
  <c r="C122" i="1"/>
  <c r="E122" i="1" s="1"/>
  <c r="L124" i="29"/>
  <c r="L125" i="29" s="1"/>
  <c r="C122" i="5"/>
  <c r="E122" i="5" s="1"/>
  <c r="D124" i="29"/>
  <c r="C122" i="12"/>
  <c r="E122" i="12" s="1"/>
  <c r="K124" i="29"/>
  <c r="C122" i="11"/>
  <c r="H124" i="29"/>
  <c r="A123" i="30"/>
  <c r="A122" i="11"/>
  <c r="A122" i="12"/>
  <c r="A122" i="2"/>
  <c r="A122" i="10"/>
  <c r="A122" i="3"/>
  <c r="A122" i="5"/>
  <c r="A122" i="34"/>
  <c r="A122" i="7"/>
  <c r="A122" i="4"/>
  <c r="A122" i="1"/>
  <c r="A122" i="16"/>
  <c r="B123" i="11"/>
  <c r="B123" i="16"/>
  <c r="B123" i="12"/>
  <c r="B123" i="2"/>
  <c r="B123" i="3"/>
  <c r="B123" i="5"/>
  <c r="B123" i="7"/>
  <c r="B123" i="4"/>
  <c r="B123" i="1"/>
  <c r="B123" i="10"/>
  <c r="B123" i="34"/>
  <c r="B125" i="29"/>
  <c r="A124" i="29"/>
  <c r="E122" i="11" l="1"/>
  <c r="C123" i="3"/>
  <c r="F123" i="3" s="1"/>
  <c r="C125" i="29"/>
  <c r="C123" i="1"/>
  <c r="E123" i="1" s="1"/>
  <c r="C123" i="5"/>
  <c r="E123" i="5" s="1"/>
  <c r="D125" i="29"/>
  <c r="C123" i="12"/>
  <c r="E123" i="12" s="1"/>
  <c r="K125" i="29"/>
  <c r="C123" i="11"/>
  <c r="H125" i="29"/>
  <c r="B124" i="11"/>
  <c r="B124" i="16"/>
  <c r="B124" i="12"/>
  <c r="B124" i="2"/>
  <c r="B124" i="5"/>
  <c r="B124" i="10"/>
  <c r="B124" i="34"/>
  <c r="B124" i="7"/>
  <c r="B124" i="4"/>
  <c r="B124" i="1"/>
  <c r="B124" i="3"/>
  <c r="A124" i="30"/>
  <c r="A123" i="12"/>
  <c r="A123" i="2"/>
  <c r="A123" i="16"/>
  <c r="A123" i="10"/>
  <c r="A123" i="5"/>
  <c r="A123" i="7"/>
  <c r="A123" i="3"/>
  <c r="A123" i="4"/>
  <c r="A123" i="1"/>
  <c r="A123" i="34"/>
  <c r="A123" i="11"/>
  <c r="B126" i="29"/>
  <c r="A125" i="29"/>
  <c r="E123" i="11" l="1"/>
  <c r="C124" i="3"/>
  <c r="C126" i="29"/>
  <c r="C124" i="1"/>
  <c r="L126" i="29"/>
  <c r="C124" i="5"/>
  <c r="D126" i="29"/>
  <c r="C124" i="12"/>
  <c r="K126" i="29"/>
  <c r="C124" i="11"/>
  <c r="H126" i="29"/>
  <c r="B125" i="12"/>
  <c r="B125" i="2"/>
  <c r="B125" i="16"/>
  <c r="B125" i="34"/>
  <c r="B125" i="5"/>
  <c r="B125" i="10"/>
  <c r="B125" i="3"/>
  <c r="B125" i="7"/>
  <c r="B125" i="4"/>
  <c r="B125" i="1"/>
  <c r="B125" i="11"/>
  <c r="A125" i="30"/>
  <c r="A124" i="11"/>
  <c r="A124" i="3"/>
  <c r="A124" i="12"/>
  <c r="A124" i="2"/>
  <c r="A124" i="5"/>
  <c r="A124" i="10"/>
  <c r="A124" i="7"/>
  <c r="A124" i="4"/>
  <c r="A124" i="1"/>
  <c r="A124" i="16"/>
  <c r="A124" i="34"/>
  <c r="A126" i="29"/>
  <c r="B127" i="29"/>
  <c r="C125" i="3" l="1"/>
  <c r="C127" i="29"/>
  <c r="C125" i="1"/>
  <c r="L127" i="29"/>
  <c r="C125" i="5"/>
  <c r="D127" i="29"/>
  <c r="C125" i="12"/>
  <c r="K127" i="29"/>
  <c r="C125" i="11"/>
  <c r="H127" i="29"/>
  <c r="A126" i="30"/>
  <c r="A125" i="11"/>
  <c r="A125" i="34"/>
  <c r="A125" i="12"/>
  <c r="A125" i="2"/>
  <c r="A125" i="3"/>
  <c r="A125" i="5"/>
  <c r="A125" i="10"/>
  <c r="A125" i="7"/>
  <c r="A125" i="4"/>
  <c r="A125" i="1"/>
  <c r="A125" i="16"/>
  <c r="B126" i="34"/>
  <c r="B126" i="12"/>
  <c r="B126" i="2"/>
  <c r="B126" i="16"/>
  <c r="B126" i="5"/>
  <c r="B126" i="10"/>
  <c r="B126" i="3"/>
  <c r="B126" i="7"/>
  <c r="B126" i="4"/>
  <c r="B126" i="1"/>
  <c r="B126" i="11"/>
  <c r="A127" i="29"/>
  <c r="B128" i="29"/>
  <c r="C126" i="3" l="1"/>
  <c r="F126" i="3" s="1"/>
  <c r="C128" i="29"/>
  <c r="C126" i="1"/>
  <c r="E126" i="1" s="1"/>
  <c r="L128" i="29"/>
  <c r="C126" i="5"/>
  <c r="E126" i="5" s="1"/>
  <c r="D128" i="29"/>
  <c r="C126" i="12"/>
  <c r="E126" i="12" s="1"/>
  <c r="K128" i="29"/>
  <c r="C126" i="11"/>
  <c r="H128" i="29"/>
  <c r="A127" i="30"/>
  <c r="A126" i="3"/>
  <c r="A126" i="12"/>
  <c r="A126" i="2"/>
  <c r="A126" i="5"/>
  <c r="A126" i="10"/>
  <c r="A126" i="7"/>
  <c r="A126" i="34"/>
  <c r="A126" i="4"/>
  <c r="A126" i="1"/>
  <c r="A126" i="11"/>
  <c r="A126" i="16"/>
  <c r="B127" i="12"/>
  <c r="B127" i="2"/>
  <c r="B127" i="3"/>
  <c r="B127" i="16"/>
  <c r="B127" i="5"/>
  <c r="B127" i="10"/>
  <c r="B127" i="4"/>
  <c r="B127" i="1"/>
  <c r="B127" i="11"/>
  <c r="B127" i="7"/>
  <c r="B127" i="34"/>
  <c r="B129" i="29"/>
  <c r="A128" i="29"/>
  <c r="E126" i="11" l="1"/>
  <c r="B128" i="34"/>
  <c r="B128" i="11"/>
  <c r="B128" i="12"/>
  <c r="B128" i="5"/>
  <c r="B128" i="3"/>
  <c r="B128" i="2"/>
  <c r="B128" i="10"/>
  <c r="B128" i="1"/>
  <c r="B128" i="4"/>
  <c r="B128" i="16"/>
  <c r="B128" i="7"/>
  <c r="C127" i="3"/>
  <c r="F127" i="3" s="1"/>
  <c r="C129" i="29"/>
  <c r="C127" i="1"/>
  <c r="E127" i="1" s="1"/>
  <c r="L129" i="29"/>
  <c r="C127" i="5"/>
  <c r="E127" i="5" s="1"/>
  <c r="D129" i="29"/>
  <c r="C127" i="12"/>
  <c r="E127" i="12" s="1"/>
  <c r="K129" i="29"/>
  <c r="C127" i="11"/>
  <c r="H129" i="29"/>
  <c r="A128" i="30"/>
  <c r="A127" i="7"/>
  <c r="A127" i="12"/>
  <c r="A127" i="2"/>
  <c r="A127" i="16"/>
  <c r="A127" i="5"/>
  <c r="A127" i="10"/>
  <c r="A127" i="34"/>
  <c r="A127" i="4"/>
  <c r="A127" i="1"/>
  <c r="A127" i="11"/>
  <c r="A127" i="3"/>
  <c r="B130" i="29"/>
  <c r="A129" i="29"/>
  <c r="E127" i="11" l="1"/>
  <c r="C130" i="29"/>
  <c r="C128" i="3"/>
  <c r="F128" i="3" s="1"/>
  <c r="L130" i="29"/>
  <c r="C128" i="1"/>
  <c r="E128" i="1" s="1"/>
  <c r="D130" i="29"/>
  <c r="C128" i="5"/>
  <c r="E128" i="5" s="1"/>
  <c r="K130" i="29"/>
  <c r="C128" i="12"/>
  <c r="E128" i="12" s="1"/>
  <c r="H130" i="29"/>
  <c r="C128" i="11"/>
  <c r="B129" i="2"/>
  <c r="B129" i="7"/>
  <c r="B129" i="12"/>
  <c r="B129" i="4"/>
  <c r="B129" i="16"/>
  <c r="B129" i="34"/>
  <c r="B129" i="1"/>
  <c r="B129" i="3"/>
  <c r="B129" i="5"/>
  <c r="B129" i="11"/>
  <c r="B129" i="10"/>
  <c r="A129" i="30"/>
  <c r="A128" i="5"/>
  <c r="A128" i="10"/>
  <c r="A128" i="3"/>
  <c r="A128" i="4"/>
  <c r="A128" i="34"/>
  <c r="A128" i="2"/>
  <c r="A128" i="1"/>
  <c r="A128" i="16"/>
  <c r="A128" i="11"/>
  <c r="A128" i="12"/>
  <c r="A128" i="7"/>
  <c r="A130" i="29"/>
  <c r="B131" i="29"/>
  <c r="E128" i="11" l="1"/>
  <c r="C129" i="3"/>
  <c r="F129" i="3" s="1"/>
  <c r="C131" i="29"/>
  <c r="C129" i="1"/>
  <c r="E129" i="1" s="1"/>
  <c r="L131" i="29"/>
  <c r="C129" i="5"/>
  <c r="E129" i="5" s="1"/>
  <c r="D131" i="29"/>
  <c r="C129" i="12"/>
  <c r="E129" i="12" s="1"/>
  <c r="K131" i="29"/>
  <c r="C129" i="11"/>
  <c r="H131" i="29"/>
  <c r="A130" i="30"/>
  <c r="A129" i="34"/>
  <c r="A129" i="1"/>
  <c r="A129" i="12"/>
  <c r="A129" i="11"/>
  <c r="A129" i="2"/>
  <c r="A129" i="16"/>
  <c r="A129" i="7"/>
  <c r="A129" i="10"/>
  <c r="A129" i="4"/>
  <c r="A129" i="5"/>
  <c r="A129" i="3"/>
  <c r="B130" i="34"/>
  <c r="B130" i="12"/>
  <c r="B130" i="16"/>
  <c r="B130" i="5"/>
  <c r="B130" i="10"/>
  <c r="B130" i="3"/>
  <c r="B130" i="4"/>
  <c r="B130" i="11"/>
  <c r="B130" i="2"/>
  <c r="B130" i="1"/>
  <c r="B130" i="7"/>
  <c r="A131" i="29"/>
  <c r="B132" i="29"/>
  <c r="E129" i="11" l="1"/>
  <c r="C130" i="3"/>
  <c r="C132" i="29"/>
  <c r="C130" i="1"/>
  <c r="L132" i="29"/>
  <c r="C130" i="5"/>
  <c r="D132" i="29"/>
  <c r="C130" i="12"/>
  <c r="K132" i="29"/>
  <c r="C130" i="11"/>
  <c r="H132" i="29"/>
  <c r="A131" i="30"/>
  <c r="A130" i="34"/>
  <c r="A130" i="12"/>
  <c r="A130" i="16"/>
  <c r="A130" i="1"/>
  <c r="A130" i="4"/>
  <c r="A130" i="5"/>
  <c r="A130" i="3"/>
  <c r="A130" i="11"/>
  <c r="A130" i="2"/>
  <c r="A130" i="7"/>
  <c r="A130" i="10"/>
  <c r="B131" i="34"/>
  <c r="B131" i="11"/>
  <c r="B131" i="3"/>
  <c r="B131" i="1"/>
  <c r="B131" i="4"/>
  <c r="B131" i="12"/>
  <c r="B131" i="16"/>
  <c r="B131" i="7"/>
  <c r="B131" i="10"/>
  <c r="B131" i="2"/>
  <c r="B131" i="5"/>
  <c r="A132" i="29"/>
  <c r="B133" i="29"/>
  <c r="C131" i="3" l="1"/>
  <c r="C133" i="29"/>
  <c r="C131" i="1"/>
  <c r="L133" i="29"/>
  <c r="C131" i="5"/>
  <c r="D133" i="29"/>
  <c r="C131" i="12"/>
  <c r="K133" i="29"/>
  <c r="C131" i="11"/>
  <c r="H133" i="29"/>
  <c r="A132" i="30"/>
  <c r="A131" i="34"/>
  <c r="A131" i="16"/>
  <c r="A131" i="1"/>
  <c r="A131" i="4"/>
  <c r="A131" i="12"/>
  <c r="A131" i="11"/>
  <c r="A131" i="3"/>
  <c r="A131" i="2"/>
  <c r="A131" i="7"/>
  <c r="A131" i="5"/>
  <c r="A131" i="10"/>
  <c r="B132" i="34"/>
  <c r="B132" i="1"/>
  <c r="B132" i="4"/>
  <c r="B132" i="11"/>
  <c r="B132" i="12"/>
  <c r="B132" i="7"/>
  <c r="B132" i="5"/>
  <c r="B132" i="3"/>
  <c r="B132" i="2"/>
  <c r="B132" i="16"/>
  <c r="B132" i="10"/>
  <c r="B134" i="29"/>
  <c r="A133" i="29"/>
  <c r="C132" i="3" l="1"/>
  <c r="C134" i="29"/>
  <c r="C132" i="1"/>
  <c r="L134" i="29"/>
  <c r="C132" i="5"/>
  <c r="D134" i="29"/>
  <c r="C132" i="12"/>
  <c r="K134" i="29"/>
  <c r="C132" i="11"/>
  <c r="H134" i="29"/>
  <c r="B133" i="34"/>
  <c r="B133" i="1"/>
  <c r="B133" i="2"/>
  <c r="B133" i="11"/>
  <c r="B133" i="12"/>
  <c r="B133" i="16"/>
  <c r="B133" i="5"/>
  <c r="B133" i="3"/>
  <c r="B133" i="7"/>
  <c r="B133" i="10"/>
  <c r="B133" i="4"/>
  <c r="A133" i="30"/>
  <c r="A132" i="34"/>
  <c r="A132" i="2"/>
  <c r="A132" i="16"/>
  <c r="A132" i="10"/>
  <c r="A132" i="1"/>
  <c r="A132" i="4"/>
  <c r="A132" i="12"/>
  <c r="A132" i="11"/>
  <c r="A132" i="7"/>
  <c r="A132" i="5"/>
  <c r="A132" i="3"/>
  <c r="A134" i="29"/>
  <c r="B135" i="29"/>
  <c r="C133" i="3" l="1"/>
  <c r="F133" i="3" s="1"/>
  <c r="C135" i="29"/>
  <c r="C133" i="1"/>
  <c r="E133" i="1" s="1"/>
  <c r="L135" i="29"/>
  <c r="C133" i="5"/>
  <c r="E133" i="5" s="1"/>
  <c r="D135" i="29"/>
  <c r="C133" i="12"/>
  <c r="E133" i="12" s="1"/>
  <c r="K135" i="29"/>
  <c r="C133" i="11"/>
  <c r="E133" i="11" s="1"/>
  <c r="H135" i="29"/>
  <c r="A134" i="30"/>
  <c r="A133" i="34"/>
  <c r="A133" i="12"/>
  <c r="A133" i="4"/>
  <c r="A133" i="10"/>
  <c r="A133" i="1"/>
  <c r="A133" i="7"/>
  <c r="A133" i="3"/>
  <c r="A133" i="16"/>
  <c r="A133" i="11"/>
  <c r="A133" i="2"/>
  <c r="A133" i="5"/>
  <c r="B134" i="34"/>
  <c r="B134" i="12"/>
  <c r="B134" i="2"/>
  <c r="B134" i="1"/>
  <c r="B134" i="16"/>
  <c r="B134" i="10"/>
  <c r="B134" i="3"/>
  <c r="B134" i="7"/>
  <c r="B134" i="4"/>
  <c r="B134" i="11"/>
  <c r="B134" i="5"/>
  <c r="B136" i="29"/>
  <c r="A135" i="29"/>
  <c r="C134" i="3" l="1"/>
  <c r="F134" i="3" s="1"/>
  <c r="C136" i="29"/>
  <c r="C134" i="1"/>
  <c r="E134" i="1" s="1"/>
  <c r="L136" i="29"/>
  <c r="C134" i="5"/>
  <c r="E134" i="5" s="1"/>
  <c r="D136" i="29"/>
  <c r="C134" i="12"/>
  <c r="E134" i="12" s="1"/>
  <c r="K136" i="29"/>
  <c r="C134" i="11"/>
  <c r="E134" i="11" s="1"/>
  <c r="H136" i="29"/>
  <c r="B135" i="34"/>
  <c r="B135" i="10"/>
  <c r="B135" i="3"/>
  <c r="B135" i="4"/>
  <c r="B135" i="12"/>
  <c r="B135" i="16"/>
  <c r="B135" i="11"/>
  <c r="B135" i="7"/>
  <c r="B135" i="1"/>
  <c r="B135" i="2"/>
  <c r="B135" i="5"/>
  <c r="A135" i="30"/>
  <c r="A134" i="34"/>
  <c r="A134" i="16"/>
  <c r="A134" i="11"/>
  <c r="A134" i="5"/>
  <c r="A134" i="1"/>
  <c r="A134" i="4"/>
  <c r="A134" i="12"/>
  <c r="A134" i="2"/>
  <c r="A134" i="10"/>
  <c r="A134" i="7"/>
  <c r="A134" i="3"/>
  <c r="A136" i="29"/>
  <c r="B137" i="29"/>
  <c r="C135" i="3" l="1"/>
  <c r="F135" i="3" s="1"/>
  <c r="C137" i="29"/>
  <c r="C135" i="1"/>
  <c r="E135" i="1" s="1"/>
  <c r="L137" i="29"/>
  <c r="C135" i="5"/>
  <c r="E135" i="5" s="1"/>
  <c r="D137" i="29"/>
  <c r="C135" i="12"/>
  <c r="E135" i="12" s="1"/>
  <c r="K137" i="29"/>
  <c r="C135" i="11"/>
  <c r="E135" i="11" s="1"/>
  <c r="H137" i="29"/>
  <c r="A136" i="30"/>
  <c r="A135" i="34"/>
  <c r="A135" i="4"/>
  <c r="A135" i="12"/>
  <c r="A135" i="2"/>
  <c r="A135" i="7"/>
  <c r="A135" i="1"/>
  <c r="A135" i="11"/>
  <c r="A135" i="5"/>
  <c r="A135" i="16"/>
  <c r="A135" i="3"/>
  <c r="A135" i="10"/>
  <c r="B136" i="34"/>
  <c r="B136" i="1"/>
  <c r="B136" i="2"/>
  <c r="B136" i="7"/>
  <c r="B136" i="11"/>
  <c r="B136" i="12"/>
  <c r="B136" i="4"/>
  <c r="B136" i="3"/>
  <c r="B136" i="16"/>
  <c r="B136" i="5"/>
  <c r="B136" i="10"/>
  <c r="B138" i="29"/>
  <c r="A137" i="29"/>
  <c r="C136" i="3" l="1"/>
  <c r="F136" i="3" s="1"/>
  <c r="C138" i="29"/>
  <c r="C136" i="1"/>
  <c r="E136" i="1" s="1"/>
  <c r="L138" i="29"/>
  <c r="C136" i="5"/>
  <c r="E136" i="5" s="1"/>
  <c r="D138" i="29"/>
  <c r="C136" i="12"/>
  <c r="E136" i="12" s="1"/>
  <c r="K138" i="29"/>
  <c r="C136" i="11"/>
  <c r="E136" i="11" s="1"/>
  <c r="H138" i="29"/>
  <c r="B137" i="34"/>
  <c r="B137" i="16"/>
  <c r="B137" i="3"/>
  <c r="B137" i="11"/>
  <c r="B137" i="12"/>
  <c r="B137" i="1"/>
  <c r="B137" i="4"/>
  <c r="B137" i="2"/>
  <c r="B137" i="7"/>
  <c r="B137" i="5"/>
  <c r="B137" i="10"/>
  <c r="A137" i="30"/>
  <c r="A136" i="34"/>
  <c r="A136" i="4"/>
  <c r="A136" i="12"/>
  <c r="A136" i="5"/>
  <c r="A136" i="7"/>
  <c r="A136" i="3"/>
  <c r="A136" i="1"/>
  <c r="A136" i="11"/>
  <c r="A136" i="2"/>
  <c r="A136" i="16"/>
  <c r="A136" i="10"/>
  <c r="A138" i="29"/>
  <c r="B139" i="29"/>
  <c r="C137" i="3" l="1"/>
  <c r="F137" i="3" s="1"/>
  <c r="C139" i="29"/>
  <c r="C137" i="1"/>
  <c r="E137" i="1" s="1"/>
  <c r="L139" i="29"/>
  <c r="C137" i="5"/>
  <c r="E137" i="5" s="1"/>
  <c r="D139" i="29"/>
  <c r="C137" i="12"/>
  <c r="E137" i="12" s="1"/>
  <c r="K139" i="29"/>
  <c r="C137" i="11"/>
  <c r="E137" i="11" s="1"/>
  <c r="H139" i="29"/>
  <c r="A138" i="30"/>
  <c r="A137" i="34"/>
  <c r="A137" i="1"/>
  <c r="A137" i="12"/>
  <c r="A137" i="10"/>
  <c r="A137" i="11"/>
  <c r="A137" i="2"/>
  <c r="A137" i="3"/>
  <c r="A137" i="4"/>
  <c r="A137" i="16"/>
  <c r="A137" i="7"/>
  <c r="A137" i="5"/>
  <c r="B138" i="34"/>
  <c r="B138" i="12"/>
  <c r="B138" i="7"/>
  <c r="B138" i="5"/>
  <c r="B138" i="10"/>
  <c r="B138" i="1"/>
  <c r="B138" i="3"/>
  <c r="B138" i="4"/>
  <c r="B138" i="11"/>
  <c r="B138" i="2"/>
  <c r="B138" i="16"/>
  <c r="A139" i="29"/>
  <c r="B140" i="29"/>
  <c r="C138" i="3" l="1"/>
  <c r="C140" i="29"/>
  <c r="C138" i="1"/>
  <c r="L140" i="29"/>
  <c r="C138" i="5"/>
  <c r="D140" i="29"/>
  <c r="C138" i="12"/>
  <c r="K140" i="29"/>
  <c r="C138" i="11"/>
  <c r="H140" i="29"/>
  <c r="A139" i="30"/>
  <c r="A138" i="34"/>
  <c r="A138" i="4"/>
  <c r="A138" i="12"/>
  <c r="A138" i="16"/>
  <c r="A138" i="3"/>
  <c r="A138" i="11"/>
  <c r="A138" i="2"/>
  <c r="A138" i="7"/>
  <c r="A138" i="5"/>
  <c r="A138" i="10"/>
  <c r="A138" i="1"/>
  <c r="B139" i="34"/>
  <c r="B139" i="7"/>
  <c r="B139" i="12"/>
  <c r="B139" i="2"/>
  <c r="B139" i="16"/>
  <c r="B139" i="1"/>
  <c r="B139" i="4"/>
  <c r="B139" i="11"/>
  <c r="B139" i="5"/>
  <c r="B139" i="10"/>
  <c r="B139" i="3"/>
  <c r="A140" i="29"/>
  <c r="B141" i="29"/>
  <c r="C139" i="3" l="1"/>
  <c r="C141" i="29"/>
  <c r="C139" i="1"/>
  <c r="L141" i="29"/>
  <c r="C139" i="5"/>
  <c r="D141" i="29"/>
  <c r="C139" i="12"/>
  <c r="K141" i="29"/>
  <c r="C139" i="11"/>
  <c r="H141" i="29"/>
  <c r="A140" i="30"/>
  <c r="A139" i="34"/>
  <c r="A139" i="1"/>
  <c r="A139" i="3"/>
  <c r="A139" i="11"/>
  <c r="A139" i="12"/>
  <c r="A139" i="10"/>
  <c r="A139" i="2"/>
  <c r="A139" i="5"/>
  <c r="A139" i="16"/>
  <c r="A139" i="7"/>
  <c r="A139" i="4"/>
  <c r="B140" i="34"/>
  <c r="B140" i="11"/>
  <c r="B140" i="1"/>
  <c r="B140" i="12"/>
  <c r="B140" i="16"/>
  <c r="B140" i="3"/>
  <c r="B140" i="7"/>
  <c r="B140" i="5"/>
  <c r="B140" i="10"/>
  <c r="B140" i="4"/>
  <c r="B140" i="2"/>
  <c r="B142" i="29"/>
  <c r="A141" i="29"/>
  <c r="C140" i="3" l="1"/>
  <c r="F140" i="3" s="1"/>
  <c r="C142" i="29"/>
  <c r="C140" i="1"/>
  <c r="E140" i="1" s="1"/>
  <c r="L142" i="29"/>
  <c r="C140" i="5"/>
  <c r="E140" i="5" s="1"/>
  <c r="D142" i="29"/>
  <c r="C140" i="12"/>
  <c r="E140" i="12" s="1"/>
  <c r="K142" i="29"/>
  <c r="C140" i="11"/>
  <c r="E140" i="11" s="1"/>
  <c r="H142" i="29"/>
  <c r="B141" i="34"/>
  <c r="B141" i="1"/>
  <c r="B141" i="12"/>
  <c r="B141" i="7"/>
  <c r="B141" i="10"/>
  <c r="B141" i="3"/>
  <c r="B141" i="4"/>
  <c r="B141" i="11"/>
  <c r="B141" i="2"/>
  <c r="B141" i="5"/>
  <c r="B141" i="16"/>
  <c r="A141" i="30"/>
  <c r="A140" i="34"/>
  <c r="A140" i="12"/>
  <c r="A140" i="2"/>
  <c r="A140" i="3"/>
  <c r="A140" i="4"/>
  <c r="A140" i="7"/>
  <c r="A140" i="10"/>
  <c r="A140" i="16"/>
  <c r="A140" i="1"/>
  <c r="A140" i="11"/>
  <c r="A140" i="5"/>
  <c r="A142" i="29"/>
  <c r="B143" i="29"/>
  <c r="C141" i="3" l="1"/>
  <c r="F141" i="3" s="1"/>
  <c r="C143" i="29"/>
  <c r="C141" i="1"/>
  <c r="E141" i="1" s="1"/>
  <c r="L143" i="29"/>
  <c r="C141" i="5"/>
  <c r="E141" i="5" s="1"/>
  <c r="D143" i="29"/>
  <c r="C141" i="12"/>
  <c r="E141" i="12" s="1"/>
  <c r="K143" i="29"/>
  <c r="C141" i="11"/>
  <c r="E141" i="11" s="1"/>
  <c r="H143" i="29"/>
  <c r="A142" i="30"/>
  <c r="A141" i="34"/>
  <c r="A141" i="7"/>
  <c r="A141" i="11"/>
  <c r="A141" i="12"/>
  <c r="A141" i="16"/>
  <c r="A141" i="5"/>
  <c r="A141" i="10"/>
  <c r="A141" i="2"/>
  <c r="A141" i="3"/>
  <c r="A141" i="1"/>
  <c r="A141" i="4"/>
  <c r="B142" i="34"/>
  <c r="B142" i="1"/>
  <c r="B142" i="12"/>
  <c r="B142" i="16"/>
  <c r="B142" i="10"/>
  <c r="B142" i="3"/>
  <c r="B142" i="5"/>
  <c r="B142" i="4"/>
  <c r="B142" i="11"/>
  <c r="B142" i="2"/>
  <c r="B142" i="7"/>
  <c r="B144" i="29"/>
  <c r="A143" i="29"/>
  <c r="C142" i="3" l="1"/>
  <c r="C144" i="29"/>
  <c r="C142" i="1"/>
  <c r="E142" i="1" s="1"/>
  <c r="L144" i="29"/>
  <c r="C142" i="5"/>
  <c r="E142" i="5" s="1"/>
  <c r="D144" i="29"/>
  <c r="C142" i="12"/>
  <c r="E142" i="12" s="1"/>
  <c r="K144" i="29"/>
  <c r="C142" i="11"/>
  <c r="E142" i="11" s="1"/>
  <c r="H144" i="29"/>
  <c r="B143" i="34"/>
  <c r="B143" i="12"/>
  <c r="B143" i="16"/>
  <c r="B143" i="11"/>
  <c r="B143" i="7"/>
  <c r="B143" i="5"/>
  <c r="B143" i="10"/>
  <c r="B143" i="1"/>
  <c r="B143" i="4"/>
  <c r="B143" i="2"/>
  <c r="B143" i="3"/>
  <c r="A143" i="30"/>
  <c r="A142" i="34"/>
  <c r="A142" i="11"/>
  <c r="A142" i="7"/>
  <c r="A142" i="5"/>
  <c r="A142" i="2"/>
  <c r="A142" i="3"/>
  <c r="A142" i="1"/>
  <c r="A142" i="4"/>
  <c r="A142" i="16"/>
  <c r="A142" i="12"/>
  <c r="A142" i="10"/>
  <c r="B145" i="29"/>
  <c r="A144" i="29"/>
  <c r="F142" i="3" l="1"/>
  <c r="C143" i="3"/>
  <c r="C145" i="29"/>
  <c r="C143" i="1"/>
  <c r="E143" i="1" s="1"/>
  <c r="L145" i="29"/>
  <c r="C143" i="5"/>
  <c r="E143" i="5" s="1"/>
  <c r="D145" i="29"/>
  <c r="C143" i="12"/>
  <c r="E143" i="12" s="1"/>
  <c r="K145" i="29"/>
  <c r="C143" i="11"/>
  <c r="E143" i="11" s="1"/>
  <c r="H145" i="29"/>
  <c r="B144" i="34"/>
  <c r="B144" i="11"/>
  <c r="B144" i="2"/>
  <c r="B144" i="12"/>
  <c r="B144" i="10"/>
  <c r="B144" i="1"/>
  <c r="B144" i="4"/>
  <c r="B144" i="16"/>
  <c r="B144" i="5"/>
  <c r="B144" i="7"/>
  <c r="B144" i="3"/>
  <c r="A144" i="30"/>
  <c r="A143" i="34"/>
  <c r="A143" i="1"/>
  <c r="A143" i="4"/>
  <c r="A143" i="11"/>
  <c r="A143" i="16"/>
  <c r="A143" i="12"/>
  <c r="A143" i="7"/>
  <c r="A143" i="2"/>
  <c r="A143" i="3"/>
  <c r="A143" i="5"/>
  <c r="A143" i="10"/>
  <c r="A145" i="29"/>
  <c r="B146" i="29"/>
  <c r="F143" i="3" l="1"/>
  <c r="C144" i="3"/>
  <c r="C146" i="29"/>
  <c r="C144" i="1"/>
  <c r="E144" i="1" s="1"/>
  <c r="L146" i="29"/>
  <c r="C144" i="5"/>
  <c r="E144" i="5" s="1"/>
  <c r="D146" i="29"/>
  <c r="C144" i="12"/>
  <c r="E144" i="12" s="1"/>
  <c r="K146" i="29"/>
  <c r="C144" i="11"/>
  <c r="E144" i="11" s="1"/>
  <c r="H146" i="29"/>
  <c r="A145" i="30"/>
  <c r="A144" i="34"/>
  <c r="A144" i="3"/>
  <c r="A144" i="7"/>
  <c r="A144" i="10"/>
  <c r="A144" i="2"/>
  <c r="A144" i="16"/>
  <c r="A144" i="5"/>
  <c r="A144" i="1"/>
  <c r="A144" i="4"/>
  <c r="A144" i="11"/>
  <c r="A144" i="12"/>
  <c r="B145" i="34"/>
  <c r="B145" i="1"/>
  <c r="B145" i="2"/>
  <c r="B145" i="11"/>
  <c r="B145" i="12"/>
  <c r="B145" i="16"/>
  <c r="B145" i="5"/>
  <c r="B145" i="4"/>
  <c r="B145" i="7"/>
  <c r="B145" i="10"/>
  <c r="B145" i="3"/>
  <c r="B147" i="29"/>
  <c r="A146" i="29"/>
  <c r="F144" i="3" l="1"/>
  <c r="C145" i="3"/>
  <c r="C147" i="29"/>
  <c r="C145" i="1"/>
  <c r="L147" i="29"/>
  <c r="C145" i="5"/>
  <c r="D147" i="29"/>
  <c r="C145" i="12"/>
  <c r="K147" i="29"/>
  <c r="C145" i="11"/>
  <c r="H147" i="29"/>
  <c r="B146" i="34"/>
  <c r="B146" i="2"/>
  <c r="B146" i="10"/>
  <c r="B146" i="4"/>
  <c r="B146" i="5"/>
  <c r="B146" i="7"/>
  <c r="B146" i="1"/>
  <c r="B146" i="11"/>
  <c r="B146" i="12"/>
  <c r="B146" i="16"/>
  <c r="B146" i="3"/>
  <c r="A146" i="30"/>
  <c r="A145" i="34"/>
  <c r="A145" i="1"/>
  <c r="A145" i="16"/>
  <c r="A145" i="2"/>
  <c r="A145" i="5"/>
  <c r="A145" i="3"/>
  <c r="A145" i="4"/>
  <c r="A145" i="11"/>
  <c r="A145" i="12"/>
  <c r="A145" i="7"/>
  <c r="A145" i="10"/>
  <c r="B148" i="29"/>
  <c r="A147" i="29"/>
  <c r="C146" i="3" l="1"/>
  <c r="C148" i="29"/>
  <c r="C146" i="1"/>
  <c r="L148" i="29"/>
  <c r="C146" i="5"/>
  <c r="D148" i="29"/>
  <c r="C146" i="12"/>
  <c r="K148" i="29"/>
  <c r="C146" i="11"/>
  <c r="H148" i="29"/>
  <c r="B147" i="34"/>
  <c r="B147" i="12"/>
  <c r="B147" i="7"/>
  <c r="B147" i="5"/>
  <c r="B147" i="2"/>
  <c r="B147" i="16"/>
  <c r="B147" i="3"/>
  <c r="B147" i="10"/>
  <c r="B147" i="1"/>
  <c r="B147" i="4"/>
  <c r="B147" i="11"/>
  <c r="A147" i="30"/>
  <c r="A146" i="34"/>
  <c r="A146" i="1"/>
  <c r="A146" i="12"/>
  <c r="A146" i="16"/>
  <c r="A146" i="7"/>
  <c r="A146" i="10"/>
  <c r="A146" i="11"/>
  <c r="A146" i="3"/>
  <c r="A146" i="4"/>
  <c r="A146" i="2"/>
  <c r="A146" i="5"/>
  <c r="A148" i="29"/>
  <c r="B149" i="29"/>
  <c r="C147" i="3" l="1"/>
  <c r="C149" i="29"/>
  <c r="C147" i="1"/>
  <c r="E147" i="1" s="1"/>
  <c r="L149" i="29"/>
  <c r="C147" i="5"/>
  <c r="E147" i="5" s="1"/>
  <c r="D149" i="29"/>
  <c r="C147" i="12"/>
  <c r="E147" i="12" s="1"/>
  <c r="K149" i="29"/>
  <c r="C147" i="11"/>
  <c r="E147" i="11" s="1"/>
  <c r="H149" i="29"/>
  <c r="A148" i="30"/>
  <c r="A147" i="34"/>
  <c r="A147" i="1"/>
  <c r="A147" i="4"/>
  <c r="A147" i="11"/>
  <c r="A147" i="16"/>
  <c r="A147" i="10"/>
  <c r="A147" i="12"/>
  <c r="A147" i="5"/>
  <c r="A147" i="3"/>
  <c r="A147" i="2"/>
  <c r="A147" i="7"/>
  <c r="B148" i="34"/>
  <c r="B148" i="4"/>
  <c r="B148" i="10"/>
  <c r="B148" i="3"/>
  <c r="B148" i="7"/>
  <c r="B148" i="1"/>
  <c r="B148" i="11"/>
  <c r="B148" i="12"/>
  <c r="B148" i="2"/>
  <c r="B148" i="16"/>
  <c r="B148" i="5"/>
  <c r="B150" i="29"/>
  <c r="A149" i="29"/>
  <c r="F147" i="3" l="1"/>
  <c r="C148" i="3"/>
  <c r="C150" i="29"/>
  <c r="C148" i="1"/>
  <c r="E148" i="1" s="1"/>
  <c r="L150" i="29"/>
  <c r="C148" i="5"/>
  <c r="E148" i="5" s="1"/>
  <c r="D150" i="29"/>
  <c r="C148" i="12"/>
  <c r="E148" i="12" s="1"/>
  <c r="K150" i="29"/>
  <c r="C148" i="11"/>
  <c r="E148" i="11" s="1"/>
  <c r="H150" i="29"/>
  <c r="B149" i="34"/>
  <c r="B149" i="11"/>
  <c r="B149" i="12"/>
  <c r="B149" i="16"/>
  <c r="B149" i="10"/>
  <c r="B149" i="3"/>
  <c r="B149" i="4"/>
  <c r="B149" i="1"/>
  <c r="B149" i="2"/>
  <c r="B149" i="7"/>
  <c r="B149" i="5"/>
  <c r="A149" i="30"/>
  <c r="A148" i="34"/>
  <c r="A148" i="11"/>
  <c r="A148" i="1"/>
  <c r="A148" i="4"/>
  <c r="A148" i="12"/>
  <c r="A148" i="16"/>
  <c r="A148" i="5"/>
  <c r="A148" i="2"/>
  <c r="A148" i="7"/>
  <c r="A148" i="10"/>
  <c r="A148" i="3"/>
  <c r="B151" i="29"/>
  <c r="A150" i="29"/>
  <c r="F148" i="3" l="1"/>
  <c r="C149" i="3"/>
  <c r="C151" i="29"/>
  <c r="C149" i="1"/>
  <c r="E149" i="1" s="1"/>
  <c r="L151" i="29"/>
  <c r="C149" i="5"/>
  <c r="E149" i="5" s="1"/>
  <c r="D151" i="29"/>
  <c r="C149" i="12"/>
  <c r="E149" i="12" s="1"/>
  <c r="K151" i="29"/>
  <c r="C149" i="11"/>
  <c r="E149" i="11" s="1"/>
  <c r="H151" i="29"/>
  <c r="B150" i="34"/>
  <c r="B150" i="4"/>
  <c r="B150" i="11"/>
  <c r="B150" i="2"/>
  <c r="B150" i="16"/>
  <c r="B150" i="7"/>
  <c r="B150" i="5"/>
  <c r="B150" i="1"/>
  <c r="B150" i="12"/>
  <c r="B150" i="10"/>
  <c r="B150" i="3"/>
  <c r="A150" i="30"/>
  <c r="A149" i="34"/>
  <c r="A149" i="1"/>
  <c r="A149" i="2"/>
  <c r="A149" i="16"/>
  <c r="A149" i="5"/>
  <c r="A149" i="4"/>
  <c r="A149" i="11"/>
  <c r="A149" i="12"/>
  <c r="A149" i="7"/>
  <c r="A149" i="10"/>
  <c r="A149" i="3"/>
  <c r="B152" i="29"/>
  <c r="A151" i="29"/>
  <c r="F149" i="3" l="1"/>
  <c r="C150" i="3"/>
  <c r="C152" i="29"/>
  <c r="C150" i="1"/>
  <c r="E150" i="1" s="1"/>
  <c r="L152" i="29"/>
  <c r="C150" i="5"/>
  <c r="E150" i="5" s="1"/>
  <c r="D152" i="29"/>
  <c r="C150" i="12"/>
  <c r="E150" i="12" s="1"/>
  <c r="K152" i="29"/>
  <c r="C150" i="11"/>
  <c r="E150" i="11" s="1"/>
  <c r="H152" i="29"/>
  <c r="B151" i="34"/>
  <c r="B151" i="4"/>
  <c r="B151" i="12"/>
  <c r="B151" i="5"/>
  <c r="B151" i="1"/>
  <c r="B151" i="10"/>
  <c r="B151" i="2"/>
  <c r="B151" i="11"/>
  <c r="B151" i="16"/>
  <c r="B151" i="7"/>
  <c r="B151" i="3"/>
  <c r="A151" i="30"/>
  <c r="A150" i="34"/>
  <c r="A150" i="11"/>
  <c r="A150" i="12"/>
  <c r="A150" i="2"/>
  <c r="A150" i="10"/>
  <c r="A150" i="1"/>
  <c r="A150" i="4"/>
  <c r="A150" i="5"/>
  <c r="A150" i="7"/>
  <c r="A150" i="3"/>
  <c r="A150" i="16"/>
  <c r="B153" i="29"/>
  <c r="A152" i="29"/>
  <c r="F150" i="3" l="1"/>
  <c r="C151" i="3"/>
  <c r="C153" i="29"/>
  <c r="C151" i="1"/>
  <c r="E151" i="1" s="1"/>
  <c r="L153" i="29"/>
  <c r="C151" i="5"/>
  <c r="E151" i="5" s="1"/>
  <c r="D153" i="29"/>
  <c r="C151" i="12"/>
  <c r="E151" i="12" s="1"/>
  <c r="K153" i="29"/>
  <c r="C151" i="11"/>
  <c r="E151" i="11" s="1"/>
  <c r="H153" i="29"/>
  <c r="B152" i="34"/>
  <c r="B152" i="4"/>
  <c r="B152" i="11"/>
  <c r="B152" i="7"/>
  <c r="B152" i="5"/>
  <c r="B152" i="3"/>
  <c r="B152" i="1"/>
  <c r="B152" i="2"/>
  <c r="B152" i="16"/>
  <c r="B152" i="10"/>
  <c r="B152" i="12"/>
  <c r="A152" i="30"/>
  <c r="A151" i="34"/>
  <c r="A151" i="7"/>
  <c r="A151" i="4"/>
  <c r="A151" i="11"/>
  <c r="A151" i="12"/>
  <c r="A151" i="2"/>
  <c r="A151" i="16"/>
  <c r="A151" i="3"/>
  <c r="A151" i="1"/>
  <c r="A151" i="5"/>
  <c r="A151" i="10"/>
  <c r="B154" i="29"/>
  <c r="A153" i="29"/>
  <c r="F151" i="3" l="1"/>
  <c r="C152" i="3"/>
  <c r="C154" i="29"/>
  <c r="C152" i="1"/>
  <c r="L154" i="29"/>
  <c r="C152" i="5"/>
  <c r="D154" i="29"/>
  <c r="C152" i="12"/>
  <c r="K154" i="29"/>
  <c r="C152" i="11"/>
  <c r="H154" i="29"/>
  <c r="B153" i="34"/>
  <c r="B153" i="4"/>
  <c r="B153" i="11"/>
  <c r="B153" i="10"/>
  <c r="B153" i="2"/>
  <c r="B153" i="5"/>
  <c r="B153" i="3"/>
  <c r="B153" i="7"/>
  <c r="B153" i="1"/>
  <c r="B153" i="12"/>
  <c r="B153" i="16"/>
  <c r="A153" i="30"/>
  <c r="A152" i="34"/>
  <c r="A152" i="16"/>
  <c r="A152" i="4"/>
  <c r="A152" i="11"/>
  <c r="A152" i="5"/>
  <c r="A152" i="3"/>
  <c r="A152" i="12"/>
  <c r="A152" i="7"/>
  <c r="A152" i="10"/>
  <c r="A152" i="1"/>
  <c r="A152" i="2"/>
  <c r="B155" i="29"/>
  <c r="A154" i="29"/>
  <c r="C153" i="3" l="1"/>
  <c r="C155" i="29"/>
  <c r="C153" i="1"/>
  <c r="L155" i="29"/>
  <c r="C153" i="5"/>
  <c r="D155" i="29"/>
  <c r="C153" i="12"/>
  <c r="K155" i="29"/>
  <c r="C153" i="11"/>
  <c r="H155" i="29"/>
  <c r="B154" i="34"/>
  <c r="B154" i="12"/>
  <c r="B154" i="2"/>
  <c r="B154" i="4"/>
  <c r="B154" i="11"/>
  <c r="B154" i="1"/>
  <c r="B154" i="16"/>
  <c r="B154" i="7"/>
  <c r="B154" i="10"/>
  <c r="B154" i="5"/>
  <c r="B154" i="3"/>
  <c r="A154" i="30"/>
  <c r="A153" i="34"/>
  <c r="A153" i="7"/>
  <c r="A153" i="3"/>
  <c r="A153" i="4"/>
  <c r="A153" i="12"/>
  <c r="A153" i="2"/>
  <c r="A153" i="5"/>
  <c r="A153" i="10"/>
  <c r="A153" i="1"/>
  <c r="A153" i="16"/>
  <c r="A153" i="11"/>
  <c r="B156" i="29"/>
  <c r="A155" i="29"/>
  <c r="C154" i="3" l="1"/>
  <c r="C156" i="29"/>
  <c r="C154" i="1"/>
  <c r="L156" i="29"/>
  <c r="C154" i="5"/>
  <c r="D156" i="29"/>
  <c r="C154" i="12"/>
  <c r="E154" i="12" s="1"/>
  <c r="K156" i="29"/>
  <c r="C154" i="11"/>
  <c r="E154" i="11" s="1"/>
  <c r="H156" i="29"/>
  <c r="B155" i="34"/>
  <c r="B155" i="11"/>
  <c r="B155" i="3"/>
  <c r="B155" i="12"/>
  <c r="B155" i="2"/>
  <c r="B155" i="10"/>
  <c r="B155" i="5"/>
  <c r="B155" i="1"/>
  <c r="B155" i="4"/>
  <c r="B155" i="16"/>
  <c r="B155" i="7"/>
  <c r="A155" i="30"/>
  <c r="A154" i="34"/>
  <c r="A154" i="4"/>
  <c r="A154" i="3"/>
  <c r="A154" i="12"/>
  <c r="A154" i="16"/>
  <c r="A154" i="5"/>
  <c r="A154" i="10"/>
  <c r="A154" i="1"/>
  <c r="A154" i="11"/>
  <c r="A154" i="2"/>
  <c r="A154" i="7"/>
  <c r="B157" i="29"/>
  <c r="A156" i="29"/>
  <c r="F154" i="3" l="1"/>
  <c r="C155" i="3"/>
  <c r="C157" i="29"/>
  <c r="C155" i="1"/>
  <c r="E155" i="1" s="1"/>
  <c r="L157" i="29"/>
  <c r="C155" i="5"/>
  <c r="E155" i="5" s="1"/>
  <c r="D157" i="29"/>
  <c r="C155" i="12"/>
  <c r="E155" i="12" s="1"/>
  <c r="K157" i="29"/>
  <c r="C155" i="11"/>
  <c r="H157" i="29"/>
  <c r="B156" i="34"/>
  <c r="B156" i="4"/>
  <c r="B156" i="11"/>
  <c r="B156" i="16"/>
  <c r="B156" i="3"/>
  <c r="B156" i="1"/>
  <c r="B156" i="12"/>
  <c r="B156" i="2"/>
  <c r="B156" i="10"/>
  <c r="B156" i="7"/>
  <c r="B156" i="5"/>
  <c r="A156" i="30"/>
  <c r="A155" i="34"/>
  <c r="A155" i="4"/>
  <c r="A155" i="16"/>
  <c r="A155" i="11"/>
  <c r="A155" i="5"/>
  <c r="A155" i="1"/>
  <c r="A155" i="3"/>
  <c r="A155" i="7"/>
  <c r="A155" i="10"/>
  <c r="A155" i="12"/>
  <c r="A155" i="2"/>
  <c r="A157" i="29"/>
  <c r="A156" i="3" s="1"/>
  <c r="B158" i="29"/>
  <c r="F155" i="3" l="1"/>
  <c r="C156" i="3"/>
  <c r="C158" i="29"/>
  <c r="C156" i="1"/>
  <c r="E156" i="1" s="1"/>
  <c r="L158" i="29"/>
  <c r="C156" i="5"/>
  <c r="E156" i="5" s="1"/>
  <c r="D158" i="29"/>
  <c r="C156" i="12"/>
  <c r="E156" i="12" s="1"/>
  <c r="K158" i="29"/>
  <c r="C156" i="11"/>
  <c r="E156" i="11" s="1"/>
  <c r="H158" i="29"/>
  <c r="A157" i="30"/>
  <c r="A156" i="34"/>
  <c r="A156" i="2"/>
  <c r="A156" i="10"/>
  <c r="A156" i="5"/>
  <c r="A156" i="11"/>
  <c r="A156" i="16"/>
  <c r="A156" i="7"/>
  <c r="A156" i="1"/>
  <c r="A156" i="4"/>
  <c r="A156" i="12"/>
  <c r="B157" i="34"/>
  <c r="B157" i="11"/>
  <c r="B157" i="10"/>
  <c r="B157" i="3"/>
  <c r="B157" i="12"/>
  <c r="B157" i="16"/>
  <c r="B157" i="2"/>
  <c r="B157" i="7"/>
  <c r="B157" i="1"/>
  <c r="B157" i="4"/>
  <c r="B157" i="5"/>
  <c r="B159" i="29"/>
  <c r="A158" i="29"/>
  <c r="F156" i="3" l="1"/>
  <c r="C157" i="3"/>
  <c r="C159" i="29"/>
  <c r="C157" i="1"/>
  <c r="L159" i="29"/>
  <c r="C157" i="5"/>
  <c r="E157" i="5" s="1"/>
  <c r="D159" i="29"/>
  <c r="C157" i="12"/>
  <c r="E157" i="12" s="1"/>
  <c r="K159" i="29"/>
  <c r="C157" i="11"/>
  <c r="H159" i="29"/>
  <c r="B158" i="34"/>
  <c r="B158" i="11"/>
  <c r="B158" i="1"/>
  <c r="B158" i="12"/>
  <c r="B158" i="2"/>
  <c r="B158" i="16"/>
  <c r="B158" i="3"/>
  <c r="B158" i="7"/>
  <c r="B158" i="10"/>
  <c r="B158" i="4"/>
  <c r="B158" i="5"/>
  <c r="A158" i="30"/>
  <c r="A157" i="34"/>
  <c r="A157" i="4"/>
  <c r="A157" i="12"/>
  <c r="A157" i="2"/>
  <c r="A157" i="1"/>
  <c r="A157" i="5"/>
  <c r="A157" i="3"/>
  <c r="A157" i="7"/>
  <c r="A157" i="11"/>
  <c r="A157" i="16"/>
  <c r="A157" i="10"/>
  <c r="B160" i="29"/>
  <c r="B159" i="7" s="1"/>
  <c r="A159" i="29"/>
  <c r="F157" i="3" l="1"/>
  <c r="C158" i="3"/>
  <c r="C160" i="29"/>
  <c r="C161" i="29" s="1"/>
  <c r="C162" i="29" s="1"/>
  <c r="C163" i="29" s="1"/>
  <c r="C164" i="29" s="1"/>
  <c r="C165" i="29" s="1"/>
  <c r="C166" i="29" s="1"/>
  <c r="C167" i="29" s="1"/>
  <c r="C168" i="29" s="1"/>
  <c r="C169" i="29" s="1"/>
  <c r="C170" i="29" s="1"/>
  <c r="C171" i="29" s="1"/>
  <c r="C172" i="29" s="1"/>
  <c r="C173" i="29" s="1"/>
  <c r="C174" i="29" s="1"/>
  <c r="C175" i="29" s="1"/>
  <c r="C176" i="29" s="1"/>
  <c r="C177" i="29" s="1"/>
  <c r="C178" i="29" s="1"/>
  <c r="C179" i="29" s="1"/>
  <c r="C180" i="29" s="1"/>
  <c r="C181" i="29" s="1"/>
  <c r="C182" i="29" s="1"/>
  <c r="C183" i="29" s="1"/>
  <c r="C184" i="29" s="1"/>
  <c r="C185" i="29" s="1"/>
  <c r="C186" i="29" s="1"/>
  <c r="C187" i="29" s="1"/>
  <c r="C188" i="29" s="1"/>
  <c r="C189" i="29" s="1"/>
  <c r="C190" i="29" s="1"/>
  <c r="C191" i="29" s="1"/>
  <c r="C192" i="29" s="1"/>
  <c r="C193" i="29" s="1"/>
  <c r="C194" i="29" s="1"/>
  <c r="C195" i="29" s="1"/>
  <c r="C196" i="29" s="1"/>
  <c r="C197" i="29" s="1"/>
  <c r="C198" i="29" s="1"/>
  <c r="C199" i="29" s="1"/>
  <c r="C200" i="29" s="1"/>
  <c r="C201" i="29" s="1"/>
  <c r="C202" i="29" s="1"/>
  <c r="C203" i="29" s="1"/>
  <c r="C204" i="29" s="1"/>
  <c r="C205" i="29" s="1"/>
  <c r="C206" i="29" s="1"/>
  <c r="C207" i="29" s="1"/>
  <c r="C208" i="29" s="1"/>
  <c r="C209" i="29" s="1"/>
  <c r="C210" i="29" s="1"/>
  <c r="C211" i="29" s="1"/>
  <c r="C212" i="29" s="1"/>
  <c r="C213" i="29" s="1"/>
  <c r="C214" i="29" s="1"/>
  <c r="C215" i="29" s="1"/>
  <c r="C216" i="29" s="1"/>
  <c r="C217" i="29" s="1"/>
  <c r="C218" i="29" s="1"/>
  <c r="C219" i="29" s="1"/>
  <c r="C220" i="29" s="1"/>
  <c r="C221" i="29" s="1"/>
  <c r="C222" i="29" s="1"/>
  <c r="C223" i="29" s="1"/>
  <c r="C224" i="29" s="1"/>
  <c r="C225" i="29" s="1"/>
  <c r="C226" i="29" s="1"/>
  <c r="C227" i="29" s="1"/>
  <c r="C228" i="29" s="1"/>
  <c r="C229" i="29" s="1"/>
  <c r="C230" i="29" s="1"/>
  <c r="C231" i="29" s="1"/>
  <c r="C232" i="29" s="1"/>
  <c r="C233" i="29" s="1"/>
  <c r="C234" i="29" s="1"/>
  <c r="C235" i="29" s="1"/>
  <c r="C236" i="29" s="1"/>
  <c r="C237" i="29" s="1"/>
  <c r="C238" i="29" s="1"/>
  <c r="C239" i="29" s="1"/>
  <c r="C240" i="29" s="1"/>
  <c r="C241" i="29" s="1"/>
  <c r="C242" i="29" s="1"/>
  <c r="C243" i="29" s="1"/>
  <c r="C244" i="29" s="1"/>
  <c r="C245" i="29" s="1"/>
  <c r="C246" i="29" s="1"/>
  <c r="C247" i="29" s="1"/>
  <c r="C248" i="29" s="1"/>
  <c r="C249" i="29" s="1"/>
  <c r="C250" i="29" s="1"/>
  <c r="C251" i="29" s="1"/>
  <c r="C252" i="29" s="1"/>
  <c r="C253" i="29" s="1"/>
  <c r="C254" i="29" s="1"/>
  <c r="C255" i="29" s="1"/>
  <c r="C256" i="29" s="1"/>
  <c r="C257" i="29" s="1"/>
  <c r="C258" i="29" s="1"/>
  <c r="C259" i="29" s="1"/>
  <c r="C260" i="29" s="1"/>
  <c r="C261" i="29" s="1"/>
  <c r="C262" i="29" s="1"/>
  <c r="C263" i="29" s="1"/>
  <c r="C264" i="29" s="1"/>
  <c r="C265" i="29" s="1"/>
  <c r="C266" i="29" s="1"/>
  <c r="C267" i="29" s="1"/>
  <c r="C268" i="29" s="1"/>
  <c r="C269" i="29" s="1"/>
  <c r="C270" i="29" s="1"/>
  <c r="C271" i="29" s="1"/>
  <c r="C272" i="29" s="1"/>
  <c r="C273" i="29" s="1"/>
  <c r="C274" i="29" s="1"/>
  <c r="C275" i="29" s="1"/>
  <c r="C276" i="29" s="1"/>
  <c r="C277" i="29" s="1"/>
  <c r="C278" i="29" s="1"/>
  <c r="C279" i="29" s="1"/>
  <c r="C280" i="29" s="1"/>
  <c r="C281" i="29" s="1"/>
  <c r="C282" i="29" s="1"/>
  <c r="C283" i="29" s="1"/>
  <c r="C284" i="29" s="1"/>
  <c r="C285" i="29" s="1"/>
  <c r="C286" i="29" s="1"/>
  <c r="C287" i="29" s="1"/>
  <c r="C288" i="29" s="1"/>
  <c r="C289" i="29" s="1"/>
  <c r="C290" i="29" s="1"/>
  <c r="C291" i="29" s="1"/>
  <c r="C292" i="29" s="1"/>
  <c r="C293" i="29" s="1"/>
  <c r="C294" i="29" s="1"/>
  <c r="C295" i="29" s="1"/>
  <c r="C296" i="29" s="1"/>
  <c r="C297" i="29" s="1"/>
  <c r="C298" i="29" s="1"/>
  <c r="C299" i="29" s="1"/>
  <c r="C300" i="29" s="1"/>
  <c r="C301" i="29" s="1"/>
  <c r="C302" i="29" s="1"/>
  <c r="C303" i="29" s="1"/>
  <c r="C304" i="29" s="1"/>
  <c r="C305" i="29" s="1"/>
  <c r="C306" i="29" s="1"/>
  <c r="C307" i="29" s="1"/>
  <c r="C308" i="29" s="1"/>
  <c r="C309" i="29" s="1"/>
  <c r="C310" i="29" s="1"/>
  <c r="C311" i="29" s="1"/>
  <c r="C312" i="29" s="1"/>
  <c r="C313" i="29" s="1"/>
  <c r="C314" i="29" s="1"/>
  <c r="C315" i="29" s="1"/>
  <c r="C316" i="29" s="1"/>
  <c r="C317" i="29" s="1"/>
  <c r="C318" i="29" s="1"/>
  <c r="C319" i="29" s="1"/>
  <c r="C320" i="29" s="1"/>
  <c r="C321" i="29" s="1"/>
  <c r="C322" i="29" s="1"/>
  <c r="C323" i="29" s="1"/>
  <c r="C324" i="29" s="1"/>
  <c r="C325" i="29" s="1"/>
  <c r="C326" i="29" s="1"/>
  <c r="C327" i="29" s="1"/>
  <c r="C328" i="29" s="1"/>
  <c r="C329" i="29" s="1"/>
  <c r="C330" i="29" s="1"/>
  <c r="C331" i="29" s="1"/>
  <c r="C332" i="29" s="1"/>
  <c r="C333" i="29" s="1"/>
  <c r="C334" i="29" s="1"/>
  <c r="C335" i="29" s="1"/>
  <c r="C336" i="29" s="1"/>
  <c r="C337" i="29" s="1"/>
  <c r="C338" i="29" s="1"/>
  <c r="C339" i="29" s="1"/>
  <c r="C340" i="29" s="1"/>
  <c r="C341" i="29" s="1"/>
  <c r="C342" i="29" s="1"/>
  <c r="C343" i="29" s="1"/>
  <c r="C344" i="29" s="1"/>
  <c r="C345" i="29" s="1"/>
  <c r="C346" i="29" s="1"/>
  <c r="C347" i="29" s="1"/>
  <c r="C348" i="29" s="1"/>
  <c r="C349" i="29" s="1"/>
  <c r="C350" i="29" s="1"/>
  <c r="C351" i="29" s="1"/>
  <c r="C352" i="29" s="1"/>
  <c r="C353" i="29" s="1"/>
  <c r="C354" i="29" s="1"/>
  <c r="C355" i="29" s="1"/>
  <c r="C356" i="29" s="1"/>
  <c r="C357" i="29" s="1"/>
  <c r="C358" i="29" s="1"/>
  <c r="C359" i="29" s="1"/>
  <c r="C360" i="29" s="1"/>
  <c r="C361" i="29" s="1"/>
  <c r="C362" i="29" s="1"/>
  <c r="C363" i="29" s="1"/>
  <c r="C364" i="29" s="1"/>
  <c r="C365" i="29" s="1"/>
  <c r="C366" i="29" s="1"/>
  <c r="C367" i="29" s="1"/>
  <c r="C368" i="29" s="1"/>
  <c r="C369" i="29" s="1"/>
  <c r="C370" i="29" s="1"/>
  <c r="C371" i="29" s="1"/>
  <c r="C158" i="1"/>
  <c r="L160" i="29"/>
  <c r="L161" i="29" s="1"/>
  <c r="L162" i="29" s="1"/>
  <c r="L163" i="29" s="1"/>
  <c r="L164" i="29" s="1"/>
  <c r="L165" i="29" s="1"/>
  <c r="L166" i="29" s="1"/>
  <c r="L167" i="29" s="1"/>
  <c r="L168" i="29" s="1"/>
  <c r="L169" i="29" s="1"/>
  <c r="L170" i="29" s="1"/>
  <c r="L171" i="29" s="1"/>
  <c r="L172" i="29" s="1"/>
  <c r="L173" i="29" s="1"/>
  <c r="L174" i="29" s="1"/>
  <c r="L175" i="29" s="1"/>
  <c r="L176" i="29" s="1"/>
  <c r="L177" i="29" s="1"/>
  <c r="L178" i="29" s="1"/>
  <c r="L179" i="29" s="1"/>
  <c r="L180" i="29" s="1"/>
  <c r="L181" i="29" s="1"/>
  <c r="L182" i="29" s="1"/>
  <c r="L183" i="29" s="1"/>
  <c r="L184" i="29" s="1"/>
  <c r="L185" i="29" s="1"/>
  <c r="L186" i="29" s="1"/>
  <c r="L187" i="29" s="1"/>
  <c r="L188" i="29" s="1"/>
  <c r="L189" i="29" s="1"/>
  <c r="L190" i="29" s="1"/>
  <c r="L191" i="29" s="1"/>
  <c r="L192" i="29" s="1"/>
  <c r="L193" i="29" s="1"/>
  <c r="L194" i="29" s="1"/>
  <c r="L195" i="29" s="1"/>
  <c r="L196" i="29" s="1"/>
  <c r="L197" i="29" s="1"/>
  <c r="L198" i="29" s="1"/>
  <c r="L199" i="29" s="1"/>
  <c r="L200" i="29" s="1"/>
  <c r="L201" i="29" s="1"/>
  <c r="L202" i="29" s="1"/>
  <c r="L203" i="29" s="1"/>
  <c r="L204" i="29" s="1"/>
  <c r="L205" i="29" s="1"/>
  <c r="L206" i="29" s="1"/>
  <c r="L207" i="29" s="1"/>
  <c r="L208" i="29" s="1"/>
  <c r="L209" i="29" s="1"/>
  <c r="L210" i="29" s="1"/>
  <c r="L211" i="29" s="1"/>
  <c r="L212" i="29" s="1"/>
  <c r="L213" i="29" s="1"/>
  <c r="L214" i="29" s="1"/>
  <c r="L215" i="29" s="1"/>
  <c r="L216" i="29" s="1"/>
  <c r="L217" i="29" s="1"/>
  <c r="L218" i="29" s="1"/>
  <c r="L219" i="29" s="1"/>
  <c r="L220" i="29" s="1"/>
  <c r="L221" i="29" s="1"/>
  <c r="L222" i="29" s="1"/>
  <c r="L223" i="29" s="1"/>
  <c r="L224" i="29" s="1"/>
  <c r="L225" i="29" s="1"/>
  <c r="L226" i="29" s="1"/>
  <c r="L227" i="29" s="1"/>
  <c r="L228" i="29" s="1"/>
  <c r="L229" i="29" s="1"/>
  <c r="L230" i="29" s="1"/>
  <c r="L231" i="29" s="1"/>
  <c r="L232" i="29" s="1"/>
  <c r="L233" i="29" s="1"/>
  <c r="L234" i="29" s="1"/>
  <c r="L235" i="29" s="1"/>
  <c r="L236" i="29" s="1"/>
  <c r="L237" i="29" s="1"/>
  <c r="L238" i="29" s="1"/>
  <c r="L239" i="29" s="1"/>
  <c r="L240" i="29" s="1"/>
  <c r="L241" i="29" s="1"/>
  <c r="L242" i="29" s="1"/>
  <c r="L243" i="29" s="1"/>
  <c r="L244" i="29" s="1"/>
  <c r="L245" i="29" s="1"/>
  <c r="L246" i="29" s="1"/>
  <c r="L247" i="29" s="1"/>
  <c r="L248" i="29" s="1"/>
  <c r="L249" i="29" s="1"/>
  <c r="L250" i="29" s="1"/>
  <c r="L251" i="29" s="1"/>
  <c r="L252" i="29" s="1"/>
  <c r="L253" i="29" s="1"/>
  <c r="L254" i="29" s="1"/>
  <c r="L255" i="29" s="1"/>
  <c r="L256" i="29" s="1"/>
  <c r="L257" i="29" s="1"/>
  <c r="L258" i="29" s="1"/>
  <c r="L259" i="29" s="1"/>
  <c r="L260" i="29" s="1"/>
  <c r="L261" i="29" s="1"/>
  <c r="L262" i="29" s="1"/>
  <c r="L263" i="29" s="1"/>
  <c r="L264" i="29" s="1"/>
  <c r="L265" i="29" s="1"/>
  <c r="L266" i="29" s="1"/>
  <c r="L267" i="29" s="1"/>
  <c r="L268" i="29" s="1"/>
  <c r="L269" i="29" s="1"/>
  <c r="L270" i="29" s="1"/>
  <c r="L271" i="29" s="1"/>
  <c r="L272" i="29" s="1"/>
  <c r="L273" i="29" s="1"/>
  <c r="L274" i="29" s="1"/>
  <c r="L275" i="29" s="1"/>
  <c r="L276" i="29" s="1"/>
  <c r="L277" i="29" s="1"/>
  <c r="L278" i="29" s="1"/>
  <c r="L279" i="29" s="1"/>
  <c r="L280" i="29" s="1"/>
  <c r="L281" i="29" s="1"/>
  <c r="L282" i="29" s="1"/>
  <c r="L283" i="29" s="1"/>
  <c r="L284" i="29" s="1"/>
  <c r="L285" i="29" s="1"/>
  <c r="L286" i="29" s="1"/>
  <c r="L287" i="29" s="1"/>
  <c r="L288" i="29" s="1"/>
  <c r="L289" i="29" s="1"/>
  <c r="L290" i="29" s="1"/>
  <c r="L291" i="29" s="1"/>
  <c r="L292" i="29" s="1"/>
  <c r="L293" i="29" s="1"/>
  <c r="L294" i="29" s="1"/>
  <c r="L295" i="29" s="1"/>
  <c r="L296" i="29" s="1"/>
  <c r="L297" i="29" s="1"/>
  <c r="L298" i="29" s="1"/>
  <c r="L299" i="29" s="1"/>
  <c r="L300" i="29" s="1"/>
  <c r="L301" i="29" s="1"/>
  <c r="L302" i="29" s="1"/>
  <c r="L303" i="29" s="1"/>
  <c r="L304" i="29" s="1"/>
  <c r="L305" i="29" s="1"/>
  <c r="L306" i="29" s="1"/>
  <c r="L307" i="29" s="1"/>
  <c r="L308" i="29" s="1"/>
  <c r="L309" i="29" s="1"/>
  <c r="L310" i="29" s="1"/>
  <c r="L311" i="29" s="1"/>
  <c r="L312" i="29" s="1"/>
  <c r="L313" i="29" s="1"/>
  <c r="L314" i="29" s="1"/>
  <c r="L315" i="29" s="1"/>
  <c r="L316" i="29" s="1"/>
  <c r="L317" i="29" s="1"/>
  <c r="L318" i="29" s="1"/>
  <c r="L319" i="29" s="1"/>
  <c r="L320" i="29" s="1"/>
  <c r="L321" i="29" s="1"/>
  <c r="L322" i="29" s="1"/>
  <c r="L323" i="29" s="1"/>
  <c r="L324" i="29" s="1"/>
  <c r="L325" i="29" s="1"/>
  <c r="L326" i="29" s="1"/>
  <c r="L327" i="29" s="1"/>
  <c r="L328" i="29" s="1"/>
  <c r="L329" i="29" s="1"/>
  <c r="L330" i="29" s="1"/>
  <c r="L331" i="29" s="1"/>
  <c r="L332" i="29" s="1"/>
  <c r="L333" i="29" s="1"/>
  <c r="L334" i="29" s="1"/>
  <c r="L335" i="29" s="1"/>
  <c r="L336" i="29" s="1"/>
  <c r="L337" i="29" s="1"/>
  <c r="L338" i="29" s="1"/>
  <c r="L339" i="29" s="1"/>
  <c r="L340" i="29" s="1"/>
  <c r="L341" i="29" s="1"/>
  <c r="L342" i="29" s="1"/>
  <c r="L343" i="29" s="1"/>
  <c r="L344" i="29" s="1"/>
  <c r="L345" i="29" s="1"/>
  <c r="L346" i="29" s="1"/>
  <c r="L347" i="29" s="1"/>
  <c r="L348" i="29" s="1"/>
  <c r="L349" i="29" s="1"/>
  <c r="L350" i="29" s="1"/>
  <c r="L351" i="29" s="1"/>
  <c r="L352" i="29" s="1"/>
  <c r="L353" i="29" s="1"/>
  <c r="L354" i="29" s="1"/>
  <c r="L355" i="29" s="1"/>
  <c r="L356" i="29" s="1"/>
  <c r="L357" i="29" s="1"/>
  <c r="L358" i="29" s="1"/>
  <c r="L359" i="29" s="1"/>
  <c r="L360" i="29" s="1"/>
  <c r="L361" i="29" s="1"/>
  <c r="L362" i="29" s="1"/>
  <c r="L363" i="29" s="1"/>
  <c r="L364" i="29" s="1"/>
  <c r="L365" i="29" s="1"/>
  <c r="L366" i="29" s="1"/>
  <c r="L367" i="29" s="1"/>
  <c r="L368" i="29" s="1"/>
  <c r="L369" i="29" s="1"/>
  <c r="L370" i="29" s="1"/>
  <c r="L371" i="29" s="1"/>
  <c r="C158" i="5"/>
  <c r="E158" i="5" s="1"/>
  <c r="D160" i="29"/>
  <c r="D161" i="29" s="1"/>
  <c r="D162" i="29" s="1"/>
  <c r="D163" i="29" s="1"/>
  <c r="D164" i="29" s="1"/>
  <c r="D165" i="29" s="1"/>
  <c r="D166" i="29" s="1"/>
  <c r="D167" i="29" s="1"/>
  <c r="D168" i="29" s="1"/>
  <c r="D169" i="29" s="1"/>
  <c r="D170" i="29" s="1"/>
  <c r="D171" i="29" s="1"/>
  <c r="D172" i="29" s="1"/>
  <c r="D173" i="29" s="1"/>
  <c r="D174" i="29" s="1"/>
  <c r="D175" i="29" s="1"/>
  <c r="D176" i="29" s="1"/>
  <c r="D177" i="29" s="1"/>
  <c r="D178" i="29" s="1"/>
  <c r="D179" i="29" s="1"/>
  <c r="D180" i="29" s="1"/>
  <c r="D181" i="29" s="1"/>
  <c r="D182" i="29" s="1"/>
  <c r="D183" i="29" s="1"/>
  <c r="D184" i="29" s="1"/>
  <c r="D185" i="29" s="1"/>
  <c r="D186" i="29" s="1"/>
  <c r="D187" i="29" s="1"/>
  <c r="D188" i="29" s="1"/>
  <c r="D189" i="29" s="1"/>
  <c r="D190" i="29" s="1"/>
  <c r="D191" i="29" s="1"/>
  <c r="D192" i="29" s="1"/>
  <c r="D193" i="29" s="1"/>
  <c r="D194" i="29" s="1"/>
  <c r="D195" i="29" s="1"/>
  <c r="D196" i="29" s="1"/>
  <c r="D197" i="29" s="1"/>
  <c r="D198" i="29" s="1"/>
  <c r="D199" i="29" s="1"/>
  <c r="D200" i="29" s="1"/>
  <c r="D201" i="29" s="1"/>
  <c r="D202" i="29" s="1"/>
  <c r="D203" i="29" s="1"/>
  <c r="D204" i="29" s="1"/>
  <c r="D205" i="29" s="1"/>
  <c r="D206" i="29" s="1"/>
  <c r="D207" i="29" s="1"/>
  <c r="D208" i="29" s="1"/>
  <c r="D209" i="29" s="1"/>
  <c r="D210" i="29" s="1"/>
  <c r="D211" i="29" s="1"/>
  <c r="D212" i="29" s="1"/>
  <c r="D213" i="29" s="1"/>
  <c r="D214" i="29" s="1"/>
  <c r="D215" i="29" s="1"/>
  <c r="D216" i="29" s="1"/>
  <c r="D217" i="29" s="1"/>
  <c r="D218" i="29" s="1"/>
  <c r="D219" i="29" s="1"/>
  <c r="D220" i="29" s="1"/>
  <c r="D221" i="29" s="1"/>
  <c r="D222" i="29" s="1"/>
  <c r="D223" i="29" s="1"/>
  <c r="D224" i="29" s="1"/>
  <c r="D225" i="29" s="1"/>
  <c r="D226" i="29" s="1"/>
  <c r="D227" i="29" s="1"/>
  <c r="D228" i="29" s="1"/>
  <c r="D229" i="29" s="1"/>
  <c r="D230" i="29" s="1"/>
  <c r="D231" i="29" s="1"/>
  <c r="D232" i="29" s="1"/>
  <c r="D233" i="29" s="1"/>
  <c r="D234" i="29" s="1"/>
  <c r="D235" i="29" s="1"/>
  <c r="D236" i="29" s="1"/>
  <c r="D237" i="29" s="1"/>
  <c r="D238" i="29" s="1"/>
  <c r="D239" i="29" s="1"/>
  <c r="D240" i="29" s="1"/>
  <c r="D241" i="29" s="1"/>
  <c r="D242" i="29" s="1"/>
  <c r="D243" i="29" s="1"/>
  <c r="D244" i="29" s="1"/>
  <c r="D245" i="29" s="1"/>
  <c r="D246" i="29" s="1"/>
  <c r="D247" i="29" s="1"/>
  <c r="D248" i="29" s="1"/>
  <c r="D249" i="29" s="1"/>
  <c r="D250" i="29" s="1"/>
  <c r="D251" i="29" s="1"/>
  <c r="D252" i="29" s="1"/>
  <c r="D253" i="29" s="1"/>
  <c r="D254" i="29" s="1"/>
  <c r="D255" i="29" s="1"/>
  <c r="D256" i="29" s="1"/>
  <c r="D257" i="29" s="1"/>
  <c r="D258" i="29" s="1"/>
  <c r="D259" i="29" s="1"/>
  <c r="D260" i="29" s="1"/>
  <c r="D261" i="29" s="1"/>
  <c r="D262" i="29" s="1"/>
  <c r="D263" i="29" s="1"/>
  <c r="D264" i="29" s="1"/>
  <c r="D265" i="29" s="1"/>
  <c r="D266" i="29" s="1"/>
  <c r="D267" i="29" s="1"/>
  <c r="D268" i="29" s="1"/>
  <c r="D269" i="29" s="1"/>
  <c r="D270" i="29" s="1"/>
  <c r="D271" i="29" s="1"/>
  <c r="D272" i="29" s="1"/>
  <c r="D273" i="29" s="1"/>
  <c r="D274" i="29" s="1"/>
  <c r="D275" i="29" s="1"/>
  <c r="D276" i="29" s="1"/>
  <c r="D277" i="29" s="1"/>
  <c r="D278" i="29" s="1"/>
  <c r="D279" i="29" s="1"/>
  <c r="D280" i="29" s="1"/>
  <c r="D281" i="29" s="1"/>
  <c r="D282" i="29" s="1"/>
  <c r="D283" i="29" s="1"/>
  <c r="D284" i="29" s="1"/>
  <c r="D285" i="29" s="1"/>
  <c r="D286" i="29" s="1"/>
  <c r="D287" i="29" s="1"/>
  <c r="D288" i="29" s="1"/>
  <c r="D289" i="29" s="1"/>
  <c r="D290" i="29" s="1"/>
  <c r="D291" i="29" s="1"/>
  <c r="D292" i="29" s="1"/>
  <c r="D293" i="29" s="1"/>
  <c r="D294" i="29" s="1"/>
  <c r="D295" i="29" s="1"/>
  <c r="D296" i="29" s="1"/>
  <c r="D297" i="29" s="1"/>
  <c r="D298" i="29" s="1"/>
  <c r="D299" i="29" s="1"/>
  <c r="D300" i="29" s="1"/>
  <c r="D301" i="29" s="1"/>
  <c r="D302" i="29" s="1"/>
  <c r="D303" i="29" s="1"/>
  <c r="D304" i="29" s="1"/>
  <c r="D305" i="29" s="1"/>
  <c r="D306" i="29" s="1"/>
  <c r="D307" i="29" s="1"/>
  <c r="D308" i="29" s="1"/>
  <c r="D309" i="29" s="1"/>
  <c r="D310" i="29" s="1"/>
  <c r="D311" i="29" s="1"/>
  <c r="D312" i="29" s="1"/>
  <c r="D313" i="29" s="1"/>
  <c r="D314" i="29" s="1"/>
  <c r="D315" i="29" s="1"/>
  <c r="D316" i="29" s="1"/>
  <c r="D317" i="29" s="1"/>
  <c r="D318" i="29" s="1"/>
  <c r="D319" i="29" s="1"/>
  <c r="D320" i="29" s="1"/>
  <c r="D321" i="29" s="1"/>
  <c r="D322" i="29" s="1"/>
  <c r="D323" i="29" s="1"/>
  <c r="D324" i="29" s="1"/>
  <c r="D325" i="29" s="1"/>
  <c r="D326" i="29" s="1"/>
  <c r="D327" i="29" s="1"/>
  <c r="D328" i="29" s="1"/>
  <c r="D329" i="29" s="1"/>
  <c r="D330" i="29" s="1"/>
  <c r="D331" i="29" s="1"/>
  <c r="D332" i="29" s="1"/>
  <c r="D333" i="29" s="1"/>
  <c r="D334" i="29" s="1"/>
  <c r="D335" i="29" s="1"/>
  <c r="D336" i="29" s="1"/>
  <c r="D337" i="29" s="1"/>
  <c r="D338" i="29" s="1"/>
  <c r="D339" i="29" s="1"/>
  <c r="D340" i="29" s="1"/>
  <c r="D341" i="29" s="1"/>
  <c r="D342" i="29" s="1"/>
  <c r="D343" i="29" s="1"/>
  <c r="D344" i="29" s="1"/>
  <c r="D345" i="29" s="1"/>
  <c r="D346" i="29" s="1"/>
  <c r="D347" i="29" s="1"/>
  <c r="D348" i="29" s="1"/>
  <c r="D349" i="29" s="1"/>
  <c r="D350" i="29" s="1"/>
  <c r="D351" i="29" s="1"/>
  <c r="D352" i="29" s="1"/>
  <c r="D353" i="29" s="1"/>
  <c r="D354" i="29" s="1"/>
  <c r="D355" i="29" s="1"/>
  <c r="D356" i="29" s="1"/>
  <c r="D357" i="29" s="1"/>
  <c r="D358" i="29" s="1"/>
  <c r="D359" i="29" s="1"/>
  <c r="D360" i="29" s="1"/>
  <c r="D361" i="29" s="1"/>
  <c r="D362" i="29" s="1"/>
  <c r="D363" i="29" s="1"/>
  <c r="D364" i="29" s="1"/>
  <c r="D365" i="29" s="1"/>
  <c r="D366" i="29" s="1"/>
  <c r="D367" i="29" s="1"/>
  <c r="D368" i="29" s="1"/>
  <c r="D369" i="29" s="1"/>
  <c r="D370" i="29" s="1"/>
  <c r="D371" i="29" s="1"/>
  <c r="C158" i="12"/>
  <c r="E158" i="12" s="1"/>
  <c r="K160" i="29"/>
  <c r="K161" i="29" s="1"/>
  <c r="K162" i="29" s="1"/>
  <c r="K163" i="29" s="1"/>
  <c r="K164" i="29" s="1"/>
  <c r="K165" i="29" s="1"/>
  <c r="K166" i="29" s="1"/>
  <c r="K167" i="29" s="1"/>
  <c r="K168" i="29" s="1"/>
  <c r="K169" i="29" s="1"/>
  <c r="K170" i="29" s="1"/>
  <c r="K171" i="29" s="1"/>
  <c r="K172" i="29" s="1"/>
  <c r="K173" i="29" s="1"/>
  <c r="K174" i="29" s="1"/>
  <c r="K175" i="29" s="1"/>
  <c r="K176" i="29" s="1"/>
  <c r="K177" i="29" s="1"/>
  <c r="K178" i="29" s="1"/>
  <c r="K179" i="29" s="1"/>
  <c r="K180" i="29" s="1"/>
  <c r="K181" i="29" s="1"/>
  <c r="K182" i="29" s="1"/>
  <c r="K183" i="29" s="1"/>
  <c r="K184" i="29" s="1"/>
  <c r="K185" i="29" s="1"/>
  <c r="K186" i="29" s="1"/>
  <c r="K187" i="29" s="1"/>
  <c r="K188" i="29" s="1"/>
  <c r="K189" i="29" s="1"/>
  <c r="K190" i="29" s="1"/>
  <c r="K191" i="29" s="1"/>
  <c r="K192" i="29" s="1"/>
  <c r="K193" i="29" s="1"/>
  <c r="K194" i="29" s="1"/>
  <c r="K195" i="29" s="1"/>
  <c r="K196" i="29" s="1"/>
  <c r="K197" i="29" s="1"/>
  <c r="K198" i="29" s="1"/>
  <c r="K199" i="29" s="1"/>
  <c r="K200" i="29" s="1"/>
  <c r="K201" i="29" s="1"/>
  <c r="K202" i="29" s="1"/>
  <c r="K203" i="29" s="1"/>
  <c r="K204" i="29" s="1"/>
  <c r="K205" i="29" s="1"/>
  <c r="K206" i="29" s="1"/>
  <c r="K207" i="29" s="1"/>
  <c r="K208" i="29" s="1"/>
  <c r="K209" i="29" s="1"/>
  <c r="K210" i="29" s="1"/>
  <c r="K211" i="29" s="1"/>
  <c r="K212" i="29" s="1"/>
  <c r="K213" i="29" s="1"/>
  <c r="K214" i="29" s="1"/>
  <c r="K215" i="29" s="1"/>
  <c r="K216" i="29" s="1"/>
  <c r="K217" i="29" s="1"/>
  <c r="K218" i="29" s="1"/>
  <c r="K219" i="29" s="1"/>
  <c r="K220" i="29" s="1"/>
  <c r="K221" i="29" s="1"/>
  <c r="K222" i="29" s="1"/>
  <c r="K223" i="29" s="1"/>
  <c r="K224" i="29" s="1"/>
  <c r="K225" i="29" s="1"/>
  <c r="K226" i="29" s="1"/>
  <c r="K227" i="29" s="1"/>
  <c r="K228" i="29" s="1"/>
  <c r="K229" i="29" s="1"/>
  <c r="K230" i="29" s="1"/>
  <c r="K231" i="29" s="1"/>
  <c r="K232" i="29" s="1"/>
  <c r="K233" i="29" s="1"/>
  <c r="K234" i="29" s="1"/>
  <c r="K235" i="29" s="1"/>
  <c r="K236" i="29" s="1"/>
  <c r="K237" i="29" s="1"/>
  <c r="K238" i="29" s="1"/>
  <c r="K239" i="29" s="1"/>
  <c r="K240" i="29" s="1"/>
  <c r="K241" i="29" s="1"/>
  <c r="K242" i="29" s="1"/>
  <c r="K243" i="29" s="1"/>
  <c r="K244" i="29" s="1"/>
  <c r="K245" i="29" s="1"/>
  <c r="K246" i="29" s="1"/>
  <c r="K247" i="29" s="1"/>
  <c r="K248" i="29" s="1"/>
  <c r="K249" i="29" s="1"/>
  <c r="K250" i="29" s="1"/>
  <c r="K251" i="29" s="1"/>
  <c r="K252" i="29" s="1"/>
  <c r="K253" i="29" s="1"/>
  <c r="K254" i="29" s="1"/>
  <c r="K255" i="29" s="1"/>
  <c r="K256" i="29" s="1"/>
  <c r="K257" i="29" s="1"/>
  <c r="K258" i="29" s="1"/>
  <c r="K259" i="29" s="1"/>
  <c r="K260" i="29" s="1"/>
  <c r="K261" i="29" s="1"/>
  <c r="K262" i="29" s="1"/>
  <c r="K263" i="29" s="1"/>
  <c r="K264" i="29" s="1"/>
  <c r="K265" i="29" s="1"/>
  <c r="K266" i="29" s="1"/>
  <c r="K267" i="29" s="1"/>
  <c r="K268" i="29" s="1"/>
  <c r="K269" i="29" s="1"/>
  <c r="K270" i="29" s="1"/>
  <c r="K271" i="29" s="1"/>
  <c r="K272" i="29" s="1"/>
  <c r="K273" i="29" s="1"/>
  <c r="K274" i="29" s="1"/>
  <c r="K275" i="29" s="1"/>
  <c r="K276" i="29" s="1"/>
  <c r="K277" i="29" s="1"/>
  <c r="K278" i="29" s="1"/>
  <c r="K279" i="29" s="1"/>
  <c r="K280" i="29" s="1"/>
  <c r="K281" i="29" s="1"/>
  <c r="K282" i="29" s="1"/>
  <c r="K283" i="29" s="1"/>
  <c r="K284" i="29" s="1"/>
  <c r="K285" i="29" s="1"/>
  <c r="K286" i="29" s="1"/>
  <c r="K287" i="29" s="1"/>
  <c r="K288" i="29" s="1"/>
  <c r="K289" i="29" s="1"/>
  <c r="K290" i="29" s="1"/>
  <c r="K291" i="29" s="1"/>
  <c r="K292" i="29" s="1"/>
  <c r="K293" i="29" s="1"/>
  <c r="K294" i="29" s="1"/>
  <c r="K295" i="29" s="1"/>
  <c r="K296" i="29" s="1"/>
  <c r="K297" i="29" s="1"/>
  <c r="K298" i="29" s="1"/>
  <c r="K299" i="29" s="1"/>
  <c r="K300" i="29" s="1"/>
  <c r="K301" i="29" s="1"/>
  <c r="K302" i="29" s="1"/>
  <c r="K303" i="29" s="1"/>
  <c r="K304" i="29" s="1"/>
  <c r="K305" i="29" s="1"/>
  <c r="K306" i="29" s="1"/>
  <c r="K307" i="29" s="1"/>
  <c r="K308" i="29" s="1"/>
  <c r="K309" i="29" s="1"/>
  <c r="K310" i="29" s="1"/>
  <c r="K311" i="29" s="1"/>
  <c r="K312" i="29" s="1"/>
  <c r="K313" i="29" s="1"/>
  <c r="K314" i="29" s="1"/>
  <c r="K315" i="29" s="1"/>
  <c r="K316" i="29" s="1"/>
  <c r="K317" i="29" s="1"/>
  <c r="K318" i="29" s="1"/>
  <c r="K319" i="29" s="1"/>
  <c r="K320" i="29" s="1"/>
  <c r="K321" i="29" s="1"/>
  <c r="K322" i="29" s="1"/>
  <c r="K323" i="29" s="1"/>
  <c r="K324" i="29" s="1"/>
  <c r="K325" i="29" s="1"/>
  <c r="K326" i="29" s="1"/>
  <c r="K327" i="29" s="1"/>
  <c r="K328" i="29" s="1"/>
  <c r="K329" i="29" s="1"/>
  <c r="K330" i="29" s="1"/>
  <c r="K331" i="29" s="1"/>
  <c r="K332" i="29" s="1"/>
  <c r="K333" i="29" s="1"/>
  <c r="K334" i="29" s="1"/>
  <c r="K335" i="29" s="1"/>
  <c r="K336" i="29" s="1"/>
  <c r="K337" i="29" s="1"/>
  <c r="K338" i="29" s="1"/>
  <c r="K339" i="29" s="1"/>
  <c r="K340" i="29" s="1"/>
  <c r="K341" i="29" s="1"/>
  <c r="K342" i="29" s="1"/>
  <c r="K343" i="29" s="1"/>
  <c r="K344" i="29" s="1"/>
  <c r="K345" i="29" s="1"/>
  <c r="K346" i="29" s="1"/>
  <c r="K347" i="29" s="1"/>
  <c r="K348" i="29" s="1"/>
  <c r="K349" i="29" s="1"/>
  <c r="K350" i="29" s="1"/>
  <c r="K351" i="29" s="1"/>
  <c r="K352" i="29" s="1"/>
  <c r="K353" i="29" s="1"/>
  <c r="K354" i="29" s="1"/>
  <c r="K355" i="29" s="1"/>
  <c r="K356" i="29" s="1"/>
  <c r="K357" i="29" s="1"/>
  <c r="K358" i="29" s="1"/>
  <c r="K359" i="29" s="1"/>
  <c r="K360" i="29" s="1"/>
  <c r="K361" i="29" s="1"/>
  <c r="K362" i="29" s="1"/>
  <c r="K363" i="29" s="1"/>
  <c r="K364" i="29" s="1"/>
  <c r="K365" i="29" s="1"/>
  <c r="K366" i="29" s="1"/>
  <c r="K367" i="29" s="1"/>
  <c r="K368" i="29" s="1"/>
  <c r="K369" i="29" s="1"/>
  <c r="K370" i="29" s="1"/>
  <c r="K371" i="29" s="1"/>
  <c r="C158" i="11"/>
  <c r="H160" i="29"/>
  <c r="H161" i="29" s="1"/>
  <c r="H162" i="29" s="1"/>
  <c r="H163" i="29" s="1"/>
  <c r="H164" i="29" s="1"/>
  <c r="H165" i="29" s="1"/>
  <c r="H166" i="29" s="1"/>
  <c r="H167" i="29" s="1"/>
  <c r="H168" i="29" s="1"/>
  <c r="H169" i="29" s="1"/>
  <c r="H170" i="29" s="1"/>
  <c r="H171" i="29" s="1"/>
  <c r="H172" i="29" s="1"/>
  <c r="H173" i="29" s="1"/>
  <c r="H174" i="29" s="1"/>
  <c r="H175" i="29" s="1"/>
  <c r="H176" i="29" s="1"/>
  <c r="H177" i="29" s="1"/>
  <c r="H178" i="29" s="1"/>
  <c r="H179" i="29" s="1"/>
  <c r="H180" i="29" s="1"/>
  <c r="H181" i="29" s="1"/>
  <c r="H182" i="29" s="1"/>
  <c r="H183" i="29" s="1"/>
  <c r="H184" i="29" s="1"/>
  <c r="H185" i="29" s="1"/>
  <c r="H186" i="29" s="1"/>
  <c r="H187" i="29" s="1"/>
  <c r="H188" i="29" s="1"/>
  <c r="H189" i="29" s="1"/>
  <c r="H190" i="29" s="1"/>
  <c r="H191" i="29" s="1"/>
  <c r="H192" i="29" s="1"/>
  <c r="H193" i="29" s="1"/>
  <c r="H194" i="29" s="1"/>
  <c r="H195" i="29" s="1"/>
  <c r="H196" i="29" s="1"/>
  <c r="H197" i="29" s="1"/>
  <c r="H198" i="29" s="1"/>
  <c r="H199" i="29" s="1"/>
  <c r="H200" i="29" s="1"/>
  <c r="H201" i="29" s="1"/>
  <c r="H202" i="29" s="1"/>
  <c r="H203" i="29" s="1"/>
  <c r="H204" i="29" s="1"/>
  <c r="H205" i="29" s="1"/>
  <c r="H206" i="29" s="1"/>
  <c r="H207" i="29" s="1"/>
  <c r="H208" i="29" s="1"/>
  <c r="H209" i="29" s="1"/>
  <c r="H210" i="29" s="1"/>
  <c r="H211" i="29" s="1"/>
  <c r="H212" i="29" s="1"/>
  <c r="H213" i="29" s="1"/>
  <c r="H214" i="29" s="1"/>
  <c r="H215" i="29" s="1"/>
  <c r="H216" i="29" s="1"/>
  <c r="H217" i="29" s="1"/>
  <c r="H218" i="29" s="1"/>
  <c r="H219" i="29" s="1"/>
  <c r="H220" i="29" s="1"/>
  <c r="H221" i="29" s="1"/>
  <c r="H222" i="29" s="1"/>
  <c r="H223" i="29" s="1"/>
  <c r="H224" i="29" s="1"/>
  <c r="H225" i="29" s="1"/>
  <c r="H226" i="29" s="1"/>
  <c r="H227" i="29" s="1"/>
  <c r="H228" i="29" s="1"/>
  <c r="H229" i="29" s="1"/>
  <c r="H230" i="29" s="1"/>
  <c r="H231" i="29" s="1"/>
  <c r="H232" i="29" s="1"/>
  <c r="H233" i="29" s="1"/>
  <c r="H234" i="29" s="1"/>
  <c r="H235" i="29" s="1"/>
  <c r="H236" i="29" s="1"/>
  <c r="H237" i="29" s="1"/>
  <c r="H238" i="29" s="1"/>
  <c r="H239" i="29" s="1"/>
  <c r="H240" i="29" s="1"/>
  <c r="H241" i="29" s="1"/>
  <c r="H242" i="29" s="1"/>
  <c r="H243" i="29" s="1"/>
  <c r="H244" i="29" s="1"/>
  <c r="H245" i="29" s="1"/>
  <c r="H246" i="29" s="1"/>
  <c r="H247" i="29" s="1"/>
  <c r="H248" i="29" s="1"/>
  <c r="H249" i="29" s="1"/>
  <c r="H250" i="29" s="1"/>
  <c r="H251" i="29" s="1"/>
  <c r="H252" i="29" s="1"/>
  <c r="H253" i="29" s="1"/>
  <c r="H254" i="29" s="1"/>
  <c r="H255" i="29" s="1"/>
  <c r="H256" i="29" s="1"/>
  <c r="H257" i="29" s="1"/>
  <c r="H258" i="29" s="1"/>
  <c r="H259" i="29" s="1"/>
  <c r="H260" i="29" s="1"/>
  <c r="H261" i="29" s="1"/>
  <c r="H262" i="29" s="1"/>
  <c r="H263" i="29" s="1"/>
  <c r="H264" i="29" s="1"/>
  <c r="H265" i="29" s="1"/>
  <c r="H266" i="29" s="1"/>
  <c r="H267" i="29" s="1"/>
  <c r="H268" i="29" s="1"/>
  <c r="H269" i="29" s="1"/>
  <c r="H270" i="29" s="1"/>
  <c r="H271" i="29" s="1"/>
  <c r="H272" i="29" s="1"/>
  <c r="H273" i="29" s="1"/>
  <c r="H274" i="29" s="1"/>
  <c r="H275" i="29" s="1"/>
  <c r="H276" i="29" s="1"/>
  <c r="H277" i="29" s="1"/>
  <c r="H278" i="29" s="1"/>
  <c r="H279" i="29" s="1"/>
  <c r="H280" i="29" s="1"/>
  <c r="H281" i="29" s="1"/>
  <c r="H282" i="29" s="1"/>
  <c r="H283" i="29" s="1"/>
  <c r="H284" i="29" s="1"/>
  <c r="H285" i="29" s="1"/>
  <c r="H286" i="29" s="1"/>
  <c r="H287" i="29" s="1"/>
  <c r="H288" i="29" s="1"/>
  <c r="H289" i="29" s="1"/>
  <c r="H290" i="29" s="1"/>
  <c r="H291" i="29" s="1"/>
  <c r="H292" i="29" s="1"/>
  <c r="H293" i="29" s="1"/>
  <c r="H294" i="29" s="1"/>
  <c r="H295" i="29" s="1"/>
  <c r="H296" i="29" s="1"/>
  <c r="H297" i="29" s="1"/>
  <c r="H298" i="29" s="1"/>
  <c r="H299" i="29" s="1"/>
  <c r="H300" i="29" s="1"/>
  <c r="H301" i="29" s="1"/>
  <c r="H302" i="29" s="1"/>
  <c r="H303" i="29" s="1"/>
  <c r="H304" i="29" s="1"/>
  <c r="H305" i="29" s="1"/>
  <c r="H306" i="29" s="1"/>
  <c r="H307" i="29" s="1"/>
  <c r="H308" i="29" s="1"/>
  <c r="H309" i="29" s="1"/>
  <c r="H310" i="29" s="1"/>
  <c r="H311" i="29" s="1"/>
  <c r="H312" i="29" s="1"/>
  <c r="H313" i="29" s="1"/>
  <c r="H314" i="29" s="1"/>
  <c r="H315" i="29" s="1"/>
  <c r="H316" i="29" s="1"/>
  <c r="H317" i="29" s="1"/>
  <c r="H318" i="29" s="1"/>
  <c r="H319" i="29" s="1"/>
  <c r="H320" i="29" s="1"/>
  <c r="H321" i="29" s="1"/>
  <c r="H322" i="29" s="1"/>
  <c r="H323" i="29" s="1"/>
  <c r="H324" i="29" s="1"/>
  <c r="H325" i="29" s="1"/>
  <c r="H326" i="29" s="1"/>
  <c r="H327" i="29" s="1"/>
  <c r="H328" i="29" s="1"/>
  <c r="H329" i="29" s="1"/>
  <c r="H330" i="29" s="1"/>
  <c r="H331" i="29" s="1"/>
  <c r="H332" i="29" s="1"/>
  <c r="H333" i="29" s="1"/>
  <c r="H334" i="29" s="1"/>
  <c r="H335" i="29" s="1"/>
  <c r="H336" i="29" s="1"/>
  <c r="H337" i="29" s="1"/>
  <c r="H338" i="29" s="1"/>
  <c r="H339" i="29" s="1"/>
  <c r="H340" i="29" s="1"/>
  <c r="H341" i="29" s="1"/>
  <c r="H342" i="29" s="1"/>
  <c r="H343" i="29" s="1"/>
  <c r="H344" i="29" s="1"/>
  <c r="H345" i="29" s="1"/>
  <c r="H346" i="29" s="1"/>
  <c r="H347" i="29" s="1"/>
  <c r="H348" i="29" s="1"/>
  <c r="H349" i="29" s="1"/>
  <c r="H350" i="29" s="1"/>
  <c r="H351" i="29" s="1"/>
  <c r="H352" i="29" s="1"/>
  <c r="H353" i="29" s="1"/>
  <c r="H354" i="29" s="1"/>
  <c r="H355" i="29" s="1"/>
  <c r="H356" i="29" s="1"/>
  <c r="H357" i="29" s="1"/>
  <c r="H358" i="29" s="1"/>
  <c r="H359" i="29" s="1"/>
  <c r="H360" i="29" s="1"/>
  <c r="H361" i="29" s="1"/>
  <c r="H362" i="29" s="1"/>
  <c r="H363" i="29" s="1"/>
  <c r="H364" i="29" s="1"/>
  <c r="H365" i="29" s="1"/>
  <c r="H366" i="29" s="1"/>
  <c r="H367" i="29" s="1"/>
  <c r="H368" i="29" s="1"/>
  <c r="H369" i="29" s="1"/>
  <c r="H370" i="29" s="1"/>
  <c r="H371" i="29" s="1"/>
  <c r="A159" i="30"/>
  <c r="A158" i="34"/>
  <c r="A158" i="12"/>
  <c r="A158" i="11"/>
  <c r="A158" i="10"/>
  <c r="A158" i="1"/>
  <c r="A158" i="4"/>
  <c r="A158" i="5"/>
  <c r="A158" i="2"/>
  <c r="A158" i="16"/>
  <c r="A158" i="7"/>
  <c r="A158" i="3"/>
  <c r="B161" i="29"/>
  <c r="A160" i="29"/>
  <c r="F158" i="3" l="1"/>
  <c r="A160" i="30"/>
  <c r="A159" i="7"/>
  <c r="A161" i="29"/>
  <c r="A161" i="30" s="1"/>
  <c r="B162" i="29"/>
  <c r="B163" i="29" l="1"/>
  <c r="A162" i="29"/>
  <c r="A162" i="30" s="1"/>
  <c r="A163" i="29" l="1"/>
  <c r="A163" i="30" s="1"/>
  <c r="B164" i="29"/>
  <c r="A164" i="29" l="1"/>
  <c r="A164" i="30" s="1"/>
  <c r="B165" i="29"/>
  <c r="B166" i="29" l="1"/>
  <c r="A165" i="29"/>
  <c r="A165" i="30" s="1"/>
  <c r="B167" i="29" l="1"/>
  <c r="A166" i="29"/>
  <c r="A166" i="30" s="1"/>
  <c r="B168" i="29" l="1"/>
  <c r="A167" i="29"/>
  <c r="A167" i="30" s="1"/>
  <c r="B169" i="29" l="1"/>
  <c r="A168" i="29"/>
  <c r="A168" i="30" s="1"/>
  <c r="B170" i="29" l="1"/>
  <c r="A169" i="29"/>
  <c r="A169" i="30" s="1"/>
  <c r="B171" i="29" l="1"/>
  <c r="A170" i="29"/>
  <c r="A170" i="30" s="1"/>
  <c r="A171" i="29" l="1"/>
  <c r="A171" i="30" s="1"/>
  <c r="B172" i="29"/>
  <c r="A172" i="29" l="1"/>
  <c r="A172" i="30" s="1"/>
  <c r="B173" i="29"/>
  <c r="B174" i="29" l="1"/>
  <c r="A173" i="29"/>
  <c r="A173" i="30" s="1"/>
  <c r="A174" i="29" l="1"/>
  <c r="A174" i="30" s="1"/>
  <c r="B175" i="29"/>
  <c r="A175" i="29" l="1"/>
  <c r="A175" i="30" s="1"/>
  <c r="B176" i="29"/>
  <c r="B177" i="29" l="1"/>
  <c r="A176" i="29"/>
  <c r="A176" i="30" s="1"/>
  <c r="A177" i="29" l="1"/>
  <c r="A177" i="30" s="1"/>
  <c r="B178" i="29"/>
  <c r="B179" i="29" l="1"/>
  <c r="A178" i="29"/>
  <c r="A178" i="30" s="1"/>
  <c r="B180" i="29" l="1"/>
  <c r="A179" i="29"/>
  <c r="A179" i="30" s="1"/>
  <c r="A180" i="29" l="1"/>
  <c r="A180" i="30" s="1"/>
  <c r="B181" i="29"/>
  <c r="B182" i="29" l="1"/>
  <c r="A181" i="29"/>
  <c r="A181" i="30" s="1"/>
  <c r="B183" i="29" l="1"/>
  <c r="A182" i="29"/>
  <c r="A182" i="30" s="1"/>
  <c r="A183" i="29" l="1"/>
  <c r="A183" i="30" s="1"/>
  <c r="B184" i="29"/>
  <c r="B185" i="29" l="1"/>
  <c r="A184" i="29"/>
  <c r="A184" i="30" s="1"/>
  <c r="B186" i="29" l="1"/>
  <c r="A185" i="29"/>
  <c r="A185" i="30" s="1"/>
  <c r="A186" i="29" l="1"/>
  <c r="A186" i="30" s="1"/>
  <c r="B187" i="29"/>
  <c r="A187" i="29" l="1"/>
  <c r="A187" i="30" s="1"/>
  <c r="B188" i="29"/>
  <c r="B189" i="29" l="1"/>
  <c r="A188" i="29"/>
  <c r="A188" i="30" s="1"/>
  <c r="A189" i="29" l="1"/>
  <c r="A189" i="30" s="1"/>
  <c r="B190" i="29"/>
  <c r="A190" i="29" l="1"/>
  <c r="A190" i="30" s="1"/>
  <c r="B191" i="29"/>
  <c r="B192" i="29" l="1"/>
  <c r="A191" i="29"/>
  <c r="A191" i="30" s="1"/>
  <c r="B193" i="29" l="1"/>
  <c r="A192" i="29"/>
  <c r="A192" i="30" s="1"/>
  <c r="A193" i="29" l="1"/>
  <c r="A193" i="30" s="1"/>
  <c r="B194" i="29"/>
  <c r="A194" i="29" l="1"/>
  <c r="A194" i="30" s="1"/>
  <c r="B195" i="29"/>
  <c r="B196" i="29" l="1"/>
  <c r="A195" i="29"/>
  <c r="A195" i="30" s="1"/>
  <c r="A196" i="29" l="1"/>
  <c r="A196" i="30" s="1"/>
  <c r="B197" i="29"/>
  <c r="A197" i="29" l="1"/>
  <c r="A197" i="30" s="1"/>
  <c r="B198" i="29"/>
  <c r="B199" i="29" l="1"/>
  <c r="A198" i="29"/>
  <c r="A198" i="30" s="1"/>
  <c r="A199" i="29" l="1"/>
  <c r="A199" i="30" s="1"/>
  <c r="B200" i="29"/>
  <c r="A200" i="29" l="1"/>
  <c r="A200" i="30" s="1"/>
  <c r="B201" i="29"/>
  <c r="B202" i="29" l="1"/>
  <c r="A201" i="29"/>
  <c r="A201" i="30" s="1"/>
  <c r="B203" i="29" l="1"/>
  <c r="A202" i="29"/>
  <c r="A202" i="30" s="1"/>
  <c r="A203" i="29" l="1"/>
  <c r="A203" i="30" s="1"/>
  <c r="B204" i="29"/>
  <c r="A204" i="29" l="1"/>
  <c r="A204" i="30" s="1"/>
  <c r="B205" i="29"/>
  <c r="B206" i="29" l="1"/>
  <c r="A205" i="29"/>
  <c r="A205" i="30" s="1"/>
  <c r="A206" i="29" l="1"/>
  <c r="A206" i="30" s="1"/>
  <c r="B207" i="29"/>
  <c r="A207" i="29" l="1"/>
  <c r="A207" i="30" s="1"/>
  <c r="B208" i="29"/>
  <c r="B209" i="29" l="1"/>
  <c r="A208" i="29"/>
  <c r="A208" i="30" s="1"/>
  <c r="A209" i="29" l="1"/>
  <c r="A209" i="30" s="1"/>
  <c r="B210" i="29"/>
  <c r="A210" i="29" l="1"/>
  <c r="A210" i="30" s="1"/>
  <c r="B211" i="29"/>
  <c r="B212" i="29" l="1"/>
  <c r="A211" i="29"/>
  <c r="A211" i="30" s="1"/>
  <c r="A212" i="29" l="1"/>
  <c r="A212" i="30" s="1"/>
  <c r="B213" i="29"/>
  <c r="B214" i="29" l="1"/>
  <c r="A213" i="29"/>
  <c r="A213" i="30" s="1"/>
  <c r="B215" i="29" l="1"/>
  <c r="A214" i="29"/>
  <c r="A214" i="30" s="1"/>
  <c r="A215" i="29" l="1"/>
  <c r="A215" i="30" s="1"/>
  <c r="B216" i="29"/>
  <c r="A216" i="29" l="1"/>
  <c r="A216" i="30" s="1"/>
  <c r="B217" i="29"/>
  <c r="A217" i="29" l="1"/>
  <c r="A217" i="30" s="1"/>
  <c r="B218" i="29"/>
  <c r="A218" i="29" l="1"/>
  <c r="A218" i="30" s="1"/>
  <c r="B219" i="29"/>
  <c r="B220" i="29" l="1"/>
  <c r="A219" i="29"/>
  <c r="A219" i="30" s="1"/>
  <c r="B221" i="29" l="1"/>
  <c r="A220" i="29"/>
  <c r="A220" i="30" s="1"/>
  <c r="A221" i="29" l="1"/>
  <c r="A221" i="30" s="1"/>
  <c r="B222" i="29"/>
  <c r="A222" i="29" l="1"/>
  <c r="A222" i="30" s="1"/>
  <c r="B223" i="29"/>
  <c r="B224" i="29" l="1"/>
  <c r="A223" i="29"/>
  <c r="A223" i="30" s="1"/>
  <c r="B225" i="29" l="1"/>
  <c r="A224" i="29"/>
  <c r="A224" i="30" s="1"/>
  <c r="A225" i="29" l="1"/>
  <c r="A225" i="30" s="1"/>
  <c r="B226" i="29"/>
  <c r="B227" i="29" l="1"/>
  <c r="A226" i="29"/>
  <c r="A226" i="30" s="1"/>
  <c r="B228" i="29" l="1"/>
  <c r="A227" i="29"/>
  <c r="A227" i="30" s="1"/>
  <c r="A228" i="29" l="1"/>
  <c r="A228" i="30" s="1"/>
  <c r="B229" i="29"/>
  <c r="A229" i="29" l="1"/>
  <c r="A229" i="30" s="1"/>
  <c r="B230" i="29"/>
  <c r="A230" i="29" l="1"/>
  <c r="A230" i="30" s="1"/>
  <c r="B231" i="29"/>
  <c r="A231" i="29" l="1"/>
  <c r="A231" i="30" s="1"/>
  <c r="B232" i="29"/>
  <c r="A232" i="29" l="1"/>
  <c r="A232" i="30" s="1"/>
  <c r="B233" i="29"/>
  <c r="B234" i="29" l="1"/>
  <c r="A233" i="29"/>
  <c r="A233" i="30" s="1"/>
  <c r="A234" i="29" l="1"/>
  <c r="A234" i="30" s="1"/>
  <c r="B235" i="29"/>
  <c r="A235" i="29" l="1"/>
  <c r="A235" i="30" s="1"/>
  <c r="B236" i="29"/>
  <c r="B237" i="29" l="1"/>
  <c r="A236" i="29"/>
  <c r="A236" i="30" s="1"/>
  <c r="A237" i="29" l="1"/>
  <c r="A237" i="30" s="1"/>
  <c r="B238" i="29"/>
  <c r="B239" i="29" l="1"/>
  <c r="A238" i="29"/>
  <c r="A238" i="30" s="1"/>
  <c r="B240" i="29" l="1"/>
  <c r="A239" i="29"/>
  <c r="A239" i="30" s="1"/>
  <c r="A240" i="29" l="1"/>
  <c r="A240" i="30" s="1"/>
  <c r="B241" i="29"/>
  <c r="B242" i="29" l="1"/>
  <c r="A241" i="29"/>
  <c r="A241" i="30" s="1"/>
  <c r="B243" i="29" l="1"/>
  <c r="A242" i="29"/>
  <c r="A242" i="30" s="1"/>
  <c r="A243" i="29" l="1"/>
  <c r="A243" i="30" s="1"/>
  <c r="B244" i="29"/>
  <c r="B245" i="29" l="1"/>
  <c r="A244" i="29"/>
  <c r="A244" i="30" s="1"/>
  <c r="B246" i="29" l="1"/>
  <c r="A245" i="29"/>
  <c r="A245" i="30" s="1"/>
  <c r="A246" i="29" l="1"/>
  <c r="A246" i="30" s="1"/>
  <c r="B247" i="29"/>
  <c r="A247" i="29" l="1"/>
  <c r="A247" i="30" s="1"/>
  <c r="B248" i="29"/>
  <c r="B249" i="29" l="1"/>
  <c r="A248" i="29"/>
  <c r="A248" i="30" s="1"/>
  <c r="B250" i="29" l="1"/>
  <c r="A249" i="29"/>
  <c r="A249" i="30" s="1"/>
  <c r="B251" i="29" l="1"/>
  <c r="A250" i="29"/>
  <c r="A250" i="30" s="1"/>
  <c r="B252" i="29" l="1"/>
  <c r="A251" i="29"/>
  <c r="A251" i="30" s="1"/>
  <c r="B253" i="29" l="1"/>
  <c r="A252" i="29"/>
  <c r="A252" i="30" s="1"/>
  <c r="A253" i="29" l="1"/>
  <c r="A253" i="30" s="1"/>
  <c r="B254" i="29"/>
  <c r="A254" i="29" l="1"/>
  <c r="A254" i="30" s="1"/>
  <c r="B255" i="29"/>
  <c r="B256" i="29" l="1"/>
  <c r="A255" i="29"/>
  <c r="A255" i="30" s="1"/>
  <c r="A256" i="29" l="1"/>
  <c r="A256" i="30" s="1"/>
  <c r="B257" i="29"/>
  <c r="A257" i="29" l="1"/>
  <c r="A257" i="30" s="1"/>
  <c r="B258" i="29"/>
  <c r="B259" i="29" l="1"/>
  <c r="A258" i="29"/>
  <c r="A258" i="30" s="1"/>
  <c r="A259" i="29" l="1"/>
  <c r="A259" i="30" s="1"/>
  <c r="B260" i="29"/>
  <c r="A260" i="29" l="1"/>
  <c r="A260" i="30" s="1"/>
  <c r="B261" i="29"/>
  <c r="B262" i="29" l="1"/>
  <c r="A261" i="29"/>
  <c r="A261" i="30" s="1"/>
  <c r="A262" i="29" l="1"/>
  <c r="A262" i="30" s="1"/>
  <c r="B263" i="29"/>
  <c r="A263" i="29" l="1"/>
  <c r="A263" i="30" s="1"/>
  <c r="B264" i="29"/>
  <c r="B265" i="29" l="1"/>
  <c r="A264" i="29"/>
  <c r="A264" i="30" s="1"/>
  <c r="A265" i="29" l="1"/>
  <c r="A265" i="30" s="1"/>
  <c r="B266" i="29"/>
  <c r="B267" i="29" l="1"/>
  <c r="A266" i="29"/>
  <c r="A266" i="30" s="1"/>
  <c r="B268" i="29" l="1"/>
  <c r="A267" i="29"/>
  <c r="A267" i="30" s="1"/>
  <c r="A268" i="29" l="1"/>
  <c r="A268" i="30" s="1"/>
  <c r="B269" i="29"/>
  <c r="A269" i="29" l="1"/>
  <c r="A269" i="30" s="1"/>
  <c r="B270" i="29"/>
  <c r="B271" i="29" l="1"/>
  <c r="A270" i="29"/>
  <c r="A270" i="30" s="1"/>
  <c r="A271" i="29" l="1"/>
  <c r="A271" i="30" s="1"/>
  <c r="B272" i="29"/>
  <c r="A272" i="29" l="1"/>
  <c r="A272" i="30" s="1"/>
  <c r="B273" i="29"/>
  <c r="B274" i="29" l="1"/>
  <c r="A273" i="29"/>
  <c r="A273" i="30" s="1"/>
  <c r="B275" i="29" l="1"/>
  <c r="A274" i="29"/>
  <c r="A274" i="30" s="1"/>
  <c r="A275" i="29" l="1"/>
  <c r="A275" i="30" s="1"/>
  <c r="B276" i="29"/>
  <c r="B277" i="29" l="1"/>
  <c r="A276" i="29"/>
  <c r="A276" i="30" s="1"/>
  <c r="B278" i="29" l="1"/>
  <c r="A277" i="29"/>
  <c r="A277" i="30" s="1"/>
  <c r="A278" i="29" l="1"/>
  <c r="A278" i="30" s="1"/>
  <c r="B279" i="29"/>
  <c r="B280" i="29" l="1"/>
  <c r="A279" i="29"/>
  <c r="A279" i="30" s="1"/>
  <c r="B281" i="29" l="1"/>
  <c r="A280" i="29"/>
  <c r="A280" i="30" s="1"/>
  <c r="B282" i="29" l="1"/>
  <c r="A281" i="29"/>
  <c r="A281" i="30" s="1"/>
  <c r="B283" i="29" l="1"/>
  <c r="A282" i="29"/>
  <c r="A282" i="30" s="1"/>
  <c r="A283" i="29" l="1"/>
  <c r="A283" i="30" s="1"/>
  <c r="B284" i="29"/>
  <c r="A284" i="29" l="1"/>
  <c r="A284" i="30" s="1"/>
  <c r="B285" i="29"/>
  <c r="B286" i="29" l="1"/>
  <c r="A285" i="29"/>
  <c r="A285" i="30" s="1"/>
  <c r="A286" i="29" l="1"/>
  <c r="A286" i="30" s="1"/>
  <c r="B287" i="29"/>
  <c r="A287" i="29" l="1"/>
  <c r="A287" i="30" s="1"/>
  <c r="B288" i="29"/>
  <c r="B289" i="29" l="1"/>
  <c r="A288" i="29"/>
  <c r="A288" i="30" s="1"/>
  <c r="A289" i="29" l="1"/>
  <c r="A289" i="30" s="1"/>
  <c r="B290" i="29"/>
  <c r="A290" i="29" l="1"/>
  <c r="A290" i="30" s="1"/>
  <c r="B291" i="29"/>
  <c r="B292" i="29" l="1"/>
  <c r="A291" i="29"/>
  <c r="A291" i="30" s="1"/>
  <c r="B293" i="29" l="1"/>
  <c r="A292" i="29"/>
  <c r="A292" i="30" s="1"/>
  <c r="B294" i="29" l="1"/>
  <c r="A293" i="29"/>
  <c r="A293" i="30" s="1"/>
  <c r="B295" i="29" l="1"/>
  <c r="A294" i="29"/>
  <c r="A294" i="30" s="1"/>
  <c r="B296" i="29" l="1"/>
  <c r="A295" i="29"/>
  <c r="A295" i="30" s="1"/>
  <c r="A296" i="29" l="1"/>
  <c r="A296" i="30" s="1"/>
  <c r="B297" i="29"/>
  <c r="A297" i="29" l="1"/>
  <c r="A297" i="30" s="1"/>
  <c r="B298" i="29"/>
  <c r="B299" i="29" l="1"/>
  <c r="A298" i="29"/>
  <c r="A298" i="30" s="1"/>
  <c r="A299" i="29" l="1"/>
  <c r="A299" i="30" s="1"/>
  <c r="B300" i="29"/>
  <c r="A300" i="29" l="1"/>
  <c r="A300" i="30" s="1"/>
  <c r="B301" i="29"/>
  <c r="B302" i="29" l="1"/>
  <c r="A301" i="29"/>
  <c r="A301" i="30" s="1"/>
  <c r="A302" i="29" l="1"/>
  <c r="A302" i="30" s="1"/>
  <c r="B303" i="29"/>
  <c r="A303" i="29" l="1"/>
  <c r="A303" i="30" s="1"/>
  <c r="B304" i="29"/>
  <c r="B305" i="29" l="1"/>
  <c r="A304" i="29"/>
  <c r="A304" i="30" s="1"/>
  <c r="A305" i="29" l="1"/>
  <c r="A305" i="30" s="1"/>
  <c r="B306" i="29"/>
  <c r="A306" i="29" l="1"/>
  <c r="A306" i="30" s="1"/>
  <c r="B307" i="29"/>
  <c r="A307" i="29" l="1"/>
  <c r="A307" i="30" s="1"/>
  <c r="B308" i="29"/>
  <c r="A308" i="29" l="1"/>
  <c r="A308" i="30" s="1"/>
  <c r="B309" i="29"/>
  <c r="A309" i="29" l="1"/>
  <c r="A309" i="30" s="1"/>
  <c r="B310" i="29"/>
  <c r="A310" i="29" l="1"/>
  <c r="A310" i="30" s="1"/>
  <c r="B311" i="29"/>
  <c r="A311" i="29" l="1"/>
  <c r="A311" i="30" s="1"/>
  <c r="B312" i="29"/>
  <c r="A312" i="29" l="1"/>
  <c r="A312" i="30" s="1"/>
  <c r="B313" i="29"/>
  <c r="A313" i="29" l="1"/>
  <c r="A313" i="30" s="1"/>
  <c r="B314" i="29"/>
  <c r="B315" i="29" l="1"/>
  <c r="A314" i="29"/>
  <c r="A314" i="30" s="1"/>
  <c r="B316" i="29" l="1"/>
  <c r="A315" i="29"/>
  <c r="A315" i="30" s="1"/>
  <c r="A316" i="29" l="1"/>
  <c r="A316" i="30" s="1"/>
  <c r="B317" i="29"/>
  <c r="B318" i="29" l="1"/>
  <c r="A317" i="29"/>
  <c r="A317" i="30" s="1"/>
  <c r="A318" i="29" l="1"/>
  <c r="A318" i="30" s="1"/>
  <c r="B319" i="29"/>
  <c r="B320" i="29" l="1"/>
  <c r="A319" i="29"/>
  <c r="A319" i="30" s="1"/>
  <c r="B321" i="29" l="1"/>
  <c r="A320" i="29"/>
  <c r="A320" i="30" s="1"/>
  <c r="B322" i="29" l="1"/>
  <c r="A321" i="29"/>
  <c r="A321" i="30" s="1"/>
  <c r="B323" i="29" l="1"/>
  <c r="A322" i="29"/>
  <c r="A322" i="30" s="1"/>
  <c r="B324" i="29" l="1"/>
  <c r="A323" i="29"/>
  <c r="A323" i="30" s="1"/>
  <c r="A324" i="29" l="1"/>
  <c r="A324" i="30" s="1"/>
  <c r="B325" i="29"/>
  <c r="B326" i="29" l="1"/>
  <c r="A325" i="29"/>
  <c r="A325" i="30" s="1"/>
  <c r="B327" i="29" l="1"/>
  <c r="A326" i="29"/>
  <c r="A326" i="30" s="1"/>
  <c r="B328" i="29" l="1"/>
  <c r="A327" i="29"/>
  <c r="A327" i="30" s="1"/>
  <c r="B329" i="29" l="1"/>
  <c r="A328" i="29"/>
  <c r="A328" i="30" s="1"/>
  <c r="B330" i="29" l="1"/>
  <c r="A329" i="29"/>
  <c r="A329" i="30" s="1"/>
  <c r="A330" i="29" l="1"/>
  <c r="A330" i="30" s="1"/>
  <c r="B331" i="29"/>
  <c r="B332" i="29" l="1"/>
  <c r="A331" i="29"/>
  <c r="A331" i="30" s="1"/>
  <c r="A332" i="29" l="1"/>
  <c r="A332" i="30" s="1"/>
  <c r="B333" i="29"/>
  <c r="B334" i="29" l="1"/>
  <c r="A333" i="29"/>
  <c r="A333" i="30" s="1"/>
  <c r="A334" i="29" l="1"/>
  <c r="A334" i="30" s="1"/>
  <c r="B335" i="29"/>
  <c r="B336" i="29" l="1"/>
  <c r="A335" i="29"/>
  <c r="A335" i="30" s="1"/>
  <c r="A336" i="29" l="1"/>
  <c r="A336" i="30" s="1"/>
  <c r="B337" i="29"/>
  <c r="B338" i="29" l="1"/>
  <c r="A337" i="29"/>
  <c r="A337" i="30" s="1"/>
  <c r="B339" i="29" l="1"/>
  <c r="A338" i="29"/>
  <c r="A338" i="30" s="1"/>
  <c r="B340" i="29" l="1"/>
  <c r="A339" i="29"/>
  <c r="A339" i="30" s="1"/>
  <c r="A340" i="29" l="1"/>
  <c r="A340" i="30" s="1"/>
  <c r="B341" i="29"/>
  <c r="B342" i="29" l="1"/>
  <c r="A341" i="29"/>
  <c r="A341" i="30" s="1"/>
  <c r="B343" i="29" l="1"/>
  <c r="A342" i="29"/>
  <c r="A342" i="30" s="1"/>
  <c r="B344" i="29" l="1"/>
  <c r="A343" i="29"/>
  <c r="A343" i="30" s="1"/>
  <c r="B345" i="29" l="1"/>
  <c r="A344" i="29"/>
  <c r="A344" i="30" s="1"/>
  <c r="B346" i="29" l="1"/>
  <c r="A345" i="29"/>
  <c r="A345" i="30" s="1"/>
  <c r="A346" i="29" l="1"/>
  <c r="A346" i="30" s="1"/>
  <c r="B347" i="29"/>
  <c r="B348" i="29" l="1"/>
  <c r="A347" i="29"/>
  <c r="A347" i="30" s="1"/>
  <c r="A348" i="29" l="1"/>
  <c r="A348" i="30" s="1"/>
  <c r="B349" i="29"/>
  <c r="B350" i="29" l="1"/>
  <c r="A349" i="29"/>
  <c r="A349" i="30" s="1"/>
  <c r="B351" i="29" l="1"/>
  <c r="A350" i="29"/>
  <c r="A350" i="30" s="1"/>
  <c r="B352" i="29" l="1"/>
  <c r="A351" i="29"/>
  <c r="A351" i="30" s="1"/>
  <c r="A352" i="29" l="1"/>
  <c r="A352" i="30" s="1"/>
  <c r="B353" i="29"/>
  <c r="B354" i="29" l="1"/>
  <c r="A353" i="29"/>
  <c r="A353" i="30" s="1"/>
  <c r="B355" i="29" l="1"/>
  <c r="A354" i="29"/>
  <c r="A354" i="30" s="1"/>
  <c r="B356" i="29" l="1"/>
  <c r="A355" i="29"/>
  <c r="A355" i="30" s="1"/>
  <c r="A356" i="29" l="1"/>
  <c r="A356" i="30" s="1"/>
  <c r="B357" i="29"/>
  <c r="B358" i="29" l="1"/>
  <c r="A357" i="29"/>
  <c r="A357" i="30" s="1"/>
  <c r="B359" i="29" l="1"/>
  <c r="A358" i="29"/>
  <c r="A358" i="30" s="1"/>
  <c r="B360" i="29" l="1"/>
  <c r="A359" i="29"/>
  <c r="A359" i="30" s="1"/>
  <c r="B361" i="29" l="1"/>
  <c r="A360" i="29"/>
  <c r="A360" i="30" s="1"/>
  <c r="B362" i="29" l="1"/>
  <c r="A361" i="29"/>
  <c r="A361" i="30" s="1"/>
  <c r="A362" i="29" l="1"/>
  <c r="A362" i="30" s="1"/>
  <c r="B363" i="29"/>
  <c r="B364" i="29" l="1"/>
  <c r="A363" i="29"/>
  <c r="A363" i="30" s="1"/>
  <c r="B365" i="29" l="1"/>
  <c r="A364" i="29"/>
  <c r="A364" i="30" s="1"/>
  <c r="B366" i="29" l="1"/>
  <c r="A365" i="29"/>
  <c r="A365" i="30" s="1"/>
  <c r="B367" i="29" l="1"/>
  <c r="A366" i="29"/>
  <c r="A366" i="30" s="1"/>
  <c r="B368" i="29" l="1"/>
  <c r="A367" i="29"/>
  <c r="A367" i="30" s="1"/>
  <c r="A368" i="29" l="1"/>
  <c r="A368" i="30" s="1"/>
  <c r="B369" i="29"/>
  <c r="B370" i="29" l="1"/>
  <c r="A369" i="29"/>
  <c r="A369" i="30" s="1"/>
  <c r="B371" i="29" l="1"/>
  <c r="A371" i="29" s="1"/>
  <c r="A371" i="30" s="1"/>
  <c r="A370" i="29"/>
  <c r="A370" i="30" s="1"/>
  <c r="M46" i="30" l="1"/>
  <c r="M102" i="30"/>
  <c r="M22" i="30"/>
  <c r="M54" i="30"/>
  <c r="M23" i="30"/>
  <c r="M30" i="30"/>
  <c r="M38" i="30"/>
  <c r="M78" i="30"/>
  <c r="M33" i="30"/>
  <c r="M87" i="30"/>
  <c r="M190" i="30"/>
  <c r="M254" i="30"/>
  <c r="M318" i="30"/>
  <c r="M51" i="30"/>
  <c r="M52" i="30"/>
  <c r="M364" i="30"/>
  <c r="M79" i="30"/>
  <c r="M107" i="30"/>
  <c r="M25" i="30"/>
  <c r="M89" i="30"/>
  <c r="M217" i="30"/>
  <c r="M281" i="30"/>
  <c r="M345" i="30"/>
  <c r="M171" i="30"/>
  <c r="M172" i="30"/>
  <c r="M50" i="30"/>
  <c r="M291" i="30"/>
  <c r="M61" i="30"/>
  <c r="M189" i="30"/>
  <c r="M253" i="30"/>
  <c r="M317" i="30"/>
  <c r="M227" i="30"/>
  <c r="M134" i="30"/>
  <c r="M143" i="30"/>
  <c r="M161" i="30"/>
  <c r="M188" i="30"/>
  <c r="M197" i="30"/>
  <c r="M198" i="30"/>
  <c r="M207" i="30"/>
  <c r="M225" i="30"/>
  <c r="M261" i="30"/>
  <c r="M262" i="30"/>
  <c r="M271" i="30"/>
  <c r="M289" i="30"/>
  <c r="M325" i="30"/>
  <c r="M326" i="30"/>
  <c r="M335" i="30"/>
  <c r="M353" i="30"/>
  <c r="M116" i="30"/>
  <c r="M31" i="30"/>
  <c r="M300" i="30"/>
  <c r="M64" i="30"/>
  <c r="M66" i="30"/>
  <c r="M114" i="30"/>
  <c r="M141" i="30"/>
  <c r="M142" i="30"/>
  <c r="M169" i="30"/>
  <c r="M178" i="30"/>
  <c r="M187" i="30"/>
  <c r="M196" i="30"/>
  <c r="M205" i="30"/>
  <c r="M206" i="30"/>
  <c r="M215" i="30"/>
  <c r="M233" i="30"/>
  <c r="M242" i="30"/>
  <c r="M260" i="30"/>
  <c r="M269" i="30"/>
  <c r="M270" i="30"/>
  <c r="M279" i="30"/>
  <c r="M297" i="30"/>
  <c r="M306" i="30"/>
  <c r="M333" i="30"/>
  <c r="M334" i="30"/>
  <c r="M343" i="30"/>
  <c r="M361" i="30"/>
  <c r="M163" i="30"/>
  <c r="M39" i="30"/>
  <c r="M103" i="30"/>
  <c r="M251" i="30"/>
  <c r="M72" i="30"/>
  <c r="M136" i="30"/>
  <c r="M200" i="30"/>
  <c r="M264" i="30"/>
  <c r="M328" i="30"/>
  <c r="M180" i="30"/>
  <c r="M369" i="30"/>
  <c r="M316" i="30"/>
  <c r="M74" i="30"/>
  <c r="M59" i="30"/>
  <c r="M68" i="30"/>
  <c r="M307" i="30"/>
  <c r="M324" i="30"/>
  <c r="M58" i="30"/>
  <c r="M85" i="30"/>
  <c r="M94" i="30"/>
  <c r="M86" i="30"/>
  <c r="M95" i="30"/>
  <c r="M113" i="30"/>
  <c r="M122" i="30"/>
  <c r="M149" i="30"/>
  <c r="M150" i="30"/>
  <c r="M159" i="30"/>
  <c r="M177" i="30"/>
  <c r="M186" i="30"/>
  <c r="M213" i="30"/>
  <c r="M214" i="30"/>
  <c r="M223" i="30"/>
  <c r="M241" i="30"/>
  <c r="M250" i="30"/>
  <c r="M268" i="30"/>
  <c r="M277" i="30"/>
  <c r="M278" i="30"/>
  <c r="M287" i="30"/>
  <c r="M305" i="30"/>
  <c r="M314" i="30"/>
  <c r="M332" i="30"/>
  <c r="M341" i="30"/>
  <c r="M342" i="30"/>
  <c r="M351" i="30"/>
  <c r="M195" i="30"/>
  <c r="M47" i="30"/>
  <c r="M367" i="30"/>
  <c r="M323" i="30"/>
  <c r="M80" i="30"/>
  <c r="M144" i="30"/>
  <c r="M208" i="30"/>
  <c r="M272" i="30"/>
  <c r="M336" i="30"/>
  <c r="M236" i="30"/>
  <c r="M57" i="30"/>
  <c r="M368" i="30"/>
  <c r="M44" i="30"/>
  <c r="M82" i="30"/>
  <c r="M124" i="30"/>
  <c r="M93" i="30"/>
  <c r="M355" i="30"/>
  <c r="M370" i="30"/>
  <c r="M121" i="30"/>
  <c r="M130" i="30"/>
  <c r="M157" i="30"/>
  <c r="M158" i="30"/>
  <c r="M167" i="30"/>
  <c r="M176" i="30"/>
  <c r="M185" i="30"/>
  <c r="M194" i="30"/>
  <c r="M203" i="30"/>
  <c r="M221" i="30"/>
  <c r="M222" i="30"/>
  <c r="M231" i="30"/>
  <c r="M240" i="30"/>
  <c r="M249" i="30"/>
  <c r="M258" i="30"/>
  <c r="M276" i="30"/>
  <c r="M285" i="30"/>
  <c r="M286" i="30"/>
  <c r="M295" i="30"/>
  <c r="M304" i="30"/>
  <c r="M313" i="30"/>
  <c r="M322" i="30"/>
  <c r="M331" i="30"/>
  <c r="M340" i="30"/>
  <c r="M349" i="30"/>
  <c r="M350" i="30"/>
  <c r="M359" i="30"/>
  <c r="M235" i="30"/>
  <c r="M204" i="30"/>
  <c r="M363" i="30"/>
  <c r="M24" i="30"/>
  <c r="M88" i="30"/>
  <c r="M216" i="30"/>
  <c r="M280" i="30"/>
  <c r="M344" i="30"/>
  <c r="M65" i="30"/>
  <c r="M60" i="30"/>
  <c r="M26" i="30"/>
  <c r="M218" i="30"/>
  <c r="M282" i="30"/>
  <c r="M346" i="30"/>
  <c r="M37" i="30"/>
  <c r="M101" i="30"/>
  <c r="M36" i="30"/>
  <c r="M371" i="30"/>
  <c r="M120" i="30"/>
  <c r="M129" i="30"/>
  <c r="M138" i="30"/>
  <c r="M156" i="30"/>
  <c r="M165" i="30"/>
  <c r="M166" i="30"/>
  <c r="M175" i="30"/>
  <c r="M184" i="30"/>
  <c r="M193" i="30"/>
  <c r="M202" i="30"/>
  <c r="M211" i="30"/>
  <c r="M220" i="30"/>
  <c r="M229" i="30"/>
  <c r="M230" i="30"/>
  <c r="M239" i="30"/>
  <c r="M248" i="30"/>
  <c r="M257" i="30"/>
  <c r="M266" i="30"/>
  <c r="M275" i="30"/>
  <c r="M284" i="30"/>
  <c r="M293" i="30"/>
  <c r="M294" i="30"/>
  <c r="M303" i="30"/>
  <c r="M312" i="30"/>
  <c r="M321" i="30"/>
  <c r="M330" i="30"/>
  <c r="M339" i="30"/>
  <c r="M357" i="30"/>
  <c r="M366" i="30"/>
  <c r="M358" i="30"/>
  <c r="M267" i="30"/>
  <c r="M252" i="30"/>
  <c r="M127" i="30"/>
  <c r="M191" i="30"/>
  <c r="M255" i="30"/>
  <c r="M319" i="30"/>
  <c r="M43" i="30"/>
  <c r="M32" i="30"/>
  <c r="M96" i="30"/>
  <c r="M160" i="30"/>
  <c r="M224" i="30"/>
  <c r="M288" i="30"/>
  <c r="M352" i="30"/>
  <c r="M259" i="30"/>
  <c r="M348" i="30"/>
  <c r="M73" i="30"/>
  <c r="M75" i="30"/>
  <c r="M108" i="30"/>
  <c r="M162" i="30"/>
  <c r="M226" i="30"/>
  <c r="M290" i="30"/>
  <c r="M354" i="30"/>
  <c r="M179" i="30"/>
  <c r="M212" i="30"/>
  <c r="M45" i="30"/>
  <c r="M100" i="30"/>
  <c r="M109" i="30"/>
  <c r="M110" i="30"/>
  <c r="M128" i="30"/>
  <c r="M137" i="30"/>
  <c r="M155" i="30"/>
  <c r="M164" i="30"/>
  <c r="M173" i="30"/>
  <c r="M182" i="30"/>
  <c r="M174" i="30"/>
  <c r="M183" i="30"/>
  <c r="M192" i="30"/>
  <c r="M201" i="30"/>
  <c r="M210" i="30"/>
  <c r="M219" i="30"/>
  <c r="M228" i="30"/>
  <c r="M237" i="30"/>
  <c r="M246" i="30"/>
  <c r="M238" i="30"/>
  <c r="M247" i="30"/>
  <c r="M256" i="30"/>
  <c r="M265" i="30"/>
  <c r="M274" i="30"/>
  <c r="M283" i="30"/>
  <c r="M292" i="30"/>
  <c r="M301" i="30"/>
  <c r="M310" i="30"/>
  <c r="M302" i="30"/>
  <c r="M311" i="30"/>
  <c r="M320" i="30"/>
  <c r="M329" i="30"/>
  <c r="M338" i="30"/>
  <c r="M347" i="30"/>
  <c r="M356" i="30"/>
  <c r="M365" i="30"/>
  <c r="M315" i="30"/>
  <c r="M308" i="30"/>
  <c r="M71" i="30"/>
  <c r="M135" i="30"/>
  <c r="M199" i="30"/>
  <c r="M263" i="30"/>
  <c r="M327" i="30"/>
  <c r="M67" i="30"/>
  <c r="M168" i="30"/>
  <c r="M232" i="30"/>
  <c r="M296" i="30"/>
  <c r="M360" i="30"/>
  <c r="M299" i="30"/>
  <c r="M81" i="30"/>
  <c r="M145" i="30"/>
  <c r="M209" i="30"/>
  <c r="M273" i="30"/>
  <c r="M337" i="30"/>
  <c r="M115" i="30"/>
  <c r="M106" i="30"/>
  <c r="M170" i="30"/>
  <c r="M234" i="30"/>
  <c r="M298" i="30"/>
  <c r="M362" i="30"/>
  <c r="M243" i="30"/>
  <c r="M244" i="30"/>
  <c r="M53" i="30"/>
  <c r="M181" i="30"/>
  <c r="M245" i="30"/>
  <c r="M309" i="30"/>
  <c r="M123" i="30"/>
  <c r="M148" i="30"/>
  <c r="N148" i="30" s="1"/>
  <c r="N157" i="30" l="1"/>
  <c r="O157" i="30" s="1"/>
  <c r="N156" i="30"/>
  <c r="O156" i="30" s="1"/>
  <c r="O155" i="30"/>
  <c r="N155" i="30"/>
  <c r="N149" i="30"/>
  <c r="O149" i="30" s="1"/>
  <c r="N150" i="30"/>
  <c r="O150" i="30" s="1"/>
  <c r="N151" i="30"/>
  <c r="O151" i="30" s="1"/>
  <c r="N144" i="30"/>
  <c r="O144" i="30" s="1"/>
  <c r="N143" i="30"/>
  <c r="O143" i="30" s="1"/>
  <c r="N145" i="30"/>
  <c r="O145" i="30" s="1"/>
  <c r="O148" i="30"/>
  <c r="N141" i="30"/>
  <c r="O141" i="30"/>
  <c r="N142" i="30"/>
  <c r="O142" i="30" s="1"/>
  <c r="N137" i="30"/>
  <c r="N138" i="30"/>
  <c r="N136" i="30"/>
  <c r="O134" i="30"/>
  <c r="N134" i="30"/>
  <c r="O124" i="30"/>
  <c r="O127" i="30"/>
  <c r="N127" i="30"/>
  <c r="N124" i="30"/>
  <c r="O38" i="30"/>
  <c r="O46" i="30"/>
  <c r="O106" i="30"/>
  <c r="N116" i="30"/>
  <c r="O120" i="30"/>
  <c r="N120" i="30"/>
  <c r="N113" i="30"/>
  <c r="O113" i="30"/>
  <c r="N106" i="30"/>
  <c r="N103" i="30"/>
  <c r="O66" i="30"/>
  <c r="O33" i="30"/>
  <c r="O68" i="30"/>
  <c r="O99" i="30"/>
  <c r="N99" i="30"/>
  <c r="O138" i="30"/>
  <c r="O89" i="30"/>
  <c r="O43" i="30"/>
  <c r="O93" i="30"/>
  <c r="N93" i="30"/>
  <c r="O136" i="30"/>
  <c r="O107" i="30"/>
  <c r="O74" i="30"/>
  <c r="O61" i="30"/>
  <c r="O82" i="30"/>
  <c r="O116" i="30"/>
  <c r="O59" i="30"/>
  <c r="O87" i="30"/>
  <c r="O88" i="30"/>
  <c r="O86" i="30"/>
  <c r="O85" i="30"/>
  <c r="O80" i="30"/>
  <c r="O79" i="30"/>
  <c r="O78" i="30"/>
  <c r="O81" i="30"/>
  <c r="O72" i="30"/>
  <c r="O71" i="30"/>
  <c r="O75" i="30"/>
  <c r="O73" i="30"/>
  <c r="O64" i="30"/>
  <c r="O65" i="30"/>
  <c r="O67" i="30"/>
  <c r="O58" i="30"/>
  <c r="O57" i="30"/>
  <c r="O60" i="30"/>
  <c r="O37" i="30"/>
  <c r="O36" i="30"/>
  <c r="O39" i="30"/>
  <c r="O44" i="30"/>
  <c r="O45" i="30"/>
  <c r="O50" i="30"/>
  <c r="O47" i="30"/>
  <c r="O121" i="30"/>
  <c r="O51" i="30"/>
  <c r="O130" i="30"/>
  <c r="O94" i="30"/>
  <c r="O114" i="30"/>
  <c r="O30" i="30"/>
  <c r="O25" i="30"/>
  <c r="O24" i="30"/>
  <c r="O26" i="30"/>
  <c r="O110" i="30"/>
  <c r="O122" i="30"/>
  <c r="N54" i="30"/>
  <c r="O54" i="30"/>
  <c r="N129" i="30"/>
  <c r="O129" i="30"/>
  <c r="O109" i="30"/>
  <c r="O123" i="30"/>
  <c r="O108" i="30"/>
  <c r="O96" i="30"/>
  <c r="O115" i="30"/>
  <c r="O32" i="30"/>
  <c r="O100" i="30"/>
  <c r="O95" i="30"/>
  <c r="O135" i="30"/>
  <c r="O53" i="30"/>
  <c r="O23" i="30"/>
  <c r="N101" i="30"/>
  <c r="O101" i="30"/>
  <c r="N102" i="30"/>
  <c r="O102" i="30"/>
  <c r="N30" i="30"/>
  <c r="O137" i="30"/>
  <c r="O52" i="30"/>
  <c r="O103" i="30"/>
  <c r="N38" i="30"/>
  <c r="N46" i="30"/>
  <c r="O128" i="30"/>
  <c r="O31" i="30"/>
  <c r="N85" i="30"/>
  <c r="N82" i="30"/>
  <c r="N78" i="30"/>
  <c r="N107" i="30"/>
  <c r="N74" i="30"/>
  <c r="N58" i="30"/>
  <c r="N23" i="30"/>
  <c r="N25" i="30"/>
  <c r="N44" i="30"/>
  <c r="N66" i="30"/>
  <c r="N33" i="30"/>
  <c r="N72" i="30"/>
  <c r="N71" i="30"/>
  <c r="N89" i="30"/>
  <c r="N64" i="30"/>
  <c r="N122" i="30"/>
  <c r="N68" i="30"/>
  <c r="N121" i="30"/>
  <c r="N96" i="30"/>
  <c r="N86" i="30"/>
  <c r="N59" i="30"/>
  <c r="N51" i="30"/>
  <c r="N61" i="30"/>
  <c r="N80" i="30"/>
  <c r="N87" i="30"/>
  <c r="N130" i="30"/>
  <c r="N94" i="30"/>
  <c r="N37" i="30"/>
  <c r="N52" i="30"/>
  <c r="N50" i="30"/>
  <c r="N32" i="30"/>
  <c r="N36" i="30"/>
  <c r="N57" i="30"/>
  <c r="N110" i="30"/>
  <c r="N100" i="30"/>
  <c r="N95" i="30"/>
  <c r="N60" i="30"/>
  <c r="N135" i="30"/>
  <c r="N53" i="30"/>
  <c r="N75" i="30"/>
  <c r="N79" i="30"/>
  <c r="N45" i="30"/>
  <c r="N81" i="30"/>
  <c r="N73" i="30"/>
  <c r="N67" i="30"/>
  <c r="N39" i="30"/>
  <c r="N115" i="30"/>
  <c r="N128" i="30"/>
  <c r="N26" i="30"/>
  <c r="N31" i="30"/>
  <c r="N47" i="30"/>
  <c r="N109" i="30"/>
  <c r="N123" i="30"/>
  <c r="N114" i="30"/>
  <c r="N43" i="30"/>
  <c r="N65" i="30"/>
  <c r="N108" i="30"/>
  <c r="N88" i="30"/>
  <c r="N24" i="30"/>
  <c r="P371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Hyland</author>
  </authors>
  <commentList>
    <comment ref="K3" authorId="0" shapeId="0" xr:uid="{41D8AFF5-597D-4199-9C89-2168F163E438}">
      <text>
        <r>
          <rPr>
            <b/>
            <sz val="9"/>
            <color indexed="81"/>
            <rFont val="Tahoma"/>
            <family val="2"/>
          </rPr>
          <t>Michael Hyland:</t>
        </r>
        <r>
          <rPr>
            <sz val="9"/>
            <color indexed="81"/>
            <rFont val="Tahoma"/>
            <family val="2"/>
          </rPr>
          <t xml:space="preserve">
until 07/31/26 then 0.20%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Hyland</author>
  </authors>
  <commentList>
    <comment ref="K3" authorId="0" shapeId="0" xr:uid="{FCE6B054-CD9E-41B3-A95F-2342DCC0833E}">
      <text>
        <r>
          <rPr>
            <b/>
            <sz val="9"/>
            <color indexed="81"/>
            <rFont val="Tahoma"/>
            <family val="2"/>
          </rPr>
          <t>Michael Hyland:</t>
        </r>
        <r>
          <rPr>
            <sz val="9"/>
            <color indexed="81"/>
            <rFont val="Tahoma"/>
            <family val="2"/>
          </rPr>
          <t xml:space="preserve">
until 07/31/26 then 0.20%</t>
        </r>
      </text>
    </comment>
  </commentList>
</comments>
</file>

<file path=xl/sharedStrings.xml><?xml version="1.0" encoding="utf-8"?>
<sst xmlns="http://schemas.openxmlformats.org/spreadsheetml/2006/main" count="247" uniqueCount="98">
  <si>
    <t>NET ASSETS</t>
  </si>
  <si>
    <t>SHS/BTC</t>
  </si>
  <si>
    <t>ADJ SHS/BTC</t>
  </si>
  <si>
    <t>https://www.ishares.com/us/products/333011/ishares-bitcoin-trust-etf</t>
  </si>
  <si>
    <t>https://www.21shares.com/en-us/product/arkb</t>
  </si>
  <si>
    <t>https://bitbetf.com</t>
  </si>
  <si>
    <t>DATE</t>
  </si>
  <si>
    <t>BITCOIN IN TRUST</t>
  </si>
  <si>
    <t>NET ASSETS (AUM)</t>
  </si>
  <si>
    <t>SHARES OUTSTANDING</t>
  </si>
  <si>
    <t>BITCOIN PER SHARE</t>
  </si>
  <si>
    <t>https://etfs.grayscale.com/gbtc</t>
  </si>
  <si>
    <t>TOTAL BITCOIN IN TRUST</t>
  </si>
  <si>
    <t>XBX</t>
  </si>
  <si>
    <t>Bitcoin ETF | BRRR | CoinShares Valkyrie ETF</t>
  </si>
  <si>
    <t>https://www.franklintempleton.com/investments/options/exchange-traded-funds/products/39639/SINGLCLASS/franklin-bitcoin-etf/EZBC</t>
  </si>
  <si>
    <t>BITCOIN IN FUND</t>
  </si>
  <si>
    <t>NET CURRENT ASSETS</t>
  </si>
  <si>
    <t>BTCW - Bitcoin ETF | WisdomTree</t>
  </si>
  <si>
    <t>TOTAL ASSETS</t>
  </si>
  <si>
    <t>HODL ETF – VanEck Bitcoin ETF | Holdings &amp; Performance | VanEck</t>
  </si>
  <si>
    <t>ARKB</t>
  </si>
  <si>
    <t>BITB</t>
  </si>
  <si>
    <t>BRRR</t>
  </si>
  <si>
    <t>BTCW</t>
  </si>
  <si>
    <t>EZBC</t>
  </si>
  <si>
    <t>FBTC</t>
  </si>
  <si>
    <t>GBTC</t>
  </si>
  <si>
    <t>HODL</t>
  </si>
  <si>
    <t>IBIT</t>
  </si>
  <si>
    <t>Date</t>
  </si>
  <si>
    <t>BTC</t>
  </si>
  <si>
    <t>Bitcoin ETF Fees Comparison - MooLoo</t>
  </si>
  <si>
    <t>https://etfs.grayscale.com/btc</t>
  </si>
  <si>
    <t>BRRNY</t>
  </si>
  <si>
    <t>MarketVector</t>
  </si>
  <si>
    <t>Index</t>
  </si>
  <si>
    <t>Fidelity</t>
  </si>
  <si>
    <t>AUM</t>
  </si>
  <si>
    <t>https://digital.fidelity.com/prgw/digital/research/quote/dashboard/summary?symbol=FBTC</t>
  </si>
  <si>
    <t>COIN ENTITLEMENT</t>
  </si>
  <si>
    <t>SECUTITIES OUTSTANDING</t>
  </si>
  <si>
    <t>DOW</t>
  </si>
  <si>
    <t>Sunday</t>
  </si>
  <si>
    <t>Monday</t>
  </si>
  <si>
    <t>Tuesday</t>
  </si>
  <si>
    <t>Wednesday</t>
  </si>
  <si>
    <t>Thursday</t>
  </si>
  <si>
    <t>Friday</t>
  </si>
  <si>
    <t>Saturday</t>
  </si>
  <si>
    <t>Number</t>
  </si>
  <si>
    <t>Day</t>
  </si>
  <si>
    <t>Annual Fee</t>
  </si>
  <si>
    <t>Daily Fee</t>
  </si>
  <si>
    <t>ConId</t>
  </si>
  <si>
    <t>TODAY'S RATIO</t>
  </si>
  <si>
    <t>REF PRICE</t>
  </si>
  <si>
    <t>ALT SHS/BTC</t>
  </si>
  <si>
    <t>DAY OF WEEK</t>
  </si>
  <si>
    <t>ROUND DOWN BTC / SH</t>
  </si>
  <si>
    <t>ROUND UP BTC/SH</t>
  </si>
  <si>
    <t>HIGH BOUND SHS/BTC</t>
  </si>
  <si>
    <t>LOW BOUND SHS/BTC</t>
  </si>
  <si>
    <t>BITCOIN SHARES</t>
  </si>
  <si>
    <t>HOLDINGS QUANTITY</t>
  </si>
  <si>
    <t>SHS/ADJ BTC</t>
  </si>
  <si>
    <t>ADJ BTC</t>
  </si>
  <si>
    <t>DIFF</t>
  </si>
  <si>
    <t>TODAYS SHS / YESTERDAYS BTC</t>
  </si>
  <si>
    <t>PREDICTED BIAS</t>
  </si>
  <si>
    <t>BITCOIN MARKET VALUE</t>
  </si>
  <si>
    <t>WEEKLY PATTERN</t>
  </si>
  <si>
    <t>MONTHLY PATTERN</t>
  </si>
  <si>
    <t>HOLIDAY</t>
  </si>
  <si>
    <t>Sum</t>
  </si>
  <si>
    <t>Market Bias</t>
  </si>
  <si>
    <t>ONE DAY AHEAD</t>
  </si>
  <si>
    <t>CASH AND OTHER</t>
  </si>
  <si>
    <r>
      <t>BTCO</t>
    </r>
    <r>
      <rPr>
        <sz val="11"/>
        <color theme="1"/>
        <rFont val="Aptos Narrow"/>
        <family val="2"/>
        <scheme val="minor"/>
      </rPr>
      <t xml:space="preserve"> — Invesco Galaxy Bitcoin ETF</t>
    </r>
  </si>
  <si>
    <t>https://www.invesco.com/us/en/financial-products/etfs/invesco-galaxy-bitcoin-etf.html</t>
  </si>
  <si>
    <t>MSBT - Morgan Stanley</t>
  </si>
  <si>
    <t>https://www.proshares.com/our-etfs/strategic/bito</t>
  </si>
  <si>
    <t>Price</t>
  </si>
  <si>
    <t>Pct Change</t>
  </si>
  <si>
    <t>Change</t>
  </si>
  <si>
    <t>Price Change</t>
  </si>
  <si>
    <t>ETH</t>
  </si>
  <si>
    <t>https://www.proshares.com/our-etfs/strategic/eeth</t>
  </si>
  <si>
    <t>MARKET BIAS</t>
  </si>
  <si>
    <t>Price % Chg</t>
  </si>
  <si>
    <t>CME 2ND</t>
  </si>
  <si>
    <t>CME 1ST</t>
  </si>
  <si>
    <t>CB 1ST</t>
  </si>
  <si>
    <t>CB 2ND</t>
  </si>
  <si>
    <t>CB TOTAL</t>
  </si>
  <si>
    <t>CME TOTAL</t>
  </si>
  <si>
    <t>EXPIRATION DAY</t>
  </si>
  <si>
    <t>FIRST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</si>
</sst>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* #,##0.0000_);_(* \(#,##0.0000\);_(* &quot;-&quot;??_);_(@_)"/>
    <numFmt numFmtId="166" formatCode="_(&quot;$&quot;* #,##0.000_);_(&quot;$&quot;* \(#,##0.000\);_(&quot;$&quot;* &quot;-&quot;??_);_(@_)"/>
    <numFmt numFmtId="167" formatCode="_(* #,##0_);_(* \(#,##0\);_(* &quot;-&quot;??_);_(@_)"/>
    <numFmt numFmtId="168" formatCode="0.0000000"/>
    <numFmt numFmtId="169" formatCode="0.00000000"/>
    <numFmt numFmtId="170" formatCode="_(* #,##0.00000000_);_(* \(#,##0.00000000\);_(* &quot;-&quot;??_);_(@_)"/>
    <numFmt numFmtId="171" formatCode="0.00000%"/>
    <numFmt numFmtId="172" formatCode="_(* #,##0.000_);_(* \(#,##0.000\);_(* &quot;-&quot;??_);_(@_)"/>
    <numFmt numFmtId="173" formatCode="_(* #,##0.0000000000_);_(* \(#,##0.0000000000\);_(* &quot;-&quot;??_);_(@_)"/>
    <numFmt numFmtId="174" formatCode="_(* #,##0.00000_);_(* \(#,##0.00000\);_(* &quot;-&quot;??_);_(@_)"/>
    <numFmt numFmtId="175" formatCode="_(&quot;$&quot;* #,##0_);_(&quot;$&quot;* \(#,##0\);_(&quot;$&quot;* &quot;-&quot;??_);_(@_)"/>
    <numFmt numFmtId="176" formatCode="#,##0.00000"/>
    <numFmt numFmtId="177" formatCode="#,##0.0000"/>
    <numFmt numFmtId="178" formatCode="_(&quot;$&quot;* #,##0.0000_);_(&quot;$&quot;* \(#,##0.0000\);_(&quot;$&quot;* &quot;-&quot;??_);_(@_)"/>
    <numFmt numFmtId="179" formatCode="_(&quot;$&quot;* #,##0.000000_);_(&quot;$&quot;* \(#,##0.000000\);_(&quot;$&quot;* &quot;-&quot;??_);_(@_)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8"/>
      <name val="Arial"/>
      <family val="2"/>
    </font>
    <font>
      <b/>
      <u/>
      <sz val="11"/>
      <color theme="1"/>
      <name val="Aptos Narrow"/>
      <family val="2"/>
      <scheme val="minor"/>
    </font>
    <font>
      <sz val="11"/>
      <color rgb="FFFF0000"/>
      <name val="Arial"/>
      <family val="2"/>
    </font>
    <font>
      <sz val="11"/>
      <color rgb="FFFF0000"/>
      <name val="Aptos Narrow"/>
      <family val="2"/>
      <scheme val="minor"/>
    </font>
    <font>
      <u/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u/>
      <sz val="12"/>
      <color theme="10"/>
      <name val="Arial"/>
      <family val="2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23232"/>
      <name val="Arial"/>
      <family val="2"/>
    </font>
    <font>
      <sz val="11"/>
      <color rgb="FF000000"/>
      <name val="Alliance_no_1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sz val="12"/>
      <color rgb="FF050139"/>
      <name val="Source Sans Pro"/>
      <family val="2"/>
    </font>
    <font>
      <sz val="11"/>
      <color rgb="FF414042"/>
      <name val="Arial"/>
      <family val="2"/>
    </font>
    <font>
      <sz val="11"/>
      <color rgb="FFC00000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rgb="FFC00000"/>
      <name val="Arial"/>
      <family val="2"/>
    </font>
    <font>
      <sz val="11"/>
      <color rgb="FF000000"/>
      <name val="Arial"/>
      <family val="2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FF0000"/>
      <name val="Alliance_no_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/>
    <xf numFmtId="168" fontId="2" fillId="0" borderId="0" xfId="0" applyNumberFormat="1" applyFont="1"/>
    <xf numFmtId="44" fontId="2" fillId="0" borderId="0" xfId="2" applyFont="1"/>
    <xf numFmtId="0" fontId="3" fillId="0" borderId="0" xfId="0" applyFont="1"/>
    <xf numFmtId="0" fontId="5" fillId="0" borderId="0" xfId="3"/>
    <xf numFmtId="169" fontId="2" fillId="0" borderId="0" xfId="0" applyNumberFormat="1" applyFont="1"/>
    <xf numFmtId="43" fontId="2" fillId="0" borderId="0" xfId="1" applyFont="1" applyFill="1"/>
    <xf numFmtId="43" fontId="2" fillId="0" borderId="0" xfId="1" applyFont="1"/>
    <xf numFmtId="3" fontId="2" fillId="0" borderId="0" xfId="0" applyNumberFormat="1" applyFont="1"/>
    <xf numFmtId="0" fontId="7" fillId="0" borderId="0" xfId="0" applyFont="1"/>
    <xf numFmtId="0" fontId="11" fillId="0" borderId="0" xfId="0" applyFont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0" fillId="0" borderId="0" xfId="0" applyFont="1"/>
    <xf numFmtId="166" fontId="10" fillId="0" borderId="0" xfId="2" applyNumberFormat="1" applyFont="1"/>
    <xf numFmtId="165" fontId="1" fillId="0" borderId="0" xfId="0" applyNumberFormat="1" applyFont="1"/>
    <xf numFmtId="0" fontId="9" fillId="0" borderId="0" xfId="0" applyFont="1" applyAlignment="1">
      <alignment horizontal="center"/>
    </xf>
    <xf numFmtId="0" fontId="13" fillId="0" borderId="0" xfId="0" applyFont="1"/>
    <xf numFmtId="167" fontId="2" fillId="0" borderId="0" xfId="1" applyNumberFormat="1" applyFont="1"/>
    <xf numFmtId="170" fontId="2" fillId="0" borderId="0" xfId="1" applyNumberFormat="1" applyFont="1"/>
    <xf numFmtId="44" fontId="16" fillId="2" borderId="0" xfId="2" applyFont="1" applyFill="1" applyAlignment="1">
      <alignment horizontal="center" wrapText="1"/>
    </xf>
    <xf numFmtId="165" fontId="16" fillId="2" borderId="0" xfId="1" applyNumberFormat="1" applyFont="1" applyFill="1" applyAlignment="1">
      <alignment horizontal="center" wrapText="1"/>
    </xf>
    <xf numFmtId="165" fontId="0" fillId="0" borderId="0" xfId="0" applyNumberFormat="1"/>
    <xf numFmtId="0" fontId="17" fillId="0" borderId="0" xfId="3" applyFont="1"/>
    <xf numFmtId="0" fontId="6" fillId="0" borderId="0" xfId="0" applyFont="1"/>
    <xf numFmtId="0" fontId="18" fillId="0" borderId="0" xfId="0" applyFont="1"/>
    <xf numFmtId="0" fontId="9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10" fontId="1" fillId="0" borderId="0" xfId="0" applyNumberFormat="1" applyFont="1"/>
    <xf numFmtId="10" fontId="1" fillId="0" borderId="0" xfId="4" applyNumberFormat="1" applyFont="1"/>
    <xf numFmtId="0" fontId="1" fillId="0" borderId="0" xfId="1" applyNumberFormat="1" applyFont="1" applyAlignment="1"/>
    <xf numFmtId="171" fontId="1" fillId="0" borderId="0" xfId="4" applyNumberFormat="1" applyFont="1"/>
    <xf numFmtId="43" fontId="1" fillId="0" borderId="0" xfId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6" fillId="3" borderId="0" xfId="1" applyNumberFormat="1" applyFont="1" applyFill="1" applyAlignment="1">
      <alignment horizontal="center" wrapText="1"/>
    </xf>
    <xf numFmtId="44" fontId="16" fillId="6" borderId="0" xfId="2" applyFont="1" applyFill="1" applyAlignment="1">
      <alignment horizontal="center" wrapText="1"/>
    </xf>
    <xf numFmtId="173" fontId="2" fillId="0" borderId="0" xfId="1" applyNumberFormat="1" applyFont="1"/>
    <xf numFmtId="44" fontId="2" fillId="0" borderId="0" xfId="2" applyFont="1" applyAlignment="1">
      <alignment wrapText="1"/>
    </xf>
    <xf numFmtId="0" fontId="9" fillId="0" borderId="0" xfId="0" applyFont="1" applyAlignment="1">
      <alignment wrapText="1"/>
    </xf>
    <xf numFmtId="164" fontId="9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165" fontId="16" fillId="5" borderId="0" xfId="1" applyNumberFormat="1" applyFont="1" applyFill="1" applyAlignment="1">
      <alignment horizontal="center" wrapText="1"/>
    </xf>
    <xf numFmtId="0" fontId="12" fillId="0" borderId="0" xfId="3" applyFont="1" applyAlignment="1">
      <alignment horizontal="left"/>
    </xf>
    <xf numFmtId="3" fontId="21" fillId="0" borderId="0" xfId="0" applyNumberFormat="1" applyFont="1"/>
    <xf numFmtId="44" fontId="16" fillId="7" borderId="0" xfId="2" applyFont="1" applyFill="1" applyAlignment="1">
      <alignment horizontal="center" wrapText="1"/>
    </xf>
    <xf numFmtId="43" fontId="1" fillId="0" borderId="0" xfId="0" applyNumberFormat="1" applyFont="1"/>
    <xf numFmtId="169" fontId="2" fillId="0" borderId="0" xfId="0" applyNumberFormat="1" applyFont="1" applyAlignment="1">
      <alignment wrapText="1"/>
    </xf>
    <xf numFmtId="174" fontId="2" fillId="0" borderId="0" xfId="0" applyNumberFormat="1" applyFont="1"/>
    <xf numFmtId="174" fontId="2" fillId="0" borderId="0" xfId="1" applyNumberFormat="1" applyFont="1"/>
    <xf numFmtId="174" fontId="16" fillId="5" borderId="0" xfId="1" applyNumberFormat="1" applyFont="1" applyFill="1" applyAlignment="1">
      <alignment horizontal="center" wrapText="1"/>
    </xf>
    <xf numFmtId="174" fontId="8" fillId="0" borderId="0" xfId="1" applyNumberFormat="1" applyFont="1"/>
    <xf numFmtId="165" fontId="2" fillId="0" borderId="0" xfId="1" applyNumberFormat="1" applyFont="1"/>
    <xf numFmtId="164" fontId="14" fillId="0" borderId="0" xfId="0" applyNumberFormat="1" applyFont="1"/>
    <xf numFmtId="167" fontId="3" fillId="0" borderId="0" xfId="1" applyNumberFormat="1" applyFont="1"/>
    <xf numFmtId="4" fontId="22" fillId="0" borderId="0" xfId="0" applyNumberFormat="1" applyFont="1"/>
    <xf numFmtId="44" fontId="2" fillId="0" borderId="0" xfId="2" quotePrefix="1" applyFont="1"/>
    <xf numFmtId="172" fontId="2" fillId="0" borderId="0" xfId="1" applyNumberFormat="1" applyFont="1"/>
    <xf numFmtId="172" fontId="2" fillId="0" borderId="0" xfId="0" applyNumberFormat="1" applyFont="1"/>
    <xf numFmtId="43" fontId="13" fillId="0" borderId="0" xfId="1" applyFont="1"/>
    <xf numFmtId="175" fontId="2" fillId="0" borderId="0" xfId="0" applyNumberFormat="1" applyFont="1"/>
    <xf numFmtId="175" fontId="16" fillId="2" borderId="0" xfId="2" applyNumberFormat="1" applyFont="1" applyFill="1" applyAlignment="1">
      <alignment horizontal="center" wrapText="1"/>
    </xf>
    <xf numFmtId="175" fontId="2" fillId="0" borderId="0" xfId="2" applyNumberFormat="1" applyFont="1"/>
    <xf numFmtId="175" fontId="2" fillId="0" borderId="0" xfId="2" applyNumberFormat="1" applyFont="1" applyAlignment="1">
      <alignment wrapText="1"/>
    </xf>
    <xf numFmtId="176" fontId="6" fillId="0" borderId="0" xfId="0" applyNumberFormat="1" applyFont="1"/>
    <xf numFmtId="176" fontId="16" fillId="2" borderId="0" xfId="2" applyNumberFormat="1" applyFont="1" applyFill="1" applyAlignment="1">
      <alignment horizontal="center" wrapText="1"/>
    </xf>
    <xf numFmtId="176" fontId="2" fillId="0" borderId="0" xfId="0" applyNumberFormat="1" applyFont="1"/>
    <xf numFmtId="176" fontId="2" fillId="0" borderId="0" xfId="1" applyNumberFormat="1" applyFont="1"/>
    <xf numFmtId="43" fontId="0" fillId="0" borderId="0" xfId="1" applyFont="1"/>
    <xf numFmtId="43" fontId="11" fillId="0" borderId="0" xfId="1" applyFont="1"/>
    <xf numFmtId="164" fontId="25" fillId="0" borderId="0" xfId="0" applyNumberFormat="1" applyFont="1"/>
    <xf numFmtId="174" fontId="4" fillId="8" borderId="0" xfId="0" applyNumberFormat="1" applyFont="1" applyFill="1" applyAlignment="1">
      <alignment horizontal="center"/>
    </xf>
    <xf numFmtId="172" fontId="0" fillId="0" borderId="0" xfId="0" applyNumberFormat="1"/>
    <xf numFmtId="172" fontId="3" fillId="0" borderId="0" xfId="0" applyNumberFormat="1" applyFont="1"/>
    <xf numFmtId="172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0" fontId="4" fillId="0" borderId="0" xfId="1" applyNumberFormat="1" applyFont="1"/>
    <xf numFmtId="165" fontId="16" fillId="4" borderId="0" xfId="1" applyNumberFormat="1" applyFont="1" applyFill="1" applyAlignment="1">
      <alignment horizontal="center" wrapText="1"/>
    </xf>
    <xf numFmtId="44" fontId="2" fillId="0" borderId="0" xfId="0" applyNumberFormat="1" applyFont="1"/>
    <xf numFmtId="3" fontId="26" fillId="0" borderId="0" xfId="0" applyNumberFormat="1" applyFont="1"/>
    <xf numFmtId="43" fontId="2" fillId="8" borderId="0" xfId="1" applyFont="1" applyFill="1"/>
    <xf numFmtId="170" fontId="2" fillId="8" borderId="0" xfId="1" applyNumberFormat="1" applyFont="1" applyFill="1"/>
    <xf numFmtId="3" fontId="27" fillId="0" borderId="0" xfId="0" applyNumberFormat="1" applyFont="1"/>
    <xf numFmtId="177" fontId="2" fillId="0" borderId="0" xfId="0" applyNumberFormat="1" applyFont="1"/>
    <xf numFmtId="177" fontId="16" fillId="2" borderId="0" xfId="2" applyNumberFormat="1" applyFont="1" applyFill="1" applyAlignment="1">
      <alignment horizontal="center" wrapText="1"/>
    </xf>
    <xf numFmtId="177" fontId="24" fillId="0" borderId="0" xfId="0" applyNumberFormat="1" applyFont="1"/>
    <xf numFmtId="43" fontId="29" fillId="0" borderId="0" xfId="1" applyFont="1"/>
    <xf numFmtId="43" fontId="14" fillId="0" borderId="0" xfId="1" applyFont="1"/>
    <xf numFmtId="43" fontId="7" fillId="0" borderId="0" xfId="1" applyFont="1"/>
    <xf numFmtId="43" fontId="7" fillId="0" borderId="0" xfId="1" applyFont="1" applyAlignment="1">
      <alignment horizontal="right"/>
    </xf>
    <xf numFmtId="43" fontId="25" fillId="0" borderId="0" xfId="1" applyFont="1" applyAlignment="1">
      <alignment horizontal="center"/>
    </xf>
    <xf numFmtId="165" fontId="2" fillId="0" borderId="0" xfId="0" applyNumberFormat="1" applyFont="1"/>
    <xf numFmtId="165" fontId="16" fillId="2" borderId="0" xfId="2" applyNumberFormat="1" applyFont="1" applyFill="1" applyAlignment="1">
      <alignment horizontal="center" wrapText="1"/>
    </xf>
    <xf numFmtId="165" fontId="3" fillId="0" borderId="0" xfId="1" applyNumberFormat="1" applyFont="1"/>
    <xf numFmtId="165" fontId="28" fillId="0" borderId="0" xfId="1" applyNumberFormat="1" applyFont="1"/>
    <xf numFmtId="165" fontId="4" fillId="0" borderId="0" xfId="1" applyNumberFormat="1" applyFont="1" applyAlignment="1">
      <alignment horizontal="right"/>
    </xf>
    <xf numFmtId="165" fontId="2" fillId="0" borderId="0" xfId="1" applyNumberFormat="1" applyFont="1" applyFill="1"/>
    <xf numFmtId="165" fontId="11" fillId="0" borderId="0" xfId="1" applyNumberFormat="1" applyFont="1"/>
    <xf numFmtId="165" fontId="1" fillId="0" borderId="0" xfId="1" applyNumberFormat="1" applyFont="1"/>
    <xf numFmtId="165" fontId="13" fillId="0" borderId="0" xfId="0" applyNumberFormat="1" applyFont="1"/>
    <xf numFmtId="165" fontId="30" fillId="2" borderId="0" xfId="1" applyNumberFormat="1" applyFont="1" applyFill="1"/>
    <xf numFmtId="165" fontId="28" fillId="2" borderId="0" xfId="1" applyNumberFormat="1" applyFont="1" applyFill="1"/>
    <xf numFmtId="165" fontId="2" fillId="2" borderId="0" xfId="1" applyNumberFormat="1" applyFont="1" applyFill="1"/>
    <xf numFmtId="169" fontId="3" fillId="0" borderId="0" xfId="0" applyNumberFormat="1" applyFont="1"/>
    <xf numFmtId="43" fontId="1" fillId="2" borderId="0" xfId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0" fontId="1" fillId="2" borderId="0" xfId="4" applyNumberFormat="1" applyFont="1" applyFill="1"/>
    <xf numFmtId="171" fontId="1" fillId="2" borderId="0" xfId="4" applyNumberFormat="1" applyFont="1" applyFill="1"/>
    <xf numFmtId="165" fontId="15" fillId="0" borderId="0" xfId="1" applyNumberFormat="1" applyFont="1"/>
    <xf numFmtId="0" fontId="25" fillId="2" borderId="0" xfId="0" applyFont="1" applyFill="1"/>
    <xf numFmtId="177" fontId="31" fillId="0" borderId="0" xfId="0" applyNumberFormat="1" applyFont="1"/>
    <xf numFmtId="167" fontId="10" fillId="0" borderId="0" xfId="1" applyNumberFormat="1" applyFont="1"/>
    <xf numFmtId="172" fontId="2" fillId="0" borderId="0" xfId="0" applyNumberFormat="1" applyFont="1" applyAlignment="1">
      <alignment wrapText="1"/>
    </xf>
    <xf numFmtId="176" fontId="10" fillId="0" borderId="0" xfId="0" applyNumberFormat="1" applyFont="1"/>
    <xf numFmtId="165" fontId="3" fillId="9" borderId="0" xfId="1" applyNumberFormat="1" applyFont="1" applyFill="1"/>
    <xf numFmtId="164" fontId="9" fillId="0" borderId="0" xfId="0" applyNumberFormat="1" applyFont="1" applyAlignment="1">
      <alignment horizontal="center"/>
    </xf>
    <xf numFmtId="43" fontId="9" fillId="0" borderId="0" xfId="1" applyFont="1" applyAlignment="1">
      <alignment horizontal="center"/>
    </xf>
    <xf numFmtId="164" fontId="0" fillId="0" borderId="0" xfId="0" applyNumberFormat="1"/>
    <xf numFmtId="165" fontId="10" fillId="0" borderId="0" xfId="1" applyNumberFormat="1" applyFont="1"/>
    <xf numFmtId="167" fontId="2" fillId="0" borderId="0" xfId="1" applyNumberFormat="1" applyFont="1" applyAlignment="1">
      <alignment wrapText="1"/>
    </xf>
    <xf numFmtId="43" fontId="0" fillId="0" borderId="0" xfId="0" applyNumberFormat="1"/>
    <xf numFmtId="167" fontId="4" fillId="3" borderId="0" xfId="1" applyNumberFormat="1" applyFont="1" applyFill="1" applyAlignment="1">
      <alignment horizontal="center"/>
    </xf>
    <xf numFmtId="10" fontId="7" fillId="0" borderId="0" xfId="4" applyNumberFormat="1" applyFont="1"/>
    <xf numFmtId="0" fontId="32" fillId="0" borderId="0" xfId="0" applyFont="1"/>
    <xf numFmtId="0" fontId="32" fillId="0" borderId="0" xfId="0" applyFont="1" applyAlignment="1">
      <alignment horizontal="right"/>
    </xf>
    <xf numFmtId="43" fontId="32" fillId="0" borderId="0" xfId="1" applyFont="1" applyAlignment="1">
      <alignment horizontal="right"/>
    </xf>
    <xf numFmtId="43" fontId="32" fillId="0" borderId="0" xfId="1" applyFont="1"/>
    <xf numFmtId="10" fontId="33" fillId="0" borderId="0" xfId="4" applyNumberFormat="1" applyFont="1"/>
    <xf numFmtId="171" fontId="7" fillId="0" borderId="0" xfId="4" applyNumberFormat="1" applyFont="1"/>
    <xf numFmtId="43" fontId="34" fillId="0" borderId="0" xfId="1" applyFont="1"/>
    <xf numFmtId="167" fontId="4" fillId="0" borderId="0" xfId="1" applyNumberFormat="1" applyFont="1"/>
    <xf numFmtId="43" fontId="3" fillId="0" borderId="0" xfId="1" applyFont="1"/>
    <xf numFmtId="44" fontId="3" fillId="0" borderId="0" xfId="2" quotePrefix="1" applyFont="1"/>
    <xf numFmtId="44" fontId="2" fillId="0" borderId="0" xfId="2" applyFont="1" applyFill="1" applyAlignment="1">
      <alignment wrapText="1"/>
    </xf>
    <xf numFmtId="44" fontId="2" fillId="0" borderId="0" xfId="2" applyFont="1" applyFill="1"/>
    <xf numFmtId="167" fontId="2" fillId="0" borderId="0" xfId="1" applyNumberFormat="1" applyFont="1" applyFill="1"/>
    <xf numFmtId="170" fontId="2" fillId="0" borderId="0" xfId="1" applyNumberFormat="1" applyFont="1" applyFill="1"/>
    <xf numFmtId="179" fontId="0" fillId="0" borderId="0" xfId="0" applyNumberFormat="1"/>
    <xf numFmtId="178" fontId="11" fillId="0" borderId="0" xfId="0" applyNumberFormat="1" applyFont="1"/>
    <xf numFmtId="174" fontId="2" fillId="0" borderId="0" xfId="1" applyNumberFormat="1" applyFont="1" applyFill="1"/>
    <xf numFmtId="167" fontId="2" fillId="0" borderId="0" xfId="1" applyNumberFormat="1" applyFont="1" applyFill="1" applyAlignment="1">
      <alignment wrapText="1"/>
    </xf>
    <xf numFmtId="43" fontId="3" fillId="0" borderId="0" xfId="1" applyFont="1" applyFill="1"/>
    <xf numFmtId="167" fontId="3" fillId="0" borderId="0" xfId="1" applyNumberFormat="1" applyFont="1" applyFill="1"/>
    <xf numFmtId="44" fontId="3" fillId="0" borderId="0" xfId="2" quotePrefix="1" applyFont="1" applyFill="1"/>
    <xf numFmtId="170" fontId="10" fillId="0" borderId="0" xfId="1" applyNumberFormat="1" applyFont="1"/>
    <xf numFmtId="44" fontId="1" fillId="0" borderId="0" xfId="0" applyNumberFormat="1" applyFont="1"/>
    <xf numFmtId="3" fontId="2" fillId="9" borderId="0" xfId="0" applyNumberFormat="1" applyFont="1" applyFill="1"/>
    <xf numFmtId="174" fontId="2" fillId="9" borderId="0" xfId="1" applyNumberFormat="1" applyFont="1" applyFill="1"/>
    <xf numFmtId="165" fontId="2" fillId="8" borderId="0" xfId="1" applyNumberFormat="1" applyFont="1" applyFill="1"/>
    <xf numFmtId="167" fontId="4" fillId="0" borderId="0" xfId="1" applyNumberFormat="1" applyFont="1" applyFill="1"/>
    <xf numFmtId="4" fontId="22" fillId="0" borderId="0" xfId="0" applyNumberFormat="1" applyFont="1" applyAlignment="1">
      <alignment wrapText="1"/>
    </xf>
    <xf numFmtId="165" fontId="15" fillId="2" borderId="0" xfId="1" applyNumberFormat="1" applyFont="1" applyFill="1" applyAlignment="1">
      <alignment horizontal="center"/>
    </xf>
    <xf numFmtId="44" fontId="2" fillId="0" borderId="0" xfId="2" applyFont="1" applyAlignment="1"/>
    <xf numFmtId="169" fontId="2" fillId="0" borderId="0" xfId="0" applyNumberFormat="1" applyFont="1" applyAlignment="1">
      <alignment horizontal="right"/>
    </xf>
    <xf numFmtId="4" fontId="35" fillId="9" borderId="0" xfId="0" applyNumberFormat="1" applyFont="1" applyFill="1"/>
    <xf numFmtId="44" fontId="10" fillId="9" borderId="0" xfId="2" applyFont="1" applyFill="1" applyAlignment="1">
      <alignment wrapText="1"/>
    </xf>
    <xf numFmtId="44" fontId="10" fillId="9" borderId="0" xfId="2" applyFont="1" applyFill="1"/>
    <xf numFmtId="167" fontId="10" fillId="9" borderId="0" xfId="1" applyNumberFormat="1" applyFont="1" applyFill="1"/>
    <xf numFmtId="43" fontId="25" fillId="0" borderId="0" xfId="1" applyFont="1"/>
    <xf numFmtId="43" fontId="13" fillId="0" borderId="0" xfId="0" applyNumberFormat="1" applyFont="1"/>
    <xf numFmtId="43" fontId="25" fillId="2" borderId="0" xfId="1" applyFont="1" applyFill="1" applyAlignment="1">
      <alignment horizontal="center"/>
    </xf>
    <xf numFmtId="165" fontId="13" fillId="0" borderId="0" xfId="1" applyNumberFormat="1" applyFont="1"/>
    <xf numFmtId="165" fontId="2" fillId="9" borderId="0" xfId="1" applyNumberFormat="1" applyFont="1" applyFill="1"/>
    <xf numFmtId="170" fontId="2" fillId="9" borderId="0" xfId="1" applyNumberFormat="1" applyFont="1" applyFill="1"/>
    <xf numFmtId="44" fontId="10" fillId="0" borderId="0" xfId="2" applyFont="1" applyAlignment="1">
      <alignment wrapText="1"/>
    </xf>
    <xf numFmtId="0" fontId="2" fillId="0" borderId="0" xfId="1" applyNumberFormat="1" applyFont="1"/>
    <xf numFmtId="44" fontId="3" fillId="9" borderId="0" xfId="2" quotePrefix="1" applyFont="1" applyFill="1"/>
    <xf numFmtId="43" fontId="2" fillId="0" borderId="0" xfId="0" applyNumberFormat="1" applyFont="1"/>
    <xf numFmtId="43" fontId="7" fillId="0" borderId="0" xfId="1" applyFont="1" applyFill="1"/>
    <xf numFmtId="0" fontId="0" fillId="9" borderId="0" xfId="0" applyFill="1"/>
    <xf numFmtId="174" fontId="2" fillId="9" borderId="0" xfId="0" applyNumberFormat="1" applyFont="1" applyFill="1"/>
    <xf numFmtId="43" fontId="25" fillId="0" borderId="0" xfId="1" applyFont="1" applyFill="1"/>
    <xf numFmtId="167" fontId="4" fillId="3" borderId="0" xfId="1" applyNumberFormat="1" applyFont="1" applyFill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'BTC COINS'!$B$22:$B$159</c:f>
              <c:numCache>
                <c:formatCode>[$-409]dd\-mmm\-yy;@</c:formatCode>
                <c:ptCount val="138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  <c:pt idx="7">
                  <c:v>46104</c:v>
                </c:pt>
                <c:pt idx="8">
                  <c:v>46105</c:v>
                </c:pt>
                <c:pt idx="9">
                  <c:v>46106</c:v>
                </c:pt>
                <c:pt idx="10">
                  <c:v>46107</c:v>
                </c:pt>
                <c:pt idx="11">
                  <c:v>46108</c:v>
                </c:pt>
                <c:pt idx="12">
                  <c:v>46109</c:v>
                </c:pt>
                <c:pt idx="13">
                  <c:v>46110</c:v>
                </c:pt>
                <c:pt idx="14">
                  <c:v>46111</c:v>
                </c:pt>
                <c:pt idx="15">
                  <c:v>46112</c:v>
                </c:pt>
                <c:pt idx="16">
                  <c:v>46113</c:v>
                </c:pt>
                <c:pt idx="17">
                  <c:v>46114</c:v>
                </c:pt>
                <c:pt idx="18">
                  <c:v>46115</c:v>
                </c:pt>
                <c:pt idx="19">
                  <c:v>46116</c:v>
                </c:pt>
                <c:pt idx="20">
                  <c:v>46117</c:v>
                </c:pt>
                <c:pt idx="21">
                  <c:v>46118</c:v>
                </c:pt>
                <c:pt idx="22">
                  <c:v>46119</c:v>
                </c:pt>
                <c:pt idx="23">
                  <c:v>46120</c:v>
                </c:pt>
                <c:pt idx="24">
                  <c:v>46121</c:v>
                </c:pt>
                <c:pt idx="25">
                  <c:v>46122</c:v>
                </c:pt>
                <c:pt idx="26">
                  <c:v>46123</c:v>
                </c:pt>
                <c:pt idx="27">
                  <c:v>46124</c:v>
                </c:pt>
                <c:pt idx="28">
                  <c:v>46125</c:v>
                </c:pt>
                <c:pt idx="29">
                  <c:v>46126</c:v>
                </c:pt>
                <c:pt idx="30">
                  <c:v>46127</c:v>
                </c:pt>
                <c:pt idx="31">
                  <c:v>46128</c:v>
                </c:pt>
                <c:pt idx="32">
                  <c:v>46129</c:v>
                </c:pt>
                <c:pt idx="33">
                  <c:v>46130</c:v>
                </c:pt>
                <c:pt idx="34">
                  <c:v>46131</c:v>
                </c:pt>
                <c:pt idx="35">
                  <c:v>46132</c:v>
                </c:pt>
                <c:pt idx="36">
                  <c:v>46133</c:v>
                </c:pt>
                <c:pt idx="37">
                  <c:v>46134</c:v>
                </c:pt>
                <c:pt idx="38">
                  <c:v>46135</c:v>
                </c:pt>
                <c:pt idx="39">
                  <c:v>46136</c:v>
                </c:pt>
                <c:pt idx="40">
                  <c:v>46137</c:v>
                </c:pt>
                <c:pt idx="41">
                  <c:v>46138</c:v>
                </c:pt>
                <c:pt idx="42">
                  <c:v>46139</c:v>
                </c:pt>
                <c:pt idx="43">
                  <c:v>46140</c:v>
                </c:pt>
                <c:pt idx="44">
                  <c:v>46141</c:v>
                </c:pt>
                <c:pt idx="45">
                  <c:v>46142</c:v>
                </c:pt>
                <c:pt idx="46">
                  <c:v>46143</c:v>
                </c:pt>
                <c:pt idx="47">
                  <c:v>46144</c:v>
                </c:pt>
                <c:pt idx="48">
                  <c:v>46145</c:v>
                </c:pt>
                <c:pt idx="49">
                  <c:v>46146</c:v>
                </c:pt>
                <c:pt idx="50">
                  <c:v>46147</c:v>
                </c:pt>
                <c:pt idx="51">
                  <c:v>46148</c:v>
                </c:pt>
                <c:pt idx="52">
                  <c:v>46149</c:v>
                </c:pt>
                <c:pt idx="53">
                  <c:v>46150</c:v>
                </c:pt>
                <c:pt idx="54">
                  <c:v>46151</c:v>
                </c:pt>
                <c:pt idx="55">
                  <c:v>46152</c:v>
                </c:pt>
                <c:pt idx="56">
                  <c:v>46153</c:v>
                </c:pt>
                <c:pt idx="57">
                  <c:v>46154</c:v>
                </c:pt>
                <c:pt idx="58">
                  <c:v>46155</c:v>
                </c:pt>
                <c:pt idx="59">
                  <c:v>46156</c:v>
                </c:pt>
                <c:pt idx="60">
                  <c:v>46157</c:v>
                </c:pt>
                <c:pt idx="61">
                  <c:v>46158</c:v>
                </c:pt>
                <c:pt idx="62">
                  <c:v>46159</c:v>
                </c:pt>
                <c:pt idx="63">
                  <c:v>46160</c:v>
                </c:pt>
                <c:pt idx="64">
                  <c:v>46161</c:v>
                </c:pt>
                <c:pt idx="65">
                  <c:v>46162</c:v>
                </c:pt>
                <c:pt idx="66">
                  <c:v>46163</c:v>
                </c:pt>
                <c:pt idx="67">
                  <c:v>46164</c:v>
                </c:pt>
                <c:pt idx="68">
                  <c:v>46165</c:v>
                </c:pt>
                <c:pt idx="69">
                  <c:v>46166</c:v>
                </c:pt>
                <c:pt idx="70">
                  <c:v>46167</c:v>
                </c:pt>
                <c:pt idx="71">
                  <c:v>46168</c:v>
                </c:pt>
                <c:pt idx="72">
                  <c:v>46169</c:v>
                </c:pt>
                <c:pt idx="73">
                  <c:v>46170</c:v>
                </c:pt>
                <c:pt idx="74">
                  <c:v>46171</c:v>
                </c:pt>
                <c:pt idx="75">
                  <c:v>46172</c:v>
                </c:pt>
                <c:pt idx="76">
                  <c:v>46173</c:v>
                </c:pt>
                <c:pt idx="77">
                  <c:v>46174</c:v>
                </c:pt>
                <c:pt idx="78">
                  <c:v>46175</c:v>
                </c:pt>
                <c:pt idx="79">
                  <c:v>46176</c:v>
                </c:pt>
                <c:pt idx="80">
                  <c:v>46177</c:v>
                </c:pt>
                <c:pt idx="81">
                  <c:v>46178</c:v>
                </c:pt>
                <c:pt idx="82">
                  <c:v>46179</c:v>
                </c:pt>
                <c:pt idx="83">
                  <c:v>46180</c:v>
                </c:pt>
                <c:pt idx="84">
                  <c:v>46181</c:v>
                </c:pt>
                <c:pt idx="85">
                  <c:v>46182</c:v>
                </c:pt>
                <c:pt idx="86">
                  <c:v>46183</c:v>
                </c:pt>
                <c:pt idx="87">
                  <c:v>46184</c:v>
                </c:pt>
                <c:pt idx="88">
                  <c:v>46185</c:v>
                </c:pt>
                <c:pt idx="89">
                  <c:v>46186</c:v>
                </c:pt>
                <c:pt idx="90">
                  <c:v>46187</c:v>
                </c:pt>
                <c:pt idx="91">
                  <c:v>46188</c:v>
                </c:pt>
                <c:pt idx="92">
                  <c:v>46189</c:v>
                </c:pt>
                <c:pt idx="93">
                  <c:v>46190</c:v>
                </c:pt>
                <c:pt idx="94">
                  <c:v>46191</c:v>
                </c:pt>
                <c:pt idx="95">
                  <c:v>46192</c:v>
                </c:pt>
                <c:pt idx="96">
                  <c:v>46193</c:v>
                </c:pt>
                <c:pt idx="97">
                  <c:v>46194</c:v>
                </c:pt>
                <c:pt idx="98">
                  <c:v>46195</c:v>
                </c:pt>
                <c:pt idx="99">
                  <c:v>46196</c:v>
                </c:pt>
                <c:pt idx="100">
                  <c:v>46197</c:v>
                </c:pt>
                <c:pt idx="101">
                  <c:v>46198</c:v>
                </c:pt>
                <c:pt idx="102">
                  <c:v>46199</c:v>
                </c:pt>
                <c:pt idx="103">
                  <c:v>46200</c:v>
                </c:pt>
                <c:pt idx="104">
                  <c:v>46201</c:v>
                </c:pt>
                <c:pt idx="105">
                  <c:v>46202</c:v>
                </c:pt>
                <c:pt idx="106">
                  <c:v>46203</c:v>
                </c:pt>
                <c:pt idx="107">
                  <c:v>46204</c:v>
                </c:pt>
                <c:pt idx="108">
                  <c:v>46205</c:v>
                </c:pt>
                <c:pt idx="109">
                  <c:v>46206</c:v>
                </c:pt>
                <c:pt idx="110">
                  <c:v>46207</c:v>
                </c:pt>
                <c:pt idx="111">
                  <c:v>46208</c:v>
                </c:pt>
                <c:pt idx="112">
                  <c:v>46209</c:v>
                </c:pt>
                <c:pt idx="113">
                  <c:v>46210</c:v>
                </c:pt>
                <c:pt idx="114">
                  <c:v>46211</c:v>
                </c:pt>
                <c:pt idx="115">
                  <c:v>46212</c:v>
                </c:pt>
                <c:pt idx="116">
                  <c:v>46213</c:v>
                </c:pt>
                <c:pt idx="117">
                  <c:v>46214</c:v>
                </c:pt>
                <c:pt idx="118">
                  <c:v>46215</c:v>
                </c:pt>
                <c:pt idx="119">
                  <c:v>46216</c:v>
                </c:pt>
                <c:pt idx="120">
                  <c:v>46217</c:v>
                </c:pt>
                <c:pt idx="121">
                  <c:v>46218</c:v>
                </c:pt>
                <c:pt idx="122">
                  <c:v>46219</c:v>
                </c:pt>
                <c:pt idx="123">
                  <c:v>46220</c:v>
                </c:pt>
                <c:pt idx="124">
                  <c:v>46221</c:v>
                </c:pt>
                <c:pt idx="125">
                  <c:v>46222</c:v>
                </c:pt>
                <c:pt idx="126">
                  <c:v>46223</c:v>
                </c:pt>
                <c:pt idx="127">
                  <c:v>46224</c:v>
                </c:pt>
                <c:pt idx="128">
                  <c:v>46225</c:v>
                </c:pt>
                <c:pt idx="129">
                  <c:v>46226</c:v>
                </c:pt>
                <c:pt idx="130">
                  <c:v>46227</c:v>
                </c:pt>
                <c:pt idx="131">
                  <c:v>46228</c:v>
                </c:pt>
                <c:pt idx="132">
                  <c:v>46229</c:v>
                </c:pt>
                <c:pt idx="133">
                  <c:v>46230</c:v>
                </c:pt>
                <c:pt idx="134">
                  <c:v>46231</c:v>
                </c:pt>
                <c:pt idx="135">
                  <c:v>46232</c:v>
                </c:pt>
                <c:pt idx="136">
                  <c:v>46233</c:v>
                </c:pt>
                <c:pt idx="137">
                  <c:v>46234</c:v>
                </c:pt>
              </c:numCache>
            </c:numRef>
          </c:xVal>
          <c:yVal>
            <c:numRef>
              <c:f>'BTC COINS'!$M$22:$M$159</c:f>
              <c:numCache>
                <c:formatCode>_(* #,##0.00_);_(* \(#,##0.00\);_(* "-"??_);_(@_)</c:formatCode>
                <c:ptCount val="138"/>
                <c:pt idx="0">
                  <c:v>1098009.2994000001</c:v>
                </c:pt>
                <c:pt idx="1">
                  <c:v>1100218.3777999999</c:v>
                </c:pt>
                <c:pt idx="2">
                  <c:v>1099723.3370000001</c:v>
                </c:pt>
                <c:pt idx="3">
                  <c:v>1098477.0844999999</c:v>
                </c:pt>
                <c:pt idx="4">
                  <c:v>1097830.7298999999</c:v>
                </c:pt>
                <c:pt idx="8">
                  <c:v>1099308.2386</c:v>
                </c:pt>
                <c:pt idx="9">
                  <c:v>1098122.8341999999</c:v>
                </c:pt>
                <c:pt idx="10">
                  <c:v>1096576.0308999999</c:v>
                </c:pt>
                <c:pt idx="11">
                  <c:v>1092951.8084</c:v>
                </c:pt>
                <c:pt idx="14">
                  <c:v>1093252.0430000001</c:v>
                </c:pt>
                <c:pt idx="15">
                  <c:v>1094733.4139999999</c:v>
                </c:pt>
                <c:pt idx="16">
                  <c:v>1093375.5764000001</c:v>
                </c:pt>
                <c:pt idx="17">
                  <c:v>1093313.2383000001</c:v>
                </c:pt>
                <c:pt idx="18">
                  <c:v>0</c:v>
                </c:pt>
                <c:pt idx="21">
                  <c:v>1097721.3972</c:v>
                </c:pt>
                <c:pt idx="22">
                  <c:v>1097080.8159999999</c:v>
                </c:pt>
                <c:pt idx="23">
                  <c:v>1095687.4081000001</c:v>
                </c:pt>
                <c:pt idx="24">
                  <c:v>1099523.8434000001</c:v>
                </c:pt>
                <c:pt idx="25">
                  <c:v>1101607.2752999999</c:v>
                </c:pt>
                <c:pt idx="28">
                  <c:v>1101523.0778000001</c:v>
                </c:pt>
                <c:pt idx="29">
                  <c:v>1105379.8724</c:v>
                </c:pt>
                <c:pt idx="30">
                  <c:v>1108745.5168999999</c:v>
                </c:pt>
                <c:pt idx="31">
                  <c:v>1109101.4534</c:v>
                </c:pt>
                <c:pt idx="32">
                  <c:v>1111111.3176</c:v>
                </c:pt>
                <c:pt idx="35">
                  <c:v>1118633.4596000002</c:v>
                </c:pt>
                <c:pt idx="36">
                  <c:v>1118460.8363000001</c:v>
                </c:pt>
                <c:pt idx="37">
                  <c:v>1121869.1465</c:v>
                </c:pt>
                <c:pt idx="38">
                  <c:v>1124811.7262500001</c:v>
                </c:pt>
                <c:pt idx="39">
                  <c:v>1124806.2524000001</c:v>
                </c:pt>
                <c:pt idx="42">
                  <c:v>1124109.7614000002</c:v>
                </c:pt>
                <c:pt idx="43">
                  <c:v>1122201.1226999999</c:v>
                </c:pt>
                <c:pt idx="44">
                  <c:v>1120981.9399000001</c:v>
                </c:pt>
                <c:pt idx="45">
                  <c:v>1120704.0707</c:v>
                </c:pt>
                <c:pt idx="46">
                  <c:v>1125693.8196</c:v>
                </c:pt>
                <c:pt idx="49">
                  <c:v>1130018.1949</c:v>
                </c:pt>
                <c:pt idx="50">
                  <c:v>1134404.9362999999</c:v>
                </c:pt>
                <c:pt idx="51">
                  <c:v>1135213.2900999999</c:v>
                </c:pt>
                <c:pt idx="52">
                  <c:v>1133502.5745999999</c:v>
                </c:pt>
                <c:pt idx="53">
                  <c:v>1132837.1845</c:v>
                </c:pt>
                <c:pt idx="56">
                  <c:v>1132387.3462</c:v>
                </c:pt>
                <c:pt idx="57">
                  <c:v>1130758.9643999999</c:v>
                </c:pt>
                <c:pt idx="58">
                  <c:v>1124221.1070999999</c:v>
                </c:pt>
                <c:pt idx="59">
                  <c:v>1125853.8448000001</c:v>
                </c:pt>
                <c:pt idx="60">
                  <c:v>1124807.8036</c:v>
                </c:pt>
                <c:pt idx="63">
                  <c:v>1114981.6332999999</c:v>
                </c:pt>
                <c:pt idx="64">
                  <c:v>1110637.9690999999</c:v>
                </c:pt>
                <c:pt idx="65">
                  <c:v>1109838.3407000001</c:v>
                </c:pt>
                <c:pt idx="66">
                  <c:v>1108531.2504</c:v>
                </c:pt>
                <c:pt idx="67">
                  <c:v>1107618.2110000001</c:v>
                </c:pt>
                <c:pt idx="70">
                  <c:v>0</c:v>
                </c:pt>
                <c:pt idx="71">
                  <c:v>1104674.4975000001</c:v>
                </c:pt>
                <c:pt idx="72">
                  <c:v>1096433.5422999999</c:v>
                </c:pt>
                <c:pt idx="73">
                  <c:v>1092389.4909999999</c:v>
                </c:pt>
                <c:pt idx="74">
                  <c:v>1090990.3529000001</c:v>
                </c:pt>
                <c:pt idx="77">
                  <c:v>1084463.4427</c:v>
                </c:pt>
                <c:pt idx="78">
                  <c:v>1078406.8687</c:v>
                </c:pt>
                <c:pt idx="79">
                  <c:v>1071945.0726999999</c:v>
                </c:pt>
                <c:pt idx="80">
                  <c:v>1071906.7708000001</c:v>
                </c:pt>
                <c:pt idx="81">
                  <c:v>1068320.0168999999</c:v>
                </c:pt>
                <c:pt idx="84">
                  <c:v>1064909.5728</c:v>
                </c:pt>
                <c:pt idx="85">
                  <c:v>1063906.3577000001</c:v>
                </c:pt>
                <c:pt idx="86">
                  <c:v>1061568.9368</c:v>
                </c:pt>
                <c:pt idx="87">
                  <c:v>1060283.0005000001</c:v>
                </c:pt>
                <c:pt idx="88">
                  <c:v>1061169.4827999999</c:v>
                </c:pt>
                <c:pt idx="91">
                  <c:v>1061990.3031000001</c:v>
                </c:pt>
                <c:pt idx="92">
                  <c:v>1060437.0691</c:v>
                </c:pt>
                <c:pt idx="93">
                  <c:v>1059092.0999999999</c:v>
                </c:pt>
                <c:pt idx="94">
                  <c:v>1057240.9350000001</c:v>
                </c:pt>
                <c:pt idx="95">
                  <c:v>0</c:v>
                </c:pt>
                <c:pt idx="98">
                  <c:v>1055521.5162</c:v>
                </c:pt>
                <c:pt idx="99">
                  <c:v>1052718.4909000001</c:v>
                </c:pt>
                <c:pt idx="100">
                  <c:v>1047391.6063999999</c:v>
                </c:pt>
                <c:pt idx="101">
                  <c:v>1040687.8913</c:v>
                </c:pt>
                <c:pt idx="102">
                  <c:v>1033050.2449</c:v>
                </c:pt>
                <c:pt idx="105">
                  <c:v>1028877.1419</c:v>
                </c:pt>
                <c:pt idx="106">
                  <c:v>1025504.7798</c:v>
                </c:pt>
                <c:pt idx="107">
                  <c:v>1021273.6808</c:v>
                </c:pt>
                <c:pt idx="108">
                  <c:v>1021697.1856999999</c:v>
                </c:pt>
                <c:pt idx="109">
                  <c:v>0</c:v>
                </c:pt>
                <c:pt idx="112">
                  <c:v>1025621.8539</c:v>
                </c:pt>
                <c:pt idx="113">
                  <c:v>1026154.0167</c:v>
                </c:pt>
                <c:pt idx="114">
                  <c:v>1025196.5907000001</c:v>
                </c:pt>
                <c:pt idx="115">
                  <c:v>1024389.9269000001</c:v>
                </c:pt>
                <c:pt idx="116">
                  <c:v>1025828.1691000001</c:v>
                </c:pt>
                <c:pt idx="119">
                  <c:v>1022873.4228000001</c:v>
                </c:pt>
                <c:pt idx="120">
                  <c:v>1025234.5871000001</c:v>
                </c:pt>
                <c:pt idx="121">
                  <c:v>1026576.4642</c:v>
                </c:pt>
                <c:pt idx="122">
                  <c:v>1027479.8456999999</c:v>
                </c:pt>
                <c:pt idx="123">
                  <c:v>1029603.4565999999</c:v>
                </c:pt>
                <c:pt idx="126">
                  <c:v>1032629.0486999999</c:v>
                </c:pt>
                <c:pt idx="127">
                  <c:v>1035203.9609999999</c:v>
                </c:pt>
                <c:pt idx="128">
                  <c:v>1035965.8526000001</c:v>
                </c:pt>
                <c:pt idx="129">
                  <c:v>1032566.0116999999</c:v>
                </c:pt>
                <c:pt idx="130">
                  <c:v>1029173.7984</c:v>
                </c:pt>
                <c:pt idx="133">
                  <c:v>1029020.6597</c:v>
                </c:pt>
                <c:pt idx="134">
                  <c:v>1028154.1007000001</c:v>
                </c:pt>
                <c:pt idx="135">
                  <c:v>1027429.7824</c:v>
                </c:pt>
                <c:pt idx="136">
                  <c:v>0</c:v>
                </c:pt>
                <c:pt idx="1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6-4A4A-BC8F-D2BAC6088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834448"/>
        <c:axId val="393518288"/>
      </c:scatterChart>
      <c:valAx>
        <c:axId val="601834448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8288"/>
        <c:crosses val="autoZero"/>
        <c:crossBetween val="midCat"/>
      </c:valAx>
      <c:valAx>
        <c:axId val="393518288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83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'BTC COINS'!$N$23:$N$40</c:f>
              <c:strCache>
                <c:ptCount val="18"/>
                <c:pt idx="0">
                  <c:v> 2,209.08 </c:v>
                </c:pt>
                <c:pt idx="1">
                  <c:v> (495.04)</c:v>
                </c:pt>
                <c:pt idx="2">
                  <c:v> (1,246.25)</c:v>
                </c:pt>
                <c:pt idx="3">
                  <c:v> (646.35)</c:v>
                </c:pt>
                <c:pt idx="7">
                  <c:v> 1,477.51 </c:v>
                </c:pt>
                <c:pt idx="8">
                  <c:v> (1,185.40)</c:v>
                </c:pt>
                <c:pt idx="9">
                  <c:v> (1,546.80)</c:v>
                </c:pt>
                <c:pt idx="10">
                  <c:v> (3,624.22)</c:v>
                </c:pt>
                <c:pt idx="13">
                  <c:v> 300.23 </c:v>
                </c:pt>
                <c:pt idx="14">
                  <c:v> 1,481.37 </c:v>
                </c:pt>
                <c:pt idx="15">
                  <c:v> (1,357.84)</c:v>
                </c:pt>
                <c:pt idx="16">
                  <c:v> (62.34)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'BTC COINS'!$B$41:$B$159</c:f>
              <c:numCache>
                <c:formatCode>[$-409]dd\-mmm\-yy;@</c:formatCode>
                <c:ptCount val="119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  <c:pt idx="14">
                  <c:v>46130</c:v>
                </c:pt>
                <c:pt idx="15">
                  <c:v>46131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46138</c:v>
                </c:pt>
                <c:pt idx="23">
                  <c:v>46139</c:v>
                </c:pt>
                <c:pt idx="24">
                  <c:v>46140</c:v>
                </c:pt>
                <c:pt idx="25">
                  <c:v>46141</c:v>
                </c:pt>
                <c:pt idx="26">
                  <c:v>46142</c:v>
                </c:pt>
                <c:pt idx="27">
                  <c:v>46143</c:v>
                </c:pt>
                <c:pt idx="28">
                  <c:v>46144</c:v>
                </c:pt>
                <c:pt idx="29">
                  <c:v>46145</c:v>
                </c:pt>
                <c:pt idx="30">
                  <c:v>46146</c:v>
                </c:pt>
                <c:pt idx="31">
                  <c:v>46147</c:v>
                </c:pt>
                <c:pt idx="32">
                  <c:v>46148</c:v>
                </c:pt>
                <c:pt idx="33">
                  <c:v>46149</c:v>
                </c:pt>
                <c:pt idx="34">
                  <c:v>46150</c:v>
                </c:pt>
                <c:pt idx="35">
                  <c:v>46151</c:v>
                </c:pt>
                <c:pt idx="36">
                  <c:v>46152</c:v>
                </c:pt>
                <c:pt idx="37">
                  <c:v>46153</c:v>
                </c:pt>
                <c:pt idx="38">
                  <c:v>46154</c:v>
                </c:pt>
                <c:pt idx="39">
                  <c:v>46155</c:v>
                </c:pt>
                <c:pt idx="40">
                  <c:v>46156</c:v>
                </c:pt>
                <c:pt idx="41">
                  <c:v>46157</c:v>
                </c:pt>
                <c:pt idx="42">
                  <c:v>46158</c:v>
                </c:pt>
                <c:pt idx="43">
                  <c:v>46159</c:v>
                </c:pt>
                <c:pt idx="44">
                  <c:v>46160</c:v>
                </c:pt>
                <c:pt idx="45">
                  <c:v>46161</c:v>
                </c:pt>
                <c:pt idx="46">
                  <c:v>46162</c:v>
                </c:pt>
                <c:pt idx="47">
                  <c:v>46163</c:v>
                </c:pt>
                <c:pt idx="48">
                  <c:v>46164</c:v>
                </c:pt>
                <c:pt idx="49">
                  <c:v>46165</c:v>
                </c:pt>
                <c:pt idx="50">
                  <c:v>46166</c:v>
                </c:pt>
                <c:pt idx="51">
                  <c:v>46167</c:v>
                </c:pt>
                <c:pt idx="52">
                  <c:v>46168</c:v>
                </c:pt>
                <c:pt idx="53">
                  <c:v>46169</c:v>
                </c:pt>
                <c:pt idx="54">
                  <c:v>46170</c:v>
                </c:pt>
                <c:pt idx="55">
                  <c:v>46171</c:v>
                </c:pt>
                <c:pt idx="56">
                  <c:v>46172</c:v>
                </c:pt>
                <c:pt idx="57">
                  <c:v>46173</c:v>
                </c:pt>
                <c:pt idx="58">
                  <c:v>46174</c:v>
                </c:pt>
                <c:pt idx="59">
                  <c:v>46175</c:v>
                </c:pt>
                <c:pt idx="60">
                  <c:v>46176</c:v>
                </c:pt>
                <c:pt idx="61">
                  <c:v>46177</c:v>
                </c:pt>
                <c:pt idx="62">
                  <c:v>46178</c:v>
                </c:pt>
                <c:pt idx="63">
                  <c:v>46179</c:v>
                </c:pt>
                <c:pt idx="64">
                  <c:v>46180</c:v>
                </c:pt>
                <c:pt idx="65">
                  <c:v>46181</c:v>
                </c:pt>
                <c:pt idx="66">
                  <c:v>46182</c:v>
                </c:pt>
                <c:pt idx="67">
                  <c:v>46183</c:v>
                </c:pt>
                <c:pt idx="68">
                  <c:v>46184</c:v>
                </c:pt>
                <c:pt idx="69">
                  <c:v>46185</c:v>
                </c:pt>
                <c:pt idx="70">
                  <c:v>46186</c:v>
                </c:pt>
                <c:pt idx="71">
                  <c:v>46187</c:v>
                </c:pt>
                <c:pt idx="72">
                  <c:v>46188</c:v>
                </c:pt>
                <c:pt idx="73">
                  <c:v>46189</c:v>
                </c:pt>
                <c:pt idx="74">
                  <c:v>46190</c:v>
                </c:pt>
                <c:pt idx="75">
                  <c:v>46191</c:v>
                </c:pt>
                <c:pt idx="76">
                  <c:v>46192</c:v>
                </c:pt>
                <c:pt idx="77">
                  <c:v>46193</c:v>
                </c:pt>
                <c:pt idx="78">
                  <c:v>46194</c:v>
                </c:pt>
                <c:pt idx="79">
                  <c:v>46195</c:v>
                </c:pt>
                <c:pt idx="80">
                  <c:v>46196</c:v>
                </c:pt>
                <c:pt idx="81">
                  <c:v>46197</c:v>
                </c:pt>
                <c:pt idx="82">
                  <c:v>46198</c:v>
                </c:pt>
                <c:pt idx="83">
                  <c:v>46199</c:v>
                </c:pt>
                <c:pt idx="84">
                  <c:v>46200</c:v>
                </c:pt>
                <c:pt idx="85">
                  <c:v>46201</c:v>
                </c:pt>
                <c:pt idx="86">
                  <c:v>46202</c:v>
                </c:pt>
                <c:pt idx="87">
                  <c:v>46203</c:v>
                </c:pt>
                <c:pt idx="88">
                  <c:v>46204</c:v>
                </c:pt>
                <c:pt idx="89">
                  <c:v>46205</c:v>
                </c:pt>
                <c:pt idx="90">
                  <c:v>46206</c:v>
                </c:pt>
                <c:pt idx="91">
                  <c:v>46207</c:v>
                </c:pt>
                <c:pt idx="92">
                  <c:v>46208</c:v>
                </c:pt>
                <c:pt idx="93">
                  <c:v>46209</c:v>
                </c:pt>
                <c:pt idx="94">
                  <c:v>46210</c:v>
                </c:pt>
                <c:pt idx="95">
                  <c:v>46211</c:v>
                </c:pt>
                <c:pt idx="96">
                  <c:v>46212</c:v>
                </c:pt>
                <c:pt idx="97">
                  <c:v>46213</c:v>
                </c:pt>
                <c:pt idx="98">
                  <c:v>46214</c:v>
                </c:pt>
                <c:pt idx="99">
                  <c:v>46215</c:v>
                </c:pt>
                <c:pt idx="100">
                  <c:v>46216</c:v>
                </c:pt>
                <c:pt idx="101">
                  <c:v>46217</c:v>
                </c:pt>
                <c:pt idx="102">
                  <c:v>46218</c:v>
                </c:pt>
                <c:pt idx="103">
                  <c:v>46219</c:v>
                </c:pt>
                <c:pt idx="104">
                  <c:v>46220</c:v>
                </c:pt>
                <c:pt idx="105">
                  <c:v>46221</c:v>
                </c:pt>
                <c:pt idx="106">
                  <c:v>46222</c:v>
                </c:pt>
                <c:pt idx="107">
                  <c:v>46223</c:v>
                </c:pt>
                <c:pt idx="108">
                  <c:v>46224</c:v>
                </c:pt>
                <c:pt idx="109">
                  <c:v>46225</c:v>
                </c:pt>
                <c:pt idx="110">
                  <c:v>46226</c:v>
                </c:pt>
                <c:pt idx="111">
                  <c:v>46227</c:v>
                </c:pt>
                <c:pt idx="112">
                  <c:v>46228</c:v>
                </c:pt>
                <c:pt idx="113">
                  <c:v>46229</c:v>
                </c:pt>
                <c:pt idx="114">
                  <c:v>46230</c:v>
                </c:pt>
                <c:pt idx="115">
                  <c:v>46231</c:v>
                </c:pt>
                <c:pt idx="116">
                  <c:v>46232</c:v>
                </c:pt>
                <c:pt idx="117">
                  <c:v>46233</c:v>
                </c:pt>
                <c:pt idx="118">
                  <c:v>46234</c:v>
                </c:pt>
              </c:numCache>
            </c:numRef>
          </c:cat>
          <c:val>
            <c:numRef>
              <c:f>'BTC COINS'!$N$41:$N$159</c:f>
              <c:numCache>
                <c:formatCode>_(* #,##0.00_);_(* \(#,##0.00\);_(* "-"??_);_(@_)</c:formatCode>
                <c:ptCount val="119"/>
                <c:pt idx="2">
                  <c:v>4408.1588999999221</c:v>
                </c:pt>
                <c:pt idx="3">
                  <c:v>-640.5812000001315</c:v>
                </c:pt>
                <c:pt idx="4">
                  <c:v>-1393.4078999997582</c:v>
                </c:pt>
                <c:pt idx="5">
                  <c:v>3836.4353000000119</c:v>
                </c:pt>
                <c:pt idx="6">
                  <c:v>2083.431899999734</c:v>
                </c:pt>
                <c:pt idx="9">
                  <c:v>-84.197499999776483</c:v>
                </c:pt>
                <c:pt idx="10">
                  <c:v>3856.7945999999065</c:v>
                </c:pt>
                <c:pt idx="11">
                  <c:v>3365.6444999999367</c:v>
                </c:pt>
                <c:pt idx="12">
                  <c:v>355.93650000006892</c:v>
                </c:pt>
                <c:pt idx="13">
                  <c:v>2009.8641999999527</c:v>
                </c:pt>
                <c:pt idx="16">
                  <c:v>7522.1420000002254</c:v>
                </c:pt>
                <c:pt idx="17">
                  <c:v>-172.62330000009388</c:v>
                </c:pt>
                <c:pt idx="18">
                  <c:v>3408.310199999949</c:v>
                </c:pt>
                <c:pt idx="19">
                  <c:v>2942.5797500000335</c:v>
                </c:pt>
                <c:pt idx="20">
                  <c:v>-5.4738499999511987</c:v>
                </c:pt>
                <c:pt idx="23">
                  <c:v>-696.49099999992177</c:v>
                </c:pt>
                <c:pt idx="24">
                  <c:v>-1908.6387000002433</c:v>
                </c:pt>
                <c:pt idx="25">
                  <c:v>-1219.182799999835</c:v>
                </c:pt>
                <c:pt idx="26">
                  <c:v>-277.86920000007376</c:v>
                </c:pt>
                <c:pt idx="27">
                  <c:v>4989.748900000006</c:v>
                </c:pt>
                <c:pt idx="30">
                  <c:v>4324.375299999956</c:v>
                </c:pt>
                <c:pt idx="31">
                  <c:v>4386.7413999999408</c:v>
                </c:pt>
                <c:pt idx="32">
                  <c:v>808.35379999992438</c:v>
                </c:pt>
                <c:pt idx="33">
                  <c:v>-1710.7154999999329</c:v>
                </c:pt>
                <c:pt idx="34">
                  <c:v>-665.39009999996051</c:v>
                </c:pt>
                <c:pt idx="37">
                  <c:v>-449.83829999994487</c:v>
                </c:pt>
                <c:pt idx="38">
                  <c:v>-1628.3818000000902</c:v>
                </c:pt>
                <c:pt idx="39">
                  <c:v>-6537.8573000000324</c:v>
                </c:pt>
                <c:pt idx="40">
                  <c:v>1632.7377000001725</c:v>
                </c:pt>
                <c:pt idx="41">
                  <c:v>-1046.0412000000942</c:v>
                </c:pt>
                <c:pt idx="44">
                  <c:v>-9826.1703000001144</c:v>
                </c:pt>
                <c:pt idx="45">
                  <c:v>-4343.6641999999993</c:v>
                </c:pt>
                <c:pt idx="46">
                  <c:v>-799.62839999981225</c:v>
                </c:pt>
                <c:pt idx="47">
                  <c:v>-1307.0903000000399</c:v>
                </c:pt>
                <c:pt idx="48">
                  <c:v>-913.03939999989234</c:v>
                </c:pt>
                <c:pt idx="52">
                  <c:v>-2943.7135000000708</c:v>
                </c:pt>
                <c:pt idx="53">
                  <c:v>-8240.9552000002004</c:v>
                </c:pt>
                <c:pt idx="54">
                  <c:v>-4044.0512999999337</c:v>
                </c:pt>
                <c:pt idx="55">
                  <c:v>-1399.1380999998655</c:v>
                </c:pt>
                <c:pt idx="58">
                  <c:v>-6526.9102000000421</c:v>
                </c:pt>
                <c:pt idx="59">
                  <c:v>-6056.5740000000224</c:v>
                </c:pt>
                <c:pt idx="60">
                  <c:v>-6461.7960000000894</c:v>
                </c:pt>
                <c:pt idx="61">
                  <c:v>-38.301899999845773</c:v>
                </c:pt>
                <c:pt idx="62">
                  <c:v>-3586.753900000127</c:v>
                </c:pt>
                <c:pt idx="65">
                  <c:v>-3410.4440999999642</c:v>
                </c:pt>
                <c:pt idx="66">
                  <c:v>-1003.2150999999139</c:v>
                </c:pt>
                <c:pt idx="67">
                  <c:v>-2337.4209000000264</c:v>
                </c:pt>
                <c:pt idx="68">
                  <c:v>-1285.936299999943</c:v>
                </c:pt>
                <c:pt idx="69">
                  <c:v>886.48229999979958</c:v>
                </c:pt>
                <c:pt idx="72">
                  <c:v>820.82030000025406</c:v>
                </c:pt>
                <c:pt idx="73">
                  <c:v>-1553.2340000001714</c:v>
                </c:pt>
                <c:pt idx="74">
                  <c:v>-1344.9691000001039</c:v>
                </c:pt>
                <c:pt idx="75">
                  <c:v>-1851.1649999998044</c:v>
                </c:pt>
                <c:pt idx="79">
                  <c:v>-1719.4188000001013</c:v>
                </c:pt>
                <c:pt idx="80">
                  <c:v>-2803.0252999998629</c:v>
                </c:pt>
                <c:pt idx="81">
                  <c:v>-5326.8845000001602</c:v>
                </c:pt>
                <c:pt idx="82">
                  <c:v>-6703.7150999999139</c:v>
                </c:pt>
                <c:pt idx="83">
                  <c:v>-7637.6463999999687</c:v>
                </c:pt>
                <c:pt idx="86">
                  <c:v>-4173.1030000000028</c:v>
                </c:pt>
                <c:pt idx="87">
                  <c:v>-3372.3621000000276</c:v>
                </c:pt>
                <c:pt idx="88">
                  <c:v>-4231.0990000000456</c:v>
                </c:pt>
                <c:pt idx="89">
                  <c:v>423.5048999999417</c:v>
                </c:pt>
                <c:pt idx="93">
                  <c:v>3924.6682000000728</c:v>
                </c:pt>
                <c:pt idx="94">
                  <c:v>532.16280000004917</c:v>
                </c:pt>
                <c:pt idx="95">
                  <c:v>-957.42599999997765</c:v>
                </c:pt>
                <c:pt idx="96">
                  <c:v>-806.66379999998026</c:v>
                </c:pt>
                <c:pt idx="97">
                  <c:v>1438.2421999999788</c:v>
                </c:pt>
                <c:pt idx="100">
                  <c:v>-2954.7462999999989</c:v>
                </c:pt>
                <c:pt idx="101">
                  <c:v>2361.1643000000622</c:v>
                </c:pt>
                <c:pt idx="102">
                  <c:v>1341.8770999999251</c:v>
                </c:pt>
                <c:pt idx="103">
                  <c:v>903.38149999990128</c:v>
                </c:pt>
                <c:pt idx="104">
                  <c:v>2123.6108999999706</c:v>
                </c:pt>
                <c:pt idx="107">
                  <c:v>3025.5921000000089</c:v>
                </c:pt>
                <c:pt idx="108">
                  <c:v>2574.9122999999672</c:v>
                </c:pt>
                <c:pt idx="109">
                  <c:v>761.89160000020638</c:v>
                </c:pt>
                <c:pt idx="110">
                  <c:v>-3399.8409000001848</c:v>
                </c:pt>
                <c:pt idx="111">
                  <c:v>-3392.2132999999449</c:v>
                </c:pt>
                <c:pt idx="114">
                  <c:v>-153.13870000001043</c:v>
                </c:pt>
                <c:pt idx="115">
                  <c:v>-866.55899999989197</c:v>
                </c:pt>
                <c:pt idx="116">
                  <c:v>-724.31830000004265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2-4FE8-935B-11EBE6B42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72474224"/>
        <c:axId val="602992400"/>
      </c:barChart>
      <c:dateAx>
        <c:axId val="1872474224"/>
        <c:scaling>
          <c:orientation val="minMax"/>
        </c:scaling>
        <c:delete val="1"/>
        <c:axPos val="b"/>
        <c:numFmt formatCode="[$-409]dd\-mmm\-yy;@" sourceLinked="1"/>
        <c:majorTickMark val="out"/>
        <c:minorTickMark val="none"/>
        <c:tickLblPos val="nextTo"/>
        <c:crossAx val="602992400"/>
        <c:crosses val="autoZero"/>
        <c:auto val="1"/>
        <c:lblOffset val="100"/>
        <c:baseTimeUnit val="days"/>
      </c:dateAx>
      <c:valAx>
        <c:axId val="6029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4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ARKB!$F$5</c:f>
              <c:strCache>
                <c:ptCount val="1"/>
                <c:pt idx="0">
                  <c:v> DIFF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ARKB!$B$14:$B$158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ARKB!$F$14:$F$158</c:f>
              <c:numCache>
                <c:formatCode>_(* #,##0.0000_);_(* \(#,##0.0000\);_(* "-"??_);_(@_)</c:formatCode>
                <c:ptCount val="145"/>
                <c:pt idx="0">
                  <c:v>1.3655606103384343E-3</c:v>
                </c:pt>
                <c:pt idx="1">
                  <c:v>1.3298274170665536E-3</c:v>
                </c:pt>
                <c:pt idx="2">
                  <c:v>1.2940042329319112E-3</c:v>
                </c:pt>
                <c:pt idx="3">
                  <c:v>1.1859399337481591E-3</c:v>
                </c:pt>
                <c:pt idx="4">
                  <c:v>1.1497221803438151E-3</c:v>
                </c:pt>
                <c:pt idx="7">
                  <c:v>1.1133911143588193E-3</c:v>
                </c:pt>
                <c:pt idx="8">
                  <c:v>1.0769842351692205E-3</c:v>
                </c:pt>
                <c:pt idx="9">
                  <c:v>1.0404575928077975E-3</c:v>
                </c:pt>
                <c:pt idx="10">
                  <c:v>9.3030268726579379E-4</c:v>
                </c:pt>
                <c:pt idx="11">
                  <c:v>8.933766616792127E-4</c:v>
                </c:pt>
                <c:pt idx="15">
                  <c:v>8.1924573623837205E-4</c:v>
                </c:pt>
                <c:pt idx="16">
                  <c:v>7.8202956638051546E-4</c:v>
                </c:pt>
                <c:pt idx="17">
                  <c:v>6.6977293408854166E-4</c:v>
                </c:pt>
                <c:pt idx="21">
                  <c:v>5.9443017198645975E-4</c:v>
                </c:pt>
                <c:pt idx="22">
                  <c:v>5.566078443735023E-4</c:v>
                </c:pt>
                <c:pt idx="25">
                  <c:v>0</c:v>
                </c:pt>
                <c:pt idx="28">
                  <c:v>3.2765429341452545E-4</c:v>
                </c:pt>
                <c:pt idx="29">
                  <c:v>2.8913147298226249E-4</c:v>
                </c:pt>
                <c:pt idx="31">
                  <c:v>1.4487630278381403E-4</c:v>
                </c:pt>
                <c:pt idx="32">
                  <c:v>1.058483867382165E-4</c:v>
                </c:pt>
                <c:pt idx="35">
                  <c:v>6.6731457536661765E-5</c:v>
                </c:pt>
                <c:pt idx="36">
                  <c:v>2.7515769488672959E-5</c:v>
                </c:pt>
                <c:pt idx="37">
                  <c:v>-1.1790861663030228E-5</c:v>
                </c:pt>
                <c:pt idx="38">
                  <c:v>-1.3032408014623797E-4</c:v>
                </c:pt>
                <c:pt idx="39">
                  <c:v>-1.70033913491352E-4</c:v>
                </c:pt>
                <c:pt idx="42">
                  <c:v>-1.3005250957576209E-4</c:v>
                </c:pt>
                <c:pt idx="43">
                  <c:v>-1.2984655722902971E-4</c:v>
                </c:pt>
                <c:pt idx="44">
                  <c:v>-9.8602617072174326E-5</c:v>
                </c:pt>
                <c:pt idx="45">
                  <c:v>-1.0603221653582295E-5</c:v>
                </c:pt>
                <c:pt idx="46">
                  <c:v>1.8751832612906583E-5</c:v>
                </c:pt>
                <c:pt idx="49">
                  <c:v>4.9074203161580954E-5</c:v>
                </c:pt>
                <c:pt idx="50">
                  <c:v>2.0008862975373631E-5</c:v>
                </c:pt>
                <c:pt idx="51">
                  <c:v>-9.0641578935901634E-6</c:v>
                </c:pt>
                <c:pt idx="52">
                  <c:v>-9.6799779839784605E-5</c:v>
                </c:pt>
                <c:pt idx="53">
                  <c:v>-9.1967580374330282E-5</c:v>
                </c:pt>
                <c:pt idx="56">
                  <c:v>-8.7162999989232048E-5</c:v>
                </c:pt>
                <c:pt idx="57">
                  <c:v>-5.4556684972340008E-5</c:v>
                </c:pt>
                <c:pt idx="58">
                  <c:v>-2.1984807062835898E-5</c:v>
                </c:pt>
                <c:pt idx="59">
                  <c:v>7.6036599693907192E-5</c:v>
                </c:pt>
                <c:pt idx="60">
                  <c:v>1.0914824315477745E-4</c:v>
                </c:pt>
                <c:pt idx="63">
                  <c:v>1.4216892532203929E-4</c:v>
                </c:pt>
                <c:pt idx="64">
                  <c:v>1.7717634364089463E-4</c:v>
                </c:pt>
                <c:pt idx="65">
                  <c:v>1.5698899460403481E-4</c:v>
                </c:pt>
                <c:pt idx="66">
                  <c:v>9.5944442364270799E-5</c:v>
                </c:pt>
                <c:pt idx="67">
                  <c:v>7.5831071171705844E-5</c:v>
                </c:pt>
                <c:pt idx="70">
                  <c:v>-1.5987545339157805E-5</c:v>
                </c:pt>
                <c:pt idx="71">
                  <c:v>-1.0787712199089583E-4</c:v>
                </c:pt>
                <c:pt idx="72">
                  <c:v>-1.9990164810224087E-4</c:v>
                </c:pt>
                <c:pt idx="73">
                  <c:v>0.53739653688626277</c:v>
                </c:pt>
                <c:pt idx="74">
                  <c:v>0.55469653688624021</c:v>
                </c:pt>
                <c:pt idx="78">
                  <c:v>0.62389653688614999</c:v>
                </c:pt>
                <c:pt idx="79">
                  <c:v>0.64545645926818906</c:v>
                </c:pt>
                <c:pt idx="80">
                  <c:v>0.11643591262554764</c:v>
                </c:pt>
                <c:pt idx="81">
                  <c:v>0.13414409994265952</c:v>
                </c:pt>
                <c:pt idx="84">
                  <c:v>0.18684563886881733</c:v>
                </c:pt>
                <c:pt idx="85">
                  <c:v>0.20544761372411813</c:v>
                </c:pt>
                <c:pt idx="86">
                  <c:v>0.22274761372409557</c:v>
                </c:pt>
                <c:pt idx="87">
                  <c:v>0.24214187324923842</c:v>
                </c:pt>
                <c:pt idx="88">
                  <c:v>0.25944187324921586</c:v>
                </c:pt>
                <c:pt idx="91">
                  <c:v>0.30298227077355477</c:v>
                </c:pt>
                <c:pt idx="92">
                  <c:v>0.32028227077353222</c:v>
                </c:pt>
                <c:pt idx="93">
                  <c:v>0.33758227077350966</c:v>
                </c:pt>
                <c:pt idx="94">
                  <c:v>0.35908890433847773</c:v>
                </c:pt>
                <c:pt idx="95">
                  <c:v>0.3758165051767719</c:v>
                </c:pt>
                <c:pt idx="98">
                  <c:v>0.42892742938238371</c:v>
                </c:pt>
                <c:pt idx="99">
                  <c:v>0.44622742938236115</c:v>
                </c:pt>
                <c:pt idx="100">
                  <c:v>0.47262016619970382</c:v>
                </c:pt>
                <c:pt idx="105">
                  <c:v>0.18787901979976596</c:v>
                </c:pt>
                <c:pt idx="106">
                  <c:v>0.20255378633055443</c:v>
                </c:pt>
                <c:pt idx="107">
                  <c:v>0.22483230751322481</c:v>
                </c:pt>
                <c:pt idx="108">
                  <c:v>0.25162443235876708</c:v>
                </c:pt>
                <c:pt idx="109">
                  <c:v>7.6591204580836347E-2</c:v>
                </c:pt>
                <c:pt idx="112">
                  <c:v>0.12586133682680156</c:v>
                </c:pt>
                <c:pt idx="113">
                  <c:v>0.14316133682677901</c:v>
                </c:pt>
                <c:pt idx="114">
                  <c:v>0.16329653336060801</c:v>
                </c:pt>
                <c:pt idx="115">
                  <c:v>0.17117151730144542</c:v>
                </c:pt>
                <c:pt idx="119">
                  <c:v>0.23703710037079873</c:v>
                </c:pt>
                <c:pt idx="120">
                  <c:v>0.25524635680176289</c:v>
                </c:pt>
                <c:pt idx="121">
                  <c:v>0.27254635680174033</c:v>
                </c:pt>
                <c:pt idx="122">
                  <c:v>0.29500558260860998</c:v>
                </c:pt>
                <c:pt idx="123">
                  <c:v>0.31230558260858743</c:v>
                </c:pt>
                <c:pt idx="126">
                  <c:v>0.13411293801755164</c:v>
                </c:pt>
                <c:pt idx="127">
                  <c:v>0.15118891662314127</c:v>
                </c:pt>
                <c:pt idx="128">
                  <c:v>0.16848891662311871</c:v>
                </c:pt>
                <c:pt idx="129">
                  <c:v>0.18578891662309616</c:v>
                </c:pt>
                <c:pt idx="130">
                  <c:v>0.2030889166230736</c:v>
                </c:pt>
                <c:pt idx="133">
                  <c:v>0.24718178573857585</c:v>
                </c:pt>
                <c:pt idx="134">
                  <c:v>8.6458499167292757E-2</c:v>
                </c:pt>
                <c:pt idx="135">
                  <c:v>0.1037584991672702</c:v>
                </c:pt>
                <c:pt idx="136">
                  <c:v>0.1212592037873037</c:v>
                </c:pt>
                <c:pt idx="137">
                  <c:v>0.13855920378728115</c:v>
                </c:pt>
                <c:pt idx="140">
                  <c:v>0.19045920378721348</c:v>
                </c:pt>
                <c:pt idx="141">
                  <c:v>0.20775920378719093</c:v>
                </c:pt>
                <c:pt idx="142">
                  <c:v>0.22648026695424051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5-4454-A702-01278F0D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968559"/>
        <c:axId val="1998971439"/>
      </c:lineChart>
      <c:dateAx>
        <c:axId val="199896855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71439"/>
        <c:crosses val="autoZero"/>
        <c:auto val="1"/>
        <c:lblOffset val="100"/>
        <c:baseTimeUnit val="days"/>
      </c:dateAx>
      <c:valAx>
        <c:axId val="19989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6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BTCW!$B$14:$B$158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BTCW!$E$14:$E$158</c:f>
              <c:numCache>
                <c:formatCode>_(* #,##0.0000_);_(* \(#,##0.0000\);_(* "-"??_);_(@_)</c:formatCode>
                <c:ptCount val="145"/>
                <c:pt idx="0">
                  <c:v>1.3206132895220435E-3</c:v>
                </c:pt>
                <c:pt idx="1">
                  <c:v>2.616175783032304E-3</c:v>
                </c:pt>
                <c:pt idx="2">
                  <c:v>3.1774926276284532E-3</c:v>
                </c:pt>
                <c:pt idx="3">
                  <c:v>2.7502779040560199E-3</c:v>
                </c:pt>
                <c:pt idx="4">
                  <c:v>3.8817410394358376E-3</c:v>
                </c:pt>
                <c:pt idx="7">
                  <c:v>7.8334826338277708E-3</c:v>
                </c:pt>
                <c:pt idx="9">
                  <c:v>3.4861887389752155E-3</c:v>
                </c:pt>
                <c:pt idx="10">
                  <c:v>1.9541331391792482E-3</c:v>
                </c:pt>
                <c:pt idx="11">
                  <c:v>1.2622805968476314E-3</c:v>
                </c:pt>
                <c:pt idx="15">
                  <c:v>3.046673314202053E-4</c:v>
                </c:pt>
                <c:pt idx="16">
                  <c:v>3.5774303280504682E-3</c:v>
                </c:pt>
                <c:pt idx="17">
                  <c:v>-2.1524584656162915E-3</c:v>
                </c:pt>
                <c:pt idx="21">
                  <c:v>-7.5319272135629944E-3</c:v>
                </c:pt>
                <c:pt idx="22">
                  <c:v>-2.9850157380906239E-3</c:v>
                </c:pt>
                <c:pt idx="23">
                  <c:v>-1.9966159246678217E-3</c:v>
                </c:pt>
                <c:pt idx="24">
                  <c:v>-5.6408706384445395E-3</c:v>
                </c:pt>
                <c:pt idx="28">
                  <c:v>-7.6759104522352573E-3</c:v>
                </c:pt>
                <c:pt idx="29">
                  <c:v>-8.3614381625238821E-3</c:v>
                </c:pt>
                <c:pt idx="30">
                  <c:v>-6.4338386299596095E-3</c:v>
                </c:pt>
                <c:pt idx="31">
                  <c:v>-5.863984296183844E-3</c:v>
                </c:pt>
                <c:pt idx="32">
                  <c:v>-4.9203670473616512E-3</c:v>
                </c:pt>
                <c:pt idx="35">
                  <c:v>-5.0745095402362494E-3</c:v>
                </c:pt>
                <c:pt idx="36">
                  <c:v>-3.4257172474099207E-3</c:v>
                </c:pt>
                <c:pt idx="37">
                  <c:v>-2.7130509042763151E-3</c:v>
                </c:pt>
                <c:pt idx="38">
                  <c:v>-2.3538211081586269E-3</c:v>
                </c:pt>
                <c:pt idx="39">
                  <c:v>6.5886778213553043E-4</c:v>
                </c:pt>
                <c:pt idx="42">
                  <c:v>-8.8766249041327683E-4</c:v>
                </c:pt>
                <c:pt idx="43">
                  <c:v>-2.2857347569242847E-3</c:v>
                </c:pt>
                <c:pt idx="44">
                  <c:v>3.6995236863504033E-3</c:v>
                </c:pt>
                <c:pt idx="45">
                  <c:v>1.9808912825283187E-3</c:v>
                </c:pt>
                <c:pt idx="46">
                  <c:v>1.7812052908539044E-3</c:v>
                </c:pt>
                <c:pt idx="49">
                  <c:v>7.0898047397349728E-6</c:v>
                </c:pt>
                <c:pt idx="50">
                  <c:v>-1.2012885499643744E-3</c:v>
                </c:pt>
                <c:pt idx="51">
                  <c:v>-3.1494732409100834E-3</c:v>
                </c:pt>
                <c:pt idx="52">
                  <c:v>-7.803165076438745E-4</c:v>
                </c:pt>
                <c:pt idx="53">
                  <c:v>4.0169486093191153E-3</c:v>
                </c:pt>
                <c:pt idx="56">
                  <c:v>8.1359032409409338E-3</c:v>
                </c:pt>
                <c:pt idx="57">
                  <c:v>6.4531344712577265E-3</c:v>
                </c:pt>
                <c:pt idx="58">
                  <c:v>6.3681811560627466E-3</c:v>
                </c:pt>
                <c:pt idx="59">
                  <c:v>5.8459996268993564E-3</c:v>
                </c:pt>
                <c:pt idx="60">
                  <c:v>5.8562303255484949E-3</c:v>
                </c:pt>
                <c:pt idx="63">
                  <c:v>7.5077439906863219E-3</c:v>
                </c:pt>
                <c:pt idx="64">
                  <c:v>6.4402222416219956E-3</c:v>
                </c:pt>
                <c:pt idx="65">
                  <c:v>5.1704240554499847E-3</c:v>
                </c:pt>
                <c:pt idx="66">
                  <c:v>7.4522410229747038E-3</c:v>
                </c:pt>
                <c:pt idx="67">
                  <c:v>4.5797521487429549E-3</c:v>
                </c:pt>
                <c:pt idx="70">
                  <c:v>9.3574157892817311E-4</c:v>
                </c:pt>
                <c:pt idx="71">
                  <c:v>1.1935312610376059E-3</c:v>
                </c:pt>
                <c:pt idx="72">
                  <c:v>2.2539298273613895E-3</c:v>
                </c:pt>
                <c:pt idx="73">
                  <c:v>2.3520886988990242E-3</c:v>
                </c:pt>
                <c:pt idx="74">
                  <c:v>-5.2055224455216376E-4</c:v>
                </c:pt>
                <c:pt idx="78">
                  <c:v>-8.0493722100527521E-4</c:v>
                </c:pt>
                <c:pt idx="79">
                  <c:v>-3.081545515669859E-3</c:v>
                </c:pt>
                <c:pt idx="80">
                  <c:v>-7.0089556494394856E-3</c:v>
                </c:pt>
                <c:pt idx="81">
                  <c:v>-6.8955020133216749E-3</c:v>
                </c:pt>
                <c:pt idx="84">
                  <c:v>-1.282558088166752E-2</c:v>
                </c:pt>
                <c:pt idx="85">
                  <c:v>-2.8253950467728828E-2</c:v>
                </c:pt>
                <c:pt idx="86">
                  <c:v>-2.5659200934001092E-2</c:v>
                </c:pt>
                <c:pt idx="87">
                  <c:v>-2.6422805950346628E-2</c:v>
                </c:pt>
                <c:pt idx="88">
                  <c:v>-2.880872394700873E-2</c:v>
                </c:pt>
                <c:pt idx="91">
                  <c:v>-2.5347867963660065E-2</c:v>
                </c:pt>
                <c:pt idx="92">
                  <c:v>-2.6905826045094727E-2</c:v>
                </c:pt>
                <c:pt idx="93">
                  <c:v>-2.689335736636167E-2</c:v>
                </c:pt>
                <c:pt idx="94">
                  <c:v>-2.4754959503411555E-2</c:v>
                </c:pt>
                <c:pt idx="95">
                  <c:v>-2.4664994076147195E-2</c:v>
                </c:pt>
                <c:pt idx="98">
                  <c:v>-2.0227087251896592E-2</c:v>
                </c:pt>
                <c:pt idx="99">
                  <c:v>-2.1829095684779531E-2</c:v>
                </c:pt>
                <c:pt idx="100">
                  <c:v>-2.3379416450097779E-2</c:v>
                </c:pt>
                <c:pt idx="101">
                  <c:v>-2.6915397756056336E-2</c:v>
                </c:pt>
                <c:pt idx="105">
                  <c:v>-2.3211702175217397E-2</c:v>
                </c:pt>
                <c:pt idx="106">
                  <c:v>-2.7861887270432817E-2</c:v>
                </c:pt>
                <c:pt idx="107">
                  <c:v>-3.4599755424665091E-2</c:v>
                </c:pt>
                <c:pt idx="108">
                  <c:v>-3.5883873077409589E-2</c:v>
                </c:pt>
                <c:pt idx="109">
                  <c:v>-3.4101772319559132E-2</c:v>
                </c:pt>
                <c:pt idx="112">
                  <c:v>-3.2692577346438156E-2</c:v>
                </c:pt>
                <c:pt idx="113">
                  <c:v>-3.8292965552727765E-2</c:v>
                </c:pt>
                <c:pt idx="114">
                  <c:v>-3.2818359942098141E-2</c:v>
                </c:pt>
                <c:pt idx="115">
                  <c:v>-2.805923685025391E-2</c:v>
                </c:pt>
                <c:pt idx="119">
                  <c:v>-2.7411238312083697E-2</c:v>
                </c:pt>
                <c:pt idx="120">
                  <c:v>-2.7457051803025934E-2</c:v>
                </c:pt>
                <c:pt idx="121">
                  <c:v>-2.8683507615824055E-2</c:v>
                </c:pt>
                <c:pt idx="122">
                  <c:v>-2.7707150294645544E-2</c:v>
                </c:pt>
                <c:pt idx="123">
                  <c:v>-2.7013941102154604E-2</c:v>
                </c:pt>
                <c:pt idx="126">
                  <c:v>-2.9381912792814546E-2</c:v>
                </c:pt>
                <c:pt idx="127">
                  <c:v>-2.5816365443120048E-2</c:v>
                </c:pt>
                <c:pt idx="128">
                  <c:v>-2.53516894247241E-2</c:v>
                </c:pt>
                <c:pt idx="129">
                  <c:v>-2.6337347168691849E-2</c:v>
                </c:pt>
                <c:pt idx="130">
                  <c:v>-2.6524688065023838E-2</c:v>
                </c:pt>
                <c:pt idx="133">
                  <c:v>-2.4498392834857441E-2</c:v>
                </c:pt>
                <c:pt idx="134">
                  <c:v>-2.1904586308323815E-2</c:v>
                </c:pt>
                <c:pt idx="135">
                  <c:v>-2.2997652635694976E-2</c:v>
                </c:pt>
                <c:pt idx="136">
                  <c:v>-2.5386602831872551E-2</c:v>
                </c:pt>
                <c:pt idx="137">
                  <c:v>-2.7066896279166031E-2</c:v>
                </c:pt>
                <c:pt idx="141">
                  <c:v>-2.8435312611577501E-2</c:v>
                </c:pt>
                <c:pt idx="142">
                  <c:v>-2.760210728945367E-2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D-4AF0-8B4D-B131F906C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61743"/>
        <c:axId val="1995366543"/>
      </c:lineChart>
      <c:dateAx>
        <c:axId val="199536174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6543"/>
        <c:crosses val="autoZero"/>
        <c:auto val="1"/>
        <c:lblOffset val="100"/>
        <c:baseTimeUnit val="days"/>
      </c:dateAx>
      <c:valAx>
        <c:axId val="19953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BITB!$B$14:$B$158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BITB!$E$14:$E$158</c:f>
              <c:numCache>
                <c:formatCode>_(* #,##0.0000_);_(* \(#,##0.0000\);_(* "-"??_);_(@_)</c:formatCode>
                <c:ptCount val="145"/>
                <c:pt idx="0">
                  <c:v>1.6994512721112187E-2</c:v>
                </c:pt>
                <c:pt idx="1">
                  <c:v>1.8516297699989082E-2</c:v>
                </c:pt>
                <c:pt idx="2">
                  <c:v>1.9352128409991565E-2</c:v>
                </c:pt>
                <c:pt idx="3">
                  <c:v>-1.4664659390746237E-3</c:v>
                </c:pt>
                <c:pt idx="4">
                  <c:v>1.8585246880320483E-4</c:v>
                </c:pt>
                <c:pt idx="7">
                  <c:v>2.6260377410835645E-2</c:v>
                </c:pt>
                <c:pt idx="8">
                  <c:v>2.7518533028342063E-2</c:v>
                </c:pt>
                <c:pt idx="9">
                  <c:v>1.9616300901134309E-2</c:v>
                </c:pt>
                <c:pt idx="10">
                  <c:v>-2.917370370369099E-3</c:v>
                </c:pt>
                <c:pt idx="11">
                  <c:v>-4.0705614740090823E-3</c:v>
                </c:pt>
                <c:pt idx="15">
                  <c:v>1.4537072436496601E-2</c:v>
                </c:pt>
                <c:pt idx="16">
                  <c:v>1.9571018412534613E-2</c:v>
                </c:pt>
                <c:pt idx="17">
                  <c:v>-9.6253265164705226E-3</c:v>
                </c:pt>
                <c:pt idx="18">
                  <c:v>-2.0676020310020249E-2</c:v>
                </c:pt>
                <c:pt idx="21">
                  <c:v>1.9227072568810399E-3</c:v>
                </c:pt>
                <c:pt idx="22">
                  <c:v>9.0581861672944797E-3</c:v>
                </c:pt>
                <c:pt idx="23">
                  <c:v>-2.1199520891741486E-2</c:v>
                </c:pt>
                <c:pt idx="24">
                  <c:v>-2.1362991308706114E-2</c:v>
                </c:pt>
                <c:pt idx="25">
                  <c:v>0</c:v>
                </c:pt>
                <c:pt idx="28">
                  <c:v>1.0956732726754126E-2</c:v>
                </c:pt>
                <c:pt idx="29">
                  <c:v>9.9801264307188831E-3</c:v>
                </c:pt>
                <c:pt idx="30">
                  <c:v>1.2560760206042687E-2</c:v>
                </c:pt>
                <c:pt idx="31">
                  <c:v>-6.7920212857188744E-3</c:v>
                </c:pt>
                <c:pt idx="32">
                  <c:v>-5.4851216409588233E-3</c:v>
                </c:pt>
                <c:pt idx="35">
                  <c:v>1.4383983376092147E-2</c:v>
                </c:pt>
                <c:pt idx="36">
                  <c:v>1.6694565862735544E-2</c:v>
                </c:pt>
                <c:pt idx="37">
                  <c:v>1.7733942397853752E-2</c:v>
                </c:pt>
                <c:pt idx="38">
                  <c:v>-1.996665703927647E-3</c:v>
                </c:pt>
                <c:pt idx="39">
                  <c:v>2.3349964926637767E-3</c:v>
                </c:pt>
                <c:pt idx="42">
                  <c:v>2.0226930589842596E-2</c:v>
                </c:pt>
                <c:pt idx="43">
                  <c:v>1.8103623032402538E-2</c:v>
                </c:pt>
                <c:pt idx="44">
                  <c:v>2.683335980236734E-2</c:v>
                </c:pt>
                <c:pt idx="45">
                  <c:v>3.700951498331051E-3</c:v>
                </c:pt>
                <c:pt idx="46">
                  <c:v>3.3315049292923504E-3</c:v>
                </c:pt>
                <c:pt idx="49">
                  <c:v>2.0731727018301171E-2</c:v>
                </c:pt>
                <c:pt idx="50">
                  <c:v>1.8767012987154885E-2</c:v>
                </c:pt>
                <c:pt idx="51">
                  <c:v>1.6108939041714621E-2</c:v>
                </c:pt>
                <c:pt idx="52">
                  <c:v>-4.3822533893944637E-4</c:v>
                </c:pt>
                <c:pt idx="53">
                  <c:v>-4.2984730384887371E-4</c:v>
                </c:pt>
                <c:pt idx="56">
                  <c:v>2.0375500808995639E-2</c:v>
                </c:pt>
                <c:pt idx="57">
                  <c:v>2.1134355786898595E-2</c:v>
                </c:pt>
                <c:pt idx="58">
                  <c:v>2.1018876461539548E-2</c:v>
                </c:pt>
                <c:pt idx="59">
                  <c:v>-9.9235946663611685E-5</c:v>
                </c:pt>
                <c:pt idx="60">
                  <c:v>-1.0333602995160618E-4</c:v>
                </c:pt>
                <c:pt idx="63">
                  <c:v>2.2375731809688659E-2</c:v>
                </c:pt>
                <c:pt idx="64">
                  <c:v>2.082091879356085E-2</c:v>
                </c:pt>
                <c:pt idx="65">
                  <c:v>1.8890512157440753E-2</c:v>
                </c:pt>
                <c:pt idx="66">
                  <c:v>2.0158231923232961E-3</c:v>
                </c:pt>
                <c:pt idx="67">
                  <c:v>-2.2609391862715711E-3</c:v>
                </c:pt>
                <c:pt idx="70">
                  <c:v>1.2368001589265987E-2</c:v>
                </c:pt>
                <c:pt idx="71">
                  <c:v>1.273651770543438E-2</c:v>
                </c:pt>
                <c:pt idx="72">
                  <c:v>1.4426389710251897E-2</c:v>
                </c:pt>
                <c:pt idx="73">
                  <c:v>-1.5716182073902019E-2</c:v>
                </c:pt>
                <c:pt idx="74">
                  <c:v>-2.0106212279188185E-2</c:v>
                </c:pt>
                <c:pt idx="78">
                  <c:v>9.5575759694384033E-3</c:v>
                </c:pt>
                <c:pt idx="79">
                  <c:v>6.1066643445428781E-3</c:v>
                </c:pt>
                <c:pt idx="80">
                  <c:v>-2.011579457530388E-2</c:v>
                </c:pt>
                <c:pt idx="81">
                  <c:v>-2.0033783380313253E-2</c:v>
                </c:pt>
                <c:pt idx="84">
                  <c:v>1.729856076053693E-4</c:v>
                </c:pt>
                <c:pt idx="85">
                  <c:v>-4.8782945304992609E-4</c:v>
                </c:pt>
                <c:pt idx="86">
                  <c:v>-8.9639562884258339E-4</c:v>
                </c:pt>
                <c:pt idx="87">
                  <c:v>-2.2041409339180973E-2</c:v>
                </c:pt>
                <c:pt idx="88">
                  <c:v>-2.4939312900869481E-2</c:v>
                </c:pt>
                <c:pt idx="91">
                  <c:v>-2.4362366593777551E-4</c:v>
                </c:pt>
                <c:pt idx="92">
                  <c:v>-2.3651054345918965E-3</c:v>
                </c:pt>
                <c:pt idx="93">
                  <c:v>-2.3775359561568621E-3</c:v>
                </c:pt>
                <c:pt idx="94">
                  <c:v>-1.96631084540968E-2</c:v>
                </c:pt>
                <c:pt idx="95">
                  <c:v>-1.953681044028599E-2</c:v>
                </c:pt>
                <c:pt idx="98">
                  <c:v>7.0016325100823451E-3</c:v>
                </c:pt>
                <c:pt idx="99">
                  <c:v>4.713047032510076E-3</c:v>
                </c:pt>
                <c:pt idx="100">
                  <c:v>-2.789658737492573E-2</c:v>
                </c:pt>
                <c:pt idx="101">
                  <c:v>-3.3073447755896268E-2</c:v>
                </c:pt>
                <c:pt idx="105">
                  <c:v>2.5346367735892272E-3</c:v>
                </c:pt>
                <c:pt idx="106">
                  <c:v>-4.6961442922111019E-3</c:v>
                </c:pt>
                <c:pt idx="107">
                  <c:v>-1.5166207560241673E-2</c:v>
                </c:pt>
                <c:pt idx="108">
                  <c:v>-3.7320946915542663E-2</c:v>
                </c:pt>
                <c:pt idx="109">
                  <c:v>-3.4611973374694571E-2</c:v>
                </c:pt>
                <c:pt idx="112">
                  <c:v>-1.2156175232576061E-2</c:v>
                </c:pt>
                <c:pt idx="113">
                  <c:v>-2.0901760909737277E-2</c:v>
                </c:pt>
                <c:pt idx="114">
                  <c:v>-5.1180341326698908E-2</c:v>
                </c:pt>
                <c:pt idx="115">
                  <c:v>-5.0947540039032901E-2</c:v>
                </c:pt>
                <c:pt idx="119">
                  <c:v>-1.8906173853565633E-2</c:v>
                </c:pt>
                <c:pt idx="120">
                  <c:v>-1.8984163126560816E-2</c:v>
                </c:pt>
                <c:pt idx="121">
                  <c:v>-2.0647789350732637E-2</c:v>
                </c:pt>
                <c:pt idx="122">
                  <c:v>-3.9488533926032687E-2</c:v>
                </c:pt>
                <c:pt idx="123">
                  <c:v>-3.8539422671192369E-2</c:v>
                </c:pt>
                <c:pt idx="126">
                  <c:v>-2.1856452312476904E-2</c:v>
                </c:pt>
                <c:pt idx="127">
                  <c:v>-1.6715712881932632E-2</c:v>
                </c:pt>
                <c:pt idx="128">
                  <c:v>-1.6042043919014759E-2</c:v>
                </c:pt>
                <c:pt idx="129">
                  <c:v>-3.7762995090588447E-2</c:v>
                </c:pt>
                <c:pt idx="130">
                  <c:v>-3.7991824159689713E-2</c:v>
                </c:pt>
                <c:pt idx="133">
                  <c:v>-1.4925989371704418E-2</c:v>
                </c:pt>
                <c:pt idx="134">
                  <c:v>-1.1165647400048329E-2</c:v>
                </c:pt>
                <c:pt idx="135">
                  <c:v>-1.2783249084804993E-2</c:v>
                </c:pt>
                <c:pt idx="136">
                  <c:v>-3.6482257595025658E-2</c:v>
                </c:pt>
                <c:pt idx="137">
                  <c:v>-3.8650650562203737E-2</c:v>
                </c:pt>
                <c:pt idx="141">
                  <c:v>-2.0459105636518871E-2</c:v>
                </c:pt>
                <c:pt idx="142">
                  <c:v>-1.9322867849268732E-2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A-4ED7-AFD7-5DA56561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940847"/>
        <c:axId val="1933945647"/>
      </c:lineChart>
      <c:dateAx>
        <c:axId val="1933940847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45647"/>
        <c:crosses val="autoZero"/>
        <c:auto val="1"/>
        <c:lblOffset val="100"/>
        <c:baseTimeUnit val="days"/>
      </c:dateAx>
      <c:valAx>
        <c:axId val="193394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4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BRRR!$B$14:$B$159</c:f>
              <c:numCache>
                <c:formatCode>[$-409]dd\-mmm\-yy;@</c:formatCode>
                <c:ptCount val="146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46235</c:v>
                </c:pt>
              </c:numCache>
            </c:numRef>
          </c:cat>
          <c:val>
            <c:numRef>
              <c:f>BRRR!$E$14:$E$159</c:f>
              <c:numCache>
                <c:formatCode>_(* #,##0.0000_);_(* \(#,##0.0000\);_(* "-"??_);_(@_)</c:formatCode>
                <c:ptCount val="146"/>
                <c:pt idx="0">
                  <c:v>-2.7689601799465891E-2</c:v>
                </c:pt>
                <c:pt idx="1">
                  <c:v>-2.6148901943543024E-2</c:v>
                </c:pt>
                <c:pt idx="2">
                  <c:v>-2.4608494402855285E-2</c:v>
                </c:pt>
                <c:pt idx="3">
                  <c:v>-2.8758396054399782E-2</c:v>
                </c:pt>
                <c:pt idx="8">
                  <c:v>-1.1815961793217866E-3</c:v>
                </c:pt>
                <c:pt idx="9">
                  <c:v>4.5959259341543657E-4</c:v>
                </c:pt>
                <c:pt idx="10">
                  <c:v>1.1964533678110456E-4</c:v>
                </c:pt>
                <c:pt idx="15">
                  <c:v>-2.4616551323560998E-2</c:v>
                </c:pt>
                <c:pt idx="16">
                  <c:v>-2.8440280317227007E-2</c:v>
                </c:pt>
                <c:pt idx="17">
                  <c:v>-2.6639584854365239E-2</c:v>
                </c:pt>
                <c:pt idx="21">
                  <c:v>-2.506481591717602E-2</c:v>
                </c:pt>
                <c:pt idx="22">
                  <c:v>-2.8890865837638557E-2</c:v>
                </c:pt>
                <c:pt idx="23">
                  <c:v>-2.7092027156868426E-2</c:v>
                </c:pt>
                <c:pt idx="25">
                  <c:v>0</c:v>
                </c:pt>
                <c:pt idx="28">
                  <c:v>-2.5527886051349924E-2</c:v>
                </c:pt>
                <c:pt idx="29">
                  <c:v>-2.3610598698724061E-2</c:v>
                </c:pt>
                <c:pt idx="30">
                  <c:v>-2.7289387010569044E-2</c:v>
                </c:pt>
                <c:pt idx="31">
                  <c:v>-2.5372735668042878E-2</c:v>
                </c:pt>
                <c:pt idx="35">
                  <c:v>-2.330512117850958E-2</c:v>
                </c:pt>
                <c:pt idx="36">
                  <c:v>-2.6986206336005125E-2</c:v>
                </c:pt>
                <c:pt idx="37">
                  <c:v>-2.5071392509744328E-2</c:v>
                </c:pt>
                <c:pt idx="38">
                  <c:v>-2.3156861398547335E-2</c:v>
                </c:pt>
                <c:pt idx="42">
                  <c:v>-2.8002719204778259E-2</c:v>
                </c:pt>
                <c:pt idx="43">
                  <c:v>-2.5823773339197942E-2</c:v>
                </c:pt>
                <c:pt idx="44">
                  <c:v>-2.3645103544822632E-2</c:v>
                </c:pt>
                <c:pt idx="45">
                  <c:v>-2.6997154534910806E-2</c:v>
                </c:pt>
                <c:pt idx="50">
                  <c:v>4.8264532279063133E-4</c:v>
                </c:pt>
                <c:pt idx="51">
                  <c:v>-2.871303810934478E-3</c:v>
                </c:pt>
                <c:pt idx="52">
                  <c:v>-6.9477374199777842E-4</c:v>
                </c:pt>
                <c:pt idx="53">
                  <c:v>-1.0393560814918601E-3</c:v>
                </c:pt>
                <c:pt idx="56">
                  <c:v>-1.3318834226083709E-3</c:v>
                </c:pt>
                <c:pt idx="57">
                  <c:v>4.4673093088931637E-4</c:v>
                </c:pt>
                <c:pt idx="58">
                  <c:v>-3.4054034954351664E-3</c:v>
                </c:pt>
                <c:pt idx="59">
                  <c:v>-1.6274329382213182E-3</c:v>
                </c:pt>
                <c:pt idx="60">
                  <c:v>1.8877335651268368E-4</c:v>
                </c:pt>
                <c:pt idx="63">
                  <c:v>-1.446207684239198E-3</c:v>
                </c:pt>
                <c:pt idx="64">
                  <c:v>-8.0678484664531425E-5</c:v>
                </c:pt>
                <c:pt idx="65">
                  <c:v>1.2845540077250917E-3</c:v>
                </c:pt>
                <c:pt idx="66">
                  <c:v>1.6854922214406542E-3</c:v>
                </c:pt>
                <c:pt idx="67">
                  <c:v>1.285803438804578E-3</c:v>
                </c:pt>
                <c:pt idx="70">
                  <c:v>-1.7944811493180168E-3</c:v>
                </c:pt>
                <c:pt idx="71">
                  <c:v>-3.7940529296065506E-3</c:v>
                </c:pt>
                <c:pt idx="72">
                  <c:v>-3.0653756666652043E-3</c:v>
                </c:pt>
                <c:pt idx="73">
                  <c:v>-2.3370118001366791E-3</c:v>
                </c:pt>
                <c:pt idx="74">
                  <c:v>-1.6089613359326904E-3</c:v>
                </c:pt>
                <c:pt idx="78">
                  <c:v>1.3001063689443981E-3</c:v>
                </c:pt>
                <c:pt idx="79">
                  <c:v>-3.8668384090669861E-3</c:v>
                </c:pt>
                <c:pt idx="80">
                  <c:v>-3.1407468536599481E-3</c:v>
                </c:pt>
                <c:pt idx="81">
                  <c:v>-9.041499665727315E-4</c:v>
                </c:pt>
                <c:pt idx="84">
                  <c:v>3.6483660187514033E-4</c:v>
                </c:pt>
                <c:pt idx="85">
                  <c:v>7.8718901340835146E-4</c:v>
                </c:pt>
                <c:pt idx="86">
                  <c:v>1.2092198580830882E-3</c:v>
                </c:pt>
                <c:pt idx="87">
                  <c:v>1.6309291295328876E-3</c:v>
                </c:pt>
                <c:pt idx="88">
                  <c:v>2.0523168218460341E-3</c:v>
                </c:pt>
                <c:pt idx="91">
                  <c:v>-2.6553941670499626E-3</c:v>
                </c:pt>
                <c:pt idx="92">
                  <c:v>-2.2353732611009036E-3</c:v>
                </c:pt>
                <c:pt idx="93">
                  <c:v>-1.8156739688492962E-3</c:v>
                </c:pt>
                <c:pt idx="94">
                  <c:v>-1.3962962962068559E-3</c:v>
                </c:pt>
                <c:pt idx="95">
                  <c:v>-9.7724025090428768E-4</c:v>
                </c:pt>
                <c:pt idx="98">
                  <c:v>2.7799806048278697E-4</c:v>
                </c:pt>
                <c:pt idx="99">
                  <c:v>6.9576753458022722E-4</c:v>
                </c:pt>
                <c:pt idx="100">
                  <c:v>1.1132153490507335E-3</c:v>
                </c:pt>
                <c:pt idx="101">
                  <c:v>1.5303414979825902E-3</c:v>
                </c:pt>
                <c:pt idx="105">
                  <c:v>-2.7754611041928001E-3</c:v>
                </c:pt>
                <c:pt idx="106">
                  <c:v>-2.360023806886602E-3</c:v>
                </c:pt>
                <c:pt idx="107">
                  <c:v>-1.9449082155915676E-3</c:v>
                </c:pt>
                <c:pt idx="108">
                  <c:v>-1.5301143375836546E-3</c:v>
                </c:pt>
                <c:pt idx="109">
                  <c:v>-2.3547234814031981E-3</c:v>
                </c:pt>
                <c:pt idx="112">
                  <c:v>-2.0437134367057297E-3</c:v>
                </c:pt>
                <c:pt idx="113">
                  <c:v>-1.9407037229939306E-3</c:v>
                </c:pt>
                <c:pt idx="115">
                  <c:v>1.6516687546754838E-3</c:v>
                </c:pt>
                <c:pt idx="119">
                  <c:v>-3.4996274007426109E-3</c:v>
                </c:pt>
                <c:pt idx="120">
                  <c:v>-3.2831438070388685E-3</c:v>
                </c:pt>
                <c:pt idx="121">
                  <c:v>-3.0669872703583678E-3</c:v>
                </c:pt>
                <c:pt idx="122">
                  <c:v>-2.8511577966128243E-3</c:v>
                </c:pt>
                <c:pt idx="123">
                  <c:v>-2.6356553930781956E-3</c:v>
                </c:pt>
                <c:pt idx="126">
                  <c:v>-1.9911106692234171E-3</c:v>
                </c:pt>
                <c:pt idx="127">
                  <c:v>-1.7769166133803083E-3</c:v>
                </c:pt>
                <c:pt idx="128">
                  <c:v>-1.5630496600351762E-3</c:v>
                </c:pt>
                <c:pt idx="129">
                  <c:v>-1.3495098169187258E-3</c:v>
                </c:pt>
                <c:pt idx="130">
                  <c:v>-1.1362970899426728E-3</c:v>
                </c:pt>
                <c:pt idx="133">
                  <c:v>-4.9862167679748381E-4</c:v>
                </c:pt>
                <c:pt idx="134">
                  <c:v>-2.8671748350461712E-4</c:v>
                </c:pt>
                <c:pt idx="135">
                  <c:v>-7.5140440003451658E-5</c:v>
                </c:pt>
                <c:pt idx="136">
                  <c:v>1.3610944643005496E-4</c:v>
                </c:pt>
                <c:pt idx="137">
                  <c:v>3.4703216988418717E-4</c:v>
                </c:pt>
                <c:pt idx="140">
                  <c:v>9.7783729279399267E-4</c:v>
                </c:pt>
                <c:pt idx="141">
                  <c:v>1.1874512961185246E-3</c:v>
                </c:pt>
                <c:pt idx="142">
                  <c:v>1.3967381023576309E-3</c:v>
                </c:pt>
                <c:pt idx="143">
                  <c:v>1.6056977060543431E-3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1-4301-AE92-41FD96BF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751455"/>
        <c:axId val="1941745695"/>
      </c:lineChart>
      <c:dateAx>
        <c:axId val="1941751455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5695"/>
        <c:crosses val="autoZero"/>
        <c:auto val="1"/>
        <c:lblOffset val="100"/>
        <c:baseTimeUnit val="days"/>
      </c:dateAx>
      <c:valAx>
        <c:axId val="19417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BTC!$E$14:$E$158</c:f>
              <c:numCache>
                <c:formatCode>_(* #,##0.0000_);_(* \(#,##0.0000\);_(* "-"??_);_(@_)</c:formatCode>
                <c:ptCount val="145"/>
                <c:pt idx="0">
                  <c:v>9.062810514933517E-3</c:v>
                </c:pt>
                <c:pt idx="1">
                  <c:v>1.8362810515100136E-2</c:v>
                </c:pt>
                <c:pt idx="2">
                  <c:v>-2.3430018082763127E-2</c:v>
                </c:pt>
                <c:pt idx="3">
                  <c:v>-1.4130018083051255E-2</c:v>
                </c:pt>
                <c:pt idx="4">
                  <c:v>-4.8300180828846351E-3</c:v>
                </c:pt>
                <c:pt idx="7">
                  <c:v>2.3069981917160476E-2</c:v>
                </c:pt>
                <c:pt idx="8">
                  <c:v>-1.8725156536220311E-2</c:v>
                </c:pt>
                <c:pt idx="9">
                  <c:v>-9.4251565360536915E-3</c:v>
                </c:pt>
                <c:pt idx="10">
                  <c:v>-1.251565358870721E-4</c:v>
                </c:pt>
                <c:pt idx="11">
                  <c:v>9.1748434638248E-3</c:v>
                </c:pt>
                <c:pt idx="15">
                  <c:v>-4.7226050000972464E-3</c:v>
                </c:pt>
                <c:pt idx="16">
                  <c:v>4.5773950000693731E-3</c:v>
                </c:pt>
                <c:pt idx="17">
                  <c:v>1.3877394999781245E-2</c:v>
                </c:pt>
                <c:pt idx="18">
                  <c:v>2.3177394999947865E-2</c:v>
                </c:pt>
                <c:pt idx="21">
                  <c:v>-2.2363632069755113E-5</c:v>
                </c:pt>
                <c:pt idx="22">
                  <c:v>9.277636367642117E-3</c:v>
                </c:pt>
                <c:pt idx="23">
                  <c:v>1.8577636367808736E-2</c:v>
                </c:pt>
                <c:pt idx="24">
                  <c:v>-2.3224432588904165E-2</c:v>
                </c:pt>
                <c:pt idx="28">
                  <c:v>1.3975567410852818E-2</c:v>
                </c:pt>
                <c:pt idx="29">
                  <c:v>2.3275567411019438E-2</c:v>
                </c:pt>
                <c:pt idx="30">
                  <c:v>-1.8528812026943342E-2</c:v>
                </c:pt>
                <c:pt idx="31">
                  <c:v>-9.2288120267767226E-3</c:v>
                </c:pt>
                <c:pt idx="32">
                  <c:v>7.1187973389896797E-5</c:v>
                </c:pt>
                <c:pt idx="35">
                  <c:v>-2.3135502102377359E-2</c:v>
                </c:pt>
                <c:pt idx="36">
                  <c:v>-1.3835502102665487E-2</c:v>
                </c:pt>
                <c:pt idx="37">
                  <c:v>-4.5355021024988673E-3</c:v>
                </c:pt>
                <c:pt idx="38">
                  <c:v>4.7644978972130048E-3</c:v>
                </c:pt>
                <c:pt idx="39">
                  <c:v>1.4064497897379624E-2</c:v>
                </c:pt>
                <c:pt idx="42">
                  <c:v>-9.1445029729584348E-3</c:v>
                </c:pt>
                <c:pt idx="43">
                  <c:v>1.5549702720818459E-4</c:v>
                </c:pt>
                <c:pt idx="44">
                  <c:v>9.4554970269200567E-3</c:v>
                </c:pt>
                <c:pt idx="46">
                  <c:v>-2.3055814794588514E-2</c:v>
                </c:pt>
                <c:pt idx="49">
                  <c:v>4.8441852050018497E-3</c:v>
                </c:pt>
                <c:pt idx="50">
                  <c:v>1.4144185205168469E-2</c:v>
                </c:pt>
                <c:pt idx="51">
                  <c:v>2.3444185205335089E-2</c:v>
                </c:pt>
                <c:pt idx="52">
                  <c:v>-1.8369437724686577E-2</c:v>
                </c:pt>
                <c:pt idx="53">
                  <c:v>-9.0694377245199576E-3</c:v>
                </c:pt>
                <c:pt idx="56">
                  <c:v>1.8830562275525153E-2</c:v>
                </c:pt>
                <c:pt idx="57">
                  <c:v>-2.2985371919276076E-2</c:v>
                </c:pt>
                <c:pt idx="58">
                  <c:v>-1.3685371919564204E-2</c:v>
                </c:pt>
                <c:pt idx="59">
                  <c:v>-4.3853719193975849E-3</c:v>
                </c:pt>
                <c:pt idx="60">
                  <c:v>4.9146280803142872E-3</c:v>
                </c:pt>
                <c:pt idx="63">
                  <c:v>-1.8303617535821104E-2</c:v>
                </c:pt>
                <c:pt idx="64">
                  <c:v>-9.0036175356544845E-3</c:v>
                </c:pt>
                <c:pt idx="65">
                  <c:v>2.963824645121349E-4</c:v>
                </c:pt>
                <c:pt idx="66">
                  <c:v>9.596382464224007E-3</c:v>
                </c:pt>
                <c:pt idx="67">
                  <c:v>1.8896382464390626E-2</c:v>
                </c:pt>
                <c:pt idx="70">
                  <c:v>-4.3241747307547485E-3</c:v>
                </c:pt>
                <c:pt idx="71">
                  <c:v>4.9758252689571236E-3</c:v>
                </c:pt>
                <c:pt idx="72">
                  <c:v>1.4275825269123743E-2</c:v>
                </c:pt>
                <c:pt idx="73">
                  <c:v>2.3575825269290362E-2</c:v>
                </c:pt>
                <c:pt idx="74">
                  <c:v>-1.8247043661176576E-2</c:v>
                </c:pt>
                <c:pt idx="78">
                  <c:v>1.8952956339035154E-2</c:v>
                </c:pt>
                <c:pt idx="79">
                  <c:v>-2.2872224483762693E-2</c:v>
                </c:pt>
                <c:pt idx="80">
                  <c:v>-1.3572224483596074E-2</c:v>
                </c:pt>
                <c:pt idx="81">
                  <c:v>-4.2722244834294543E-3</c:v>
                </c:pt>
                <c:pt idx="84">
                  <c:v>2.3627775516615657E-2</c:v>
                </c:pt>
                <c:pt idx="85">
                  <c:v>-1.819971735449144E-2</c:v>
                </c:pt>
                <c:pt idx="86">
                  <c:v>-8.8997173543248209E-3</c:v>
                </c:pt>
                <c:pt idx="87">
                  <c:v>4.0028264584179851E-4</c:v>
                </c:pt>
                <c:pt idx="88">
                  <c:v>9.7002826455536706E-3</c:v>
                </c:pt>
                <c:pt idx="91">
                  <c:v>-1.3529522431326768E-2</c:v>
                </c:pt>
                <c:pt idx="92">
                  <c:v>-4.2295224311601487E-3</c:v>
                </c:pt>
                <c:pt idx="93">
                  <c:v>5.0704775685517234E-3</c:v>
                </c:pt>
                <c:pt idx="94">
                  <c:v>1.4370477568718343E-2</c:v>
                </c:pt>
                <c:pt idx="95">
                  <c:v>2.3670477568884962E-2</c:v>
                </c:pt>
                <c:pt idx="98">
                  <c:v>4.383601290101069E-4</c:v>
                </c:pt>
                <c:pt idx="99">
                  <c:v>9.7383601291767263E-3</c:v>
                </c:pt>
                <c:pt idx="100">
                  <c:v>1.9038360129343346E-2</c:v>
                </c:pt>
                <c:pt idx="101">
                  <c:v>-2.2796069829837506E-2</c:v>
                </c:pt>
                <c:pt idx="105">
                  <c:v>1.4403930170374224E-2</c:v>
                </c:pt>
                <c:pt idx="106">
                  <c:v>2.3703930170540843E-2</c:v>
                </c:pt>
                <c:pt idx="107">
                  <c:v>-1.8132812464500603E-2</c:v>
                </c:pt>
                <c:pt idx="108">
                  <c:v>-8.8328124643339834E-3</c:v>
                </c:pt>
                <c:pt idx="109">
                  <c:v>4.6718753537788871E-4</c:v>
                </c:pt>
                <c:pt idx="112">
                  <c:v>-2.2771867932988243E-2</c:v>
                </c:pt>
                <c:pt idx="113">
                  <c:v>-1.3471867932821624E-2</c:v>
                </c:pt>
                <c:pt idx="114">
                  <c:v>-4.1718679326550046E-3</c:v>
                </c:pt>
                <c:pt idx="115">
                  <c:v>5.1281320670568675E-3</c:v>
                </c:pt>
                <c:pt idx="119">
                  <c:v>-8.8132363912336587E-3</c:v>
                </c:pt>
                <c:pt idx="120">
                  <c:v>4.8676360847821343E-4</c:v>
                </c:pt>
                <c:pt idx="121">
                  <c:v>9.7867636086448329E-3</c:v>
                </c:pt>
                <c:pt idx="122">
                  <c:v>1.9086763608811452E-2</c:v>
                </c:pt>
                <c:pt idx="123">
                  <c:v>-2.2756917997412529E-2</c:v>
                </c:pt>
                <c:pt idx="126">
                  <c:v>5.1430820026325819E-3</c:v>
                </c:pt>
                <c:pt idx="127">
                  <c:v>1.4443082002799201E-2</c:v>
                </c:pt>
                <c:pt idx="128">
                  <c:v>2.3743082002965821E-2</c:v>
                </c:pt>
                <c:pt idx="129">
                  <c:v>-1.8102912907124846E-2</c:v>
                </c:pt>
                <c:pt idx="130">
                  <c:v>-8.8029129069582268E-3</c:v>
                </c:pt>
                <c:pt idx="133">
                  <c:v>1.9097087093086884E-2</c:v>
                </c:pt>
                <c:pt idx="134">
                  <c:v>-2.2751221277758304E-2</c:v>
                </c:pt>
                <c:pt idx="135">
                  <c:v>-1.3451221277591685E-2</c:v>
                </c:pt>
                <c:pt idx="136">
                  <c:v>-4.1512212774250656E-3</c:v>
                </c:pt>
                <c:pt idx="137">
                  <c:v>5.1487787222868064E-3</c:v>
                </c:pt>
                <c:pt idx="140">
                  <c:v>-1.8101843265867501E-2</c:v>
                </c:pt>
                <c:pt idx="141">
                  <c:v>-8.8018432657008816E-3</c:v>
                </c:pt>
                <c:pt idx="142">
                  <c:v>4.9815673401099048E-4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4-43AA-8FF9-5BCE58CC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350719"/>
        <c:axId val="2027359839"/>
      </c:lineChart>
      <c:dateAx>
        <c:axId val="202735071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9839"/>
        <c:crosses val="autoZero"/>
        <c:auto val="1"/>
        <c:lblOffset val="100"/>
        <c:baseTimeUnit val="days"/>
      </c:dateAx>
      <c:valAx>
        <c:axId val="20273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GBTC!$F$14:$F$158</c:f>
              <c:numCache>
                <c:formatCode>_(* #,##0.0000_);_(* \(#,##0.0000\);_(* "-"??_);_(@_)</c:formatCode>
                <c:ptCount val="145"/>
                <c:pt idx="0">
                  <c:v>7.1136433052743087E-3</c:v>
                </c:pt>
                <c:pt idx="1">
                  <c:v>-6.0693391685617826E-3</c:v>
                </c:pt>
                <c:pt idx="2">
                  <c:v>-2.786015350238813E-3</c:v>
                </c:pt>
                <c:pt idx="3">
                  <c:v>4.9350284302818181E-4</c:v>
                </c:pt>
                <c:pt idx="4">
                  <c:v>3.7692149714985135E-3</c:v>
                </c:pt>
                <c:pt idx="7">
                  <c:v>-2.7059051581090898E-3</c:v>
                </c:pt>
                <c:pt idx="8">
                  <c:v>6.5330894153703412E-4</c:v>
                </c:pt>
                <c:pt idx="9">
                  <c:v>4.0087146305722854E-3</c:v>
                </c:pt>
                <c:pt idx="10">
                  <c:v>7.3603114688012283E-3</c:v>
                </c:pt>
                <c:pt idx="11">
                  <c:v>-5.7768183860389399E-3</c:v>
                </c:pt>
                <c:pt idx="15">
                  <c:v>7.571149178829728E-3</c:v>
                </c:pt>
                <c:pt idx="16">
                  <c:v>-5.5930794026153308E-3</c:v>
                </c:pt>
                <c:pt idx="17">
                  <c:v>-2.2706983791067614E-3</c:v>
                </c:pt>
                <c:pt idx="18">
                  <c:v>1.0478699766736099E-3</c:v>
                </c:pt>
                <c:pt idx="21">
                  <c:v>-5.517777092563847E-3</c:v>
                </c:pt>
                <c:pt idx="22">
                  <c:v>-2.2157353887450881E-3</c:v>
                </c:pt>
                <c:pt idx="23">
                  <c:v>1.0824912969837897E-3</c:v>
                </c:pt>
                <c:pt idx="24">
                  <c:v>4.3769025230631087E-3</c:v>
                </c:pt>
                <c:pt idx="28">
                  <c:v>1.008583983320932E-3</c:v>
                </c:pt>
                <c:pt idx="29">
                  <c:v>4.2826386390970583E-3</c:v>
                </c:pt>
                <c:pt idx="30">
                  <c:v>7.5528750401190337E-3</c:v>
                </c:pt>
                <c:pt idx="31">
                  <c:v>-5.692750028856608E-3</c:v>
                </c:pt>
                <c:pt idx="32">
                  <c:v>-2.4314246063568135E-3</c:v>
                </c:pt>
                <c:pt idx="35">
                  <c:v>7.3296315335937834E-3</c:v>
                </c:pt>
                <c:pt idx="36">
                  <c:v>-5.9431591801057948E-3</c:v>
                </c:pt>
                <c:pt idx="37">
                  <c:v>-2.7022107399261586E-3</c:v>
                </c:pt>
                <c:pt idx="38">
                  <c:v>5.3491561584451119E-4</c:v>
                </c:pt>
                <c:pt idx="39">
                  <c:v>3.7682194456465368E-3</c:v>
                </c:pt>
                <c:pt idx="42">
                  <c:v>-3.0817139331702492E-3</c:v>
                </c:pt>
                <c:pt idx="43">
                  <c:v>1.3502050569513813E-4</c:v>
                </c:pt>
                <c:pt idx="44">
                  <c:v>3.3479300593626249E-3</c:v>
                </c:pt>
                <c:pt idx="46">
                  <c:v>-6.7701580239827308E-3</c:v>
                </c:pt>
                <c:pt idx="49">
                  <c:v>2.8188313358441519E-3</c:v>
                </c:pt>
                <c:pt idx="50">
                  <c:v>6.007506333389756E-3</c:v>
                </c:pt>
                <c:pt idx="51">
                  <c:v>-7.3468819527988671E-3</c:v>
                </c:pt>
                <c:pt idx="52">
                  <c:v>-4.0671399542588915E-3</c:v>
                </c:pt>
                <c:pt idx="53">
                  <c:v>-7.9122712236312509E-4</c:v>
                </c:pt>
                <c:pt idx="56">
                  <c:v>-7.5325118020828086E-3</c:v>
                </c:pt>
                <c:pt idx="57">
                  <c:v>-4.2731971493594756E-3</c:v>
                </c:pt>
                <c:pt idx="58">
                  <c:v>-1.0177140284213237E-3</c:v>
                </c:pt>
                <c:pt idx="59">
                  <c:v>2.2339371171256062E-3</c:v>
                </c:pt>
                <c:pt idx="60">
                  <c:v>5.481755843902647E-3</c:v>
                </c:pt>
                <c:pt idx="63">
                  <c:v>-1.3531993463402614E-3</c:v>
                </c:pt>
                <c:pt idx="64">
                  <c:v>1.8780071029596002E-3</c:v>
                </c:pt>
                <c:pt idx="65">
                  <c:v>5.1053787653927429E-3</c:v>
                </c:pt>
                <c:pt idx="66">
                  <c:v>-8.2307583418241848E-3</c:v>
                </c:pt>
                <c:pt idx="67">
                  <c:v>-5.0123362418617035E-3</c:v>
                </c:pt>
                <c:pt idx="70">
                  <c:v>4.6199106784570176E-3</c:v>
                </c:pt>
                <c:pt idx="71">
                  <c:v>-8.7435097111665527E-3</c:v>
                </c:pt>
                <c:pt idx="72">
                  <c:v>-5.5455528383845376E-3</c:v>
                </c:pt>
                <c:pt idx="73">
                  <c:v>-2.3514346028150612E-3</c:v>
                </c:pt>
                <c:pt idx="74">
                  <c:v>8.3884454966209887E-4</c:v>
                </c:pt>
                <c:pt idx="78">
                  <c:v>-3.0143193725962192E-3</c:v>
                </c:pt>
                <c:pt idx="79">
                  <c:v>1.5547715906905069E-4</c:v>
                </c:pt>
                <c:pt idx="80">
                  <c:v>3.3214317902547918E-3</c:v>
                </c:pt>
                <c:pt idx="81">
                  <c:v>6.4835440757633478E-3</c:v>
                </c:pt>
                <c:pt idx="84">
                  <c:v>-6.3717096782056615E-4</c:v>
                </c:pt>
                <c:pt idx="85">
                  <c:v>2.5082860049678857E-3</c:v>
                </c:pt>
                <c:pt idx="86">
                  <c:v>5.6498982562516176E-3</c:v>
                </c:pt>
                <c:pt idx="87">
                  <c:v>-7.8006001906487654E-3</c:v>
                </c:pt>
                <c:pt idx="88">
                  <c:v>-4.6679606898578641E-3</c:v>
                </c:pt>
                <c:pt idx="91">
                  <c:v>4.7068787839634751E-3</c:v>
                </c:pt>
                <c:pt idx="92">
                  <c:v>-8.7709736428678298E-3</c:v>
                </c:pt>
                <c:pt idx="93">
                  <c:v>-5.658852401893455E-3</c:v>
                </c:pt>
                <c:pt idx="94">
                  <c:v>-2.5505797475489089E-3</c:v>
                </c:pt>
                <c:pt idx="95">
                  <c:v>5.5384387428603077E-4</c:v>
                </c:pt>
                <c:pt idx="98">
                  <c:v>-6.6592150192263944E-3</c:v>
                </c:pt>
                <c:pt idx="99">
                  <c:v>-3.4714756973244221E-3</c:v>
                </c:pt>
                <c:pt idx="100">
                  <c:v>-2.8758778876181168E-4</c:v>
                </c:pt>
                <c:pt idx="101">
                  <c:v>2.8924482589900435E-3</c:v>
                </c:pt>
                <c:pt idx="105">
                  <c:v>-1.0385834891621926E-3</c:v>
                </c:pt>
                <c:pt idx="106">
                  <c:v>2.1209017554610909E-3</c:v>
                </c:pt>
                <c:pt idx="107">
                  <c:v>5.2765323089261074E-3</c:v>
                </c:pt>
                <c:pt idx="108">
                  <c:v>-8.1886239124742133E-3</c:v>
                </c:pt>
                <c:pt idx="109">
                  <c:v>-5.0419893775597302E-3</c:v>
                </c:pt>
                <c:pt idx="112">
                  <c:v>4.3747753438765358E-3</c:v>
                </c:pt>
                <c:pt idx="113">
                  <c:v>-9.1178057994056871E-3</c:v>
                </c:pt>
                <c:pt idx="114">
                  <c:v>-5.9917427406617207E-3</c:v>
                </c:pt>
                <c:pt idx="115">
                  <c:v>-2.8695382513888035E-3</c:v>
                </c:pt>
                <c:pt idx="119">
                  <c:v>-7.0512509673790191E-3</c:v>
                </c:pt>
                <c:pt idx="120">
                  <c:v>-3.9496330782640143E-3</c:v>
                </c:pt>
                <c:pt idx="121">
                  <c:v>-8.5187659601615451E-4</c:v>
                </c:pt>
                <c:pt idx="122">
                  <c:v>2.2420180314384197E-3</c:v>
                </c:pt>
                <c:pt idx="123">
                  <c:v>5.3320503561735677E-3</c:v>
                </c:pt>
                <c:pt idx="126">
                  <c:v>-2.0624087308078742E-3</c:v>
                </c:pt>
                <c:pt idx="127">
                  <c:v>1.0108817648415425E-3</c:v>
                </c:pt>
                <c:pt idx="128">
                  <c:v>4.0803075653457199E-3</c:v>
                </c:pt>
                <c:pt idx="129">
                  <c:v>-9.4998038910034666E-3</c:v>
                </c:pt>
                <c:pt idx="130">
                  <c:v>-6.4393974582799274E-3</c:v>
                </c:pt>
                <c:pt idx="133">
                  <c:v>2.7186228967366333E-3</c:v>
                </c:pt>
                <c:pt idx="134">
                  <c:v>5.7635618700260238E-3</c:v>
                </c:pt>
                <c:pt idx="135">
                  <c:v>-7.8492031127552764E-3</c:v>
                </c:pt>
                <c:pt idx="136">
                  <c:v>-4.8132901426924946E-3</c:v>
                </c:pt>
                <c:pt idx="137">
                  <c:v>-1.7812462087931635E-3</c:v>
                </c:pt>
                <c:pt idx="140">
                  <c:v>-9.3690485718980199E-3</c:v>
                </c:pt>
                <c:pt idx="141">
                  <c:v>-6.3537756550431368E-3</c:v>
                </c:pt>
                <c:pt idx="142">
                  <c:v>-3.3423741722344857E-3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4-4751-8526-623B535E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663663"/>
        <c:axId val="1870016911"/>
      </c:lineChart>
      <c:dateAx>
        <c:axId val="194366366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16911"/>
        <c:crosses val="autoZero"/>
        <c:auto val="1"/>
        <c:lblOffset val="100"/>
        <c:baseTimeUnit val="days"/>
      </c:dateAx>
      <c:valAx>
        <c:axId val="18700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HODL!$B$14:$B$158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HODL!$E$14:$E$158</c:f>
              <c:numCache>
                <c:formatCode>_(* #,##0.0000_);_(* \(#,##0.0000\);_(* "-"??_);_(@_)</c:formatCode>
                <c:ptCount val="145"/>
                <c:pt idx="0">
                  <c:v>1.9076972330367425E-4</c:v>
                </c:pt>
                <c:pt idx="1">
                  <c:v>-7.982844226717134E-5</c:v>
                </c:pt>
                <c:pt idx="2">
                  <c:v>8.8012303422146942E-4</c:v>
                </c:pt>
                <c:pt idx="4">
                  <c:v>4.2043121629831148E-4</c:v>
                </c:pt>
                <c:pt idx="7">
                  <c:v>3.1916143825583276E-4</c:v>
                </c:pt>
                <c:pt idx="8">
                  <c:v>-1.9325281300552888E-5</c:v>
                </c:pt>
                <c:pt idx="9">
                  <c:v>3.569806799532671E-4</c:v>
                </c:pt>
                <c:pt idx="10">
                  <c:v>-2.6294833605788881E-4</c:v>
                </c:pt>
                <c:pt idx="11">
                  <c:v>-2.6294833605788881E-4</c:v>
                </c:pt>
                <c:pt idx="15">
                  <c:v>-7.1149837503980962E-4</c:v>
                </c:pt>
                <c:pt idx="16">
                  <c:v>5.4303650358633604E-6</c:v>
                </c:pt>
                <c:pt idx="17">
                  <c:v>-4.0957058354251785E-4</c:v>
                </c:pt>
                <c:pt idx="18">
                  <c:v>-8.9920280515798368E-4</c:v>
                </c:pt>
                <c:pt idx="21">
                  <c:v>-6.7475199557520682E-5</c:v>
                </c:pt>
                <c:pt idx="22">
                  <c:v>-6.7475199557520682E-5</c:v>
                </c:pt>
                <c:pt idx="23">
                  <c:v>1.4045664056538953E-4</c:v>
                </c:pt>
                <c:pt idx="24">
                  <c:v>-6.7475199557520682E-5</c:v>
                </c:pt>
                <c:pt idx="28">
                  <c:v>-3.3610767513891915E-4</c:v>
                </c:pt>
                <c:pt idx="29">
                  <c:v>-5.669758875228581E-4</c:v>
                </c:pt>
                <c:pt idx="30">
                  <c:v>7.3879633828255464E-4</c:v>
                </c:pt>
                <c:pt idx="31">
                  <c:v>-3.1310947861129534E-4</c:v>
                </c:pt>
                <c:pt idx="32">
                  <c:v>-7.5772874106405652E-4</c:v>
                </c:pt>
                <c:pt idx="35">
                  <c:v>1.5570729829050833E-4</c:v>
                </c:pt>
                <c:pt idx="36">
                  <c:v>-1.2764531629727571E-4</c:v>
                </c:pt>
                <c:pt idx="37">
                  <c:v>-6.1984586045582546E-4</c:v>
                </c:pt>
                <c:pt idx="38">
                  <c:v>-2.6346797494625207E-4</c:v>
                </c:pt>
                <c:pt idx="39">
                  <c:v>7.8447002215398243E-4</c:v>
                </c:pt>
                <c:pt idx="42">
                  <c:v>4.9727039640856674E-4</c:v>
                </c:pt>
                <c:pt idx="43">
                  <c:v>7.0580914280071738E-4</c:v>
                </c:pt>
                <c:pt idx="44">
                  <c:v>5.4892518437554827E-4</c:v>
                </c:pt>
                <c:pt idx="45">
                  <c:v>1.9076972330367425E-4</c:v>
                </c:pt>
                <c:pt idx="46">
                  <c:v>-5.8386405635246774E-4</c:v>
                </c:pt>
                <c:pt idx="49">
                  <c:v>2.5413532785023563E-4</c:v>
                </c:pt>
                <c:pt idx="50">
                  <c:v>-4.2582962259984924E-4</c:v>
                </c:pt>
                <c:pt idx="51">
                  <c:v>-2.2157755665830337E-6</c:v>
                </c:pt>
                <c:pt idx="52">
                  <c:v>-6.3763658408788615E-4</c:v>
                </c:pt>
                <c:pt idx="53">
                  <c:v>-4.0120717721947585E-4</c:v>
                </c:pt>
                <c:pt idx="56">
                  <c:v>-8.8514741355538717E-4</c:v>
                </c:pt>
                <c:pt idx="57">
                  <c:v>-8.8514741355538717E-4</c:v>
                </c:pt>
                <c:pt idx="58">
                  <c:v>-1.8904079206549795E-4</c:v>
                </c:pt>
                <c:pt idx="59">
                  <c:v>-4.0120717721947585E-4</c:v>
                </c:pt>
                <c:pt idx="60">
                  <c:v>-2.6030520984932082E-5</c:v>
                </c:pt>
                <c:pt idx="63">
                  <c:v>-6.6496942690719152E-4</c:v>
                </c:pt>
                <c:pt idx="64">
                  <c:v>1.3560254501499003E-4</c:v>
                </c:pt>
                <c:pt idx="65">
                  <c:v>-7.134232068892743E-4</c:v>
                </c:pt>
                <c:pt idx="66">
                  <c:v>-7.134232068892743E-4</c:v>
                </c:pt>
                <c:pt idx="67">
                  <c:v>-2.637333877828496E-4</c:v>
                </c:pt>
                <c:pt idx="70">
                  <c:v>1.5844989684410393E-4</c:v>
                </c:pt>
                <c:pt idx="71">
                  <c:v>-6.012111812196963E-4</c:v>
                </c:pt>
                <c:pt idx="72">
                  <c:v>2.481750361766899E-4</c:v>
                </c:pt>
                <c:pt idx="73">
                  <c:v>-3.8886458833076176E-4</c:v>
                </c:pt>
                <c:pt idx="74">
                  <c:v>6.7286799230714678E-4</c:v>
                </c:pt>
                <c:pt idx="78">
                  <c:v>-3.8886458833076176E-4</c:v>
                </c:pt>
                <c:pt idx="79">
                  <c:v>4.6052152674747049E-4</c:v>
                </c:pt>
                <c:pt idx="80">
                  <c:v>-6.012111812196963E-4</c:v>
                </c:pt>
                <c:pt idx="81">
                  <c:v>-6.012111812196963E-4</c:v>
                </c:pt>
                <c:pt idx="84">
                  <c:v>-3.8886458833076176E-4</c:v>
                </c:pt>
                <c:pt idx="85">
                  <c:v>-6.012111812196963E-4</c:v>
                </c:pt>
                <c:pt idx="86">
                  <c:v>-8.1355779957448249E-4</c:v>
                </c:pt>
                <c:pt idx="87">
                  <c:v>-6.012111812196963E-4</c:v>
                </c:pt>
                <c:pt idx="88">
                  <c:v>8.8521443194622407E-4</c:v>
                </c:pt>
                <c:pt idx="91">
                  <c:v>1.8397725534669007E-4</c:v>
                </c:pt>
                <c:pt idx="92">
                  <c:v>3.9542588274343871E-4</c:v>
                </c:pt>
                <c:pt idx="93">
                  <c:v>-2.7471397515910212E-5</c:v>
                </c:pt>
                <c:pt idx="94">
                  <c:v>-2.7471397515910212E-5</c:v>
                </c:pt>
                <c:pt idx="95">
                  <c:v>-9.95946445982554E-4</c:v>
                </c:pt>
                <c:pt idx="98">
                  <c:v>-5.9166649225517176E-4</c:v>
                </c:pt>
                <c:pt idx="99">
                  <c:v>6.7259376146466821E-4</c:v>
                </c:pt>
                <c:pt idx="100">
                  <c:v>2.4205053568948642E-4</c:v>
                </c:pt>
                <c:pt idx="101">
                  <c:v>-2.3919420937090763E-4</c:v>
                </c:pt>
                <c:pt idx="105">
                  <c:v>-6.0950597071496304E-4</c:v>
                </c:pt>
                <c:pt idx="106">
                  <c:v>-2.518845462873287E-4</c:v>
                </c:pt>
                <c:pt idx="107">
                  <c:v>-8.996517076411692E-4</c:v>
                </c:pt>
                <c:pt idx="108">
                  <c:v>3.9588237814314198E-4</c:v>
                </c:pt>
                <c:pt idx="109">
                  <c:v>-2.9076566897856537E-4</c:v>
                </c:pt>
                <c:pt idx="112">
                  <c:v>-9.4646006664333981E-4</c:v>
                </c:pt>
                <c:pt idx="113">
                  <c:v>1.9612841788330115E-4</c:v>
                </c:pt>
                <c:pt idx="114">
                  <c:v>4.1383673260497744E-4</c:v>
                </c:pt>
                <c:pt idx="115">
                  <c:v>2.7188183548787492E-4</c:v>
                </c:pt>
                <c:pt idx="119">
                  <c:v>6.3870152143863379E-4</c:v>
                </c:pt>
                <c:pt idx="120">
                  <c:v>6.3870152143863379E-4</c:v>
                </c:pt>
                <c:pt idx="121">
                  <c:v>2.0610985529856407E-4</c:v>
                </c:pt>
                <c:pt idx="122">
                  <c:v>-1.0186017789237667E-5</c:v>
                </c:pt>
                <c:pt idx="123">
                  <c:v>3.4310963701500441E-4</c:v>
                </c:pt>
                <c:pt idx="126">
                  <c:v>7.1958056878429488E-4</c:v>
                </c:pt>
                <c:pt idx="127">
                  <c:v>6.2616263403469929E-4</c:v>
                </c:pt>
                <c:pt idx="128">
                  <c:v>-6.5280434728265391E-4</c:v>
                </c:pt>
                <c:pt idx="129">
                  <c:v>-8.6596560095131281E-4</c:v>
                </c:pt>
                <c:pt idx="130">
                  <c:v>-2.2648191725238576E-4</c:v>
                </c:pt>
                <c:pt idx="133">
                  <c:v>8.3932370762340724E-4</c:v>
                </c:pt>
                <c:pt idx="134">
                  <c:v>-4.6431539658442489E-4</c:v>
                </c:pt>
                <c:pt idx="135">
                  <c:v>5.9967623474221909E-4</c:v>
                </c:pt>
                <c:pt idx="136">
                  <c:v>1.7407965924576274E-4</c:v>
                </c:pt>
                <c:pt idx="137">
                  <c:v>3.8687795995429042E-4</c:v>
                </c:pt>
                <c:pt idx="140">
                  <c:v>-3.8718667383363936E-5</c:v>
                </c:pt>
                <c:pt idx="141">
                  <c:v>8.1247448451904347E-4</c:v>
                </c:pt>
                <c:pt idx="142">
                  <c:v>-3.8718667383363936E-5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A-4FA1-A95C-BF5F7C9BB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748575"/>
        <c:axId val="1941752895"/>
      </c:lineChart>
      <c:dateAx>
        <c:axId val="1941748575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2895"/>
        <c:crosses val="autoZero"/>
        <c:auto val="1"/>
        <c:lblOffset val="100"/>
        <c:baseTimeUnit val="days"/>
      </c:dateAx>
      <c:valAx>
        <c:axId val="194175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EZBC!$B$14:$B$158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EZBC!$E$14:$E$158</c:f>
              <c:numCache>
                <c:formatCode>_(* #,##0.0000_);_(* \(#,##0.0000\);_(* "-"??_);_(@_)</c:formatCode>
                <c:ptCount val="145"/>
                <c:pt idx="0">
                  <c:v>-0.32797193734268149</c:v>
                </c:pt>
                <c:pt idx="2">
                  <c:v>-0.31980058670478684</c:v>
                </c:pt>
                <c:pt idx="3">
                  <c:v>-0.32182490670447805</c:v>
                </c:pt>
                <c:pt idx="4">
                  <c:v>-0.33505009888563109</c:v>
                </c:pt>
                <c:pt idx="8">
                  <c:v>-0.16590329808127535</c:v>
                </c:pt>
                <c:pt idx="9">
                  <c:v>-0.30856203943130822</c:v>
                </c:pt>
                <c:pt idx="11">
                  <c:v>-0.32172977470281694</c:v>
                </c:pt>
                <c:pt idx="15">
                  <c:v>-0.30516358448744541</c:v>
                </c:pt>
                <c:pt idx="16">
                  <c:v>-0.30065979677647192</c:v>
                </c:pt>
                <c:pt idx="17">
                  <c:v>-0.308656220943476</c:v>
                </c:pt>
                <c:pt idx="21">
                  <c:v>-0.31628988202169239</c:v>
                </c:pt>
                <c:pt idx="22">
                  <c:v>-0.31001995137239646</c:v>
                </c:pt>
                <c:pt idx="23">
                  <c:v>-0.30866831972502951</c:v>
                </c:pt>
                <c:pt idx="24">
                  <c:v>-0.34082992828848546</c:v>
                </c:pt>
                <c:pt idx="28">
                  <c:v>3.490696447420305E-2</c:v>
                </c:pt>
                <c:pt idx="29">
                  <c:v>4.3906956438149791E-2</c:v>
                </c:pt>
                <c:pt idx="30">
                  <c:v>5.2906947067640431E-2</c:v>
                </c:pt>
                <c:pt idx="31">
                  <c:v>6.0327437669911887E-2</c:v>
                </c:pt>
                <c:pt idx="32">
                  <c:v>6.9327418806551577E-2</c:v>
                </c:pt>
                <c:pt idx="35">
                  <c:v>9.6327422475724234E-2</c:v>
                </c:pt>
                <c:pt idx="36">
                  <c:v>0.10532743691055657</c:v>
                </c:pt>
                <c:pt idx="37">
                  <c:v>-0.1433416454201506</c:v>
                </c:pt>
                <c:pt idx="38">
                  <c:v>-0.1343416359359253</c:v>
                </c:pt>
                <c:pt idx="39">
                  <c:v>-0.12534162886868216</c:v>
                </c:pt>
                <c:pt idx="42">
                  <c:v>-9.8341649179928936E-2</c:v>
                </c:pt>
                <c:pt idx="43">
                  <c:v>-8.9341657750537706E-2</c:v>
                </c:pt>
                <c:pt idx="44">
                  <c:v>-8.0341632133695384E-2</c:v>
                </c:pt>
                <c:pt idx="45">
                  <c:v>-7.1341628553909686E-2</c:v>
                </c:pt>
                <c:pt idx="46">
                  <c:v>-6.2341652750319554E-2</c:v>
                </c:pt>
                <c:pt idx="49">
                  <c:v>-3.5341630682069081E-2</c:v>
                </c:pt>
                <c:pt idx="50">
                  <c:v>-2.6341658351157093E-2</c:v>
                </c:pt>
                <c:pt idx="51">
                  <c:v>-1.3856020910225197E-2</c:v>
                </c:pt>
                <c:pt idx="52">
                  <c:v>-4.8559884926362429E-3</c:v>
                </c:pt>
                <c:pt idx="53">
                  <c:v>4.1439790470576554E-3</c:v>
                </c:pt>
                <c:pt idx="56">
                  <c:v>3.1144011517199033E-2</c:v>
                </c:pt>
                <c:pt idx="57">
                  <c:v>4.0144002717397598E-2</c:v>
                </c:pt>
                <c:pt idx="58">
                  <c:v>5.3346147127740551E-2</c:v>
                </c:pt>
                <c:pt idx="59">
                  <c:v>6.234614655909354E-2</c:v>
                </c:pt>
                <c:pt idx="60">
                  <c:v>7.1346133539009315E-2</c:v>
                </c:pt>
                <c:pt idx="63">
                  <c:v>9.8346128960884016E-2</c:v>
                </c:pt>
                <c:pt idx="64">
                  <c:v>0.10734614569855694</c:v>
                </c:pt>
                <c:pt idx="65">
                  <c:v>0.11634615027492146</c:v>
                </c:pt>
                <c:pt idx="66">
                  <c:v>0.13646027437584962</c:v>
                </c:pt>
                <c:pt idx="67">
                  <c:v>-0.11810142683111735</c:v>
                </c:pt>
                <c:pt idx="70">
                  <c:v>-8.8554772607722043E-2</c:v>
                </c:pt>
                <c:pt idx="71">
                  <c:v>-7.9554798070603283E-2</c:v>
                </c:pt>
                <c:pt idx="72">
                  <c:v>-7.0554778910036475E-2</c:v>
                </c:pt>
                <c:pt idx="73">
                  <c:v>-6.1554779352491096E-2</c:v>
                </c:pt>
                <c:pt idx="74">
                  <c:v>-5.2554799235167593E-2</c:v>
                </c:pt>
                <c:pt idx="78">
                  <c:v>-1.7635118182852239E-2</c:v>
                </c:pt>
                <c:pt idx="79">
                  <c:v>-8.6351181828376866E-3</c:v>
                </c:pt>
                <c:pt idx="80">
                  <c:v>3.648818171768653E-4</c:v>
                </c:pt>
                <c:pt idx="81">
                  <c:v>9.3648818171914172E-3</c:v>
                </c:pt>
                <c:pt idx="84">
                  <c:v>3.6364881817007699E-2</c:v>
                </c:pt>
                <c:pt idx="85">
                  <c:v>4.5364881817022251E-2</c:v>
                </c:pt>
                <c:pt idx="86">
                  <c:v>5.4364881817036803E-2</c:v>
                </c:pt>
                <c:pt idx="87">
                  <c:v>6.3364881817051355E-2</c:v>
                </c:pt>
                <c:pt idx="88">
                  <c:v>7.2364881817065907E-2</c:v>
                </c:pt>
                <c:pt idx="91">
                  <c:v>9.9364881817109563E-2</c:v>
                </c:pt>
                <c:pt idx="92">
                  <c:v>0.10836488181712411</c:v>
                </c:pt>
                <c:pt idx="93">
                  <c:v>0.11736488181713867</c:v>
                </c:pt>
                <c:pt idx="94">
                  <c:v>0.12636488181715322</c:v>
                </c:pt>
                <c:pt idx="95">
                  <c:v>0.13536488181716777</c:v>
                </c:pt>
                <c:pt idx="98">
                  <c:v>0.16236488181721143</c:v>
                </c:pt>
                <c:pt idx="99">
                  <c:v>0.18074880970675622</c:v>
                </c:pt>
                <c:pt idx="100">
                  <c:v>-0.16095444790107649</c:v>
                </c:pt>
                <c:pt idx="101">
                  <c:v>-0.15195444790106194</c:v>
                </c:pt>
                <c:pt idx="105">
                  <c:v>-0.11595444790100373</c:v>
                </c:pt>
                <c:pt idx="106">
                  <c:v>-0.10873856069360954</c:v>
                </c:pt>
                <c:pt idx="107">
                  <c:v>-9.9738560693594991E-2</c:v>
                </c:pt>
                <c:pt idx="108">
                  <c:v>-9.0738560693580439E-2</c:v>
                </c:pt>
                <c:pt idx="109">
                  <c:v>-7.507916709323581E-2</c:v>
                </c:pt>
                <c:pt idx="112">
                  <c:v>-4.8079167093192154E-2</c:v>
                </c:pt>
                <c:pt idx="113">
                  <c:v>-3.9079167093177603E-2</c:v>
                </c:pt>
                <c:pt idx="114">
                  <c:v>-3.0079167093163051E-2</c:v>
                </c:pt>
                <c:pt idx="115">
                  <c:v>-2.5954447901085587E-2</c:v>
                </c:pt>
                <c:pt idx="119">
                  <c:v>1.0729252150895263E-2</c:v>
                </c:pt>
                <c:pt idx="120">
                  <c:v>1.972926380062745E-2</c:v>
                </c:pt>
                <c:pt idx="121">
                  <c:v>2.8729263210379941E-2</c:v>
                </c:pt>
                <c:pt idx="122">
                  <c:v>3.7729286603052969E-2</c:v>
                </c:pt>
                <c:pt idx="123">
                  <c:v>4.6729253484500077E-2</c:v>
                </c:pt>
                <c:pt idx="126">
                  <c:v>7.3729244097648916E-2</c:v>
                </c:pt>
                <c:pt idx="127">
                  <c:v>-0.19386883812353517</c:v>
                </c:pt>
                <c:pt idx="128">
                  <c:v>-0.18486883534455956</c:v>
                </c:pt>
                <c:pt idx="129">
                  <c:v>-0.1758687989486134</c:v>
                </c:pt>
                <c:pt idx="130">
                  <c:v>-0.16686879838448476</c:v>
                </c:pt>
                <c:pt idx="133">
                  <c:v>-0.1398692700263382</c:v>
                </c:pt>
                <c:pt idx="134">
                  <c:v>-0.130868816289194</c:v>
                </c:pt>
                <c:pt idx="135">
                  <c:v>-0.1218688077999559</c:v>
                </c:pt>
                <c:pt idx="136">
                  <c:v>-0.11286884208789161</c:v>
                </c:pt>
                <c:pt idx="137">
                  <c:v>-0.10081329412946616</c:v>
                </c:pt>
                <c:pt idx="140">
                  <c:v>-7.3813308120406873E-2</c:v>
                </c:pt>
                <c:pt idx="142">
                  <c:v>-5.5813300963791335E-2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F-4AFE-A3A4-45829A0D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403183"/>
        <c:axId val="2073406543"/>
      </c:lineChart>
      <c:dateAx>
        <c:axId val="207340318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06543"/>
        <c:crosses val="autoZero"/>
        <c:auto val="1"/>
        <c:lblOffset val="100"/>
        <c:baseTimeUnit val="days"/>
      </c:dateAx>
      <c:valAx>
        <c:axId val="20734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0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FBTC!$E$14:$E$158</c:f>
              <c:numCache>
                <c:formatCode>_(* #,##0.0000_);_(* \(#,##0.0000\);_(* "-"??_);_(@_)</c:formatCode>
                <c:ptCount val="145"/>
                <c:pt idx="0">
                  <c:v>-5.6700000000091677E-2</c:v>
                </c:pt>
                <c:pt idx="1">
                  <c:v>-4.8999999999978172E-2</c:v>
                </c:pt>
                <c:pt idx="2">
                  <c:v>-4.1199999999889769E-2</c:v>
                </c:pt>
                <c:pt idx="3">
                  <c:v>-3.3500000000003638E-2</c:v>
                </c:pt>
                <c:pt idx="4">
                  <c:v>-2.5700000000142609E-2</c:v>
                </c:pt>
                <c:pt idx="7">
                  <c:v>-2.6000000000294676E-3</c:v>
                </c:pt>
                <c:pt idx="8">
                  <c:v>5.0999999998566636E-3</c:v>
                </c:pt>
                <c:pt idx="9">
                  <c:v>1.4100000000098589E-2</c:v>
                </c:pt>
                <c:pt idx="10">
                  <c:v>2.2300000000086584E-2</c:v>
                </c:pt>
                <c:pt idx="11">
                  <c:v>3.0299999999897409E-2</c:v>
                </c:pt>
                <c:pt idx="15">
                  <c:v>6.1999999999898137E-2</c:v>
                </c:pt>
                <c:pt idx="16">
                  <c:v>6.8700000000035288E-2</c:v>
                </c:pt>
                <c:pt idx="17">
                  <c:v>7.7099999999973079E-2</c:v>
                </c:pt>
                <c:pt idx="18">
                  <c:v>8.4999999999809006E-2</c:v>
                </c:pt>
                <c:pt idx="21">
                  <c:v>0.10820000000012442</c:v>
                </c:pt>
                <c:pt idx="22">
                  <c:v>0.11580000000003565</c:v>
                </c:pt>
                <c:pt idx="23">
                  <c:v>-0.1147000000000844</c:v>
                </c:pt>
                <c:pt idx="24">
                  <c:v>-0.1068000000000211</c:v>
                </c:pt>
                <c:pt idx="28">
                  <c:v>-7.5599999999894862E-2</c:v>
                </c:pt>
                <c:pt idx="29">
                  <c:v>-6.7500000000109139E-2</c:v>
                </c:pt>
                <c:pt idx="30">
                  <c:v>-5.9300000000121145E-2</c:v>
                </c:pt>
                <c:pt idx="31">
                  <c:v>-5.160000000000764E-2</c:v>
                </c:pt>
                <c:pt idx="32">
                  <c:v>-4.4199999999818829E-2</c:v>
                </c:pt>
                <c:pt idx="35">
                  <c:v>-1.9000000000005457E-2</c:v>
                </c:pt>
                <c:pt idx="36">
                  <c:v>-1.1400000000094224E-2</c:v>
                </c:pt>
                <c:pt idx="37">
                  <c:v>-3.100000000131331E-3</c:v>
                </c:pt>
                <c:pt idx="38">
                  <c:v>5.1000000000840373E-3</c:v>
                </c:pt>
                <c:pt idx="39">
                  <c:v>1.1500000000069122E-2</c:v>
                </c:pt>
                <c:pt idx="42">
                  <c:v>3.520000000003165E-2</c:v>
                </c:pt>
                <c:pt idx="43">
                  <c:v>4.3199999999842476E-2</c:v>
                </c:pt>
                <c:pt idx="44">
                  <c:v>5.0500000000056389E-2</c:v>
                </c:pt>
                <c:pt idx="45">
                  <c:v>5.8600000000069485E-2</c:v>
                </c:pt>
                <c:pt idx="46">
                  <c:v>6.6500000000132786E-2</c:v>
                </c:pt>
                <c:pt idx="49">
                  <c:v>9.2399999999997817E-2</c:v>
                </c:pt>
                <c:pt idx="50">
                  <c:v>0.10030000000006112</c:v>
                </c:pt>
                <c:pt idx="51">
                  <c:v>0.10879999999997381</c:v>
                </c:pt>
                <c:pt idx="52">
                  <c:v>0.11629999999991014</c:v>
                </c:pt>
                <c:pt idx="53">
                  <c:v>-0.1172999999998865</c:v>
                </c:pt>
                <c:pt idx="56">
                  <c:v>-9.3900000000076034E-2</c:v>
                </c:pt>
                <c:pt idx="57">
                  <c:v>-8.6299999999937427E-2</c:v>
                </c:pt>
                <c:pt idx="58">
                  <c:v>-7.8300000000126602E-2</c:v>
                </c:pt>
                <c:pt idx="59">
                  <c:v>-6.9899999999961437E-2</c:v>
                </c:pt>
                <c:pt idx="60">
                  <c:v>-6.1500000000023647E-2</c:v>
                </c:pt>
                <c:pt idx="63">
                  <c:v>-3.7800000000061118E-2</c:v>
                </c:pt>
                <c:pt idx="64">
                  <c:v>-2.9399999999895954E-2</c:v>
                </c:pt>
                <c:pt idx="65">
                  <c:v>-2.0500000000083674E-2</c:v>
                </c:pt>
                <c:pt idx="66">
                  <c:v>-1.2600000000020373E-2</c:v>
                </c:pt>
                <c:pt idx="67">
                  <c:v>-4.400000000032378E-3</c:v>
                </c:pt>
                <c:pt idx="70">
                  <c:v>1.999999999998181E-2</c:v>
                </c:pt>
                <c:pt idx="71">
                  <c:v>2.7900000000045111E-2</c:v>
                </c:pt>
                <c:pt idx="72">
                  <c:v>3.5899999999855936E-2</c:v>
                </c:pt>
                <c:pt idx="73">
                  <c:v>4.3799999999919237E-2</c:v>
                </c:pt>
                <c:pt idx="74">
                  <c:v>5.2200000000084401E-2</c:v>
                </c:pt>
                <c:pt idx="78">
                  <c:v>8.4700000000111686E-2</c:v>
                </c:pt>
                <c:pt idx="79">
                  <c:v>9.3599999999923966E-2</c:v>
                </c:pt>
                <c:pt idx="80">
                  <c:v>0.10179999999991196</c:v>
                </c:pt>
                <c:pt idx="81">
                  <c:v>0.11030000000005202</c:v>
                </c:pt>
                <c:pt idx="84">
                  <c:v>-0.11169999999992797</c:v>
                </c:pt>
                <c:pt idx="85">
                  <c:v>-0.10369999999988977</c:v>
                </c:pt>
                <c:pt idx="86">
                  <c:v>-9.569999999985157E-2</c:v>
                </c:pt>
                <c:pt idx="87">
                  <c:v>-8.7700000000040745E-2</c:v>
                </c:pt>
                <c:pt idx="88">
                  <c:v>-7.9500000000052751E-2</c:v>
                </c:pt>
                <c:pt idx="91">
                  <c:v>-5.6199999999989814E-2</c:v>
                </c:pt>
                <c:pt idx="92">
                  <c:v>-4.8099999999976717E-2</c:v>
                </c:pt>
                <c:pt idx="93">
                  <c:v>-4.0299999999888314E-2</c:v>
                </c:pt>
                <c:pt idx="95">
                  <c:v>-2.4599999999963984E-2</c:v>
                </c:pt>
                <c:pt idx="98">
                  <c:v>-8.0000000002655725E-4</c:v>
                </c:pt>
                <c:pt idx="99">
                  <c:v>7.0000000000618456E-3</c:v>
                </c:pt>
                <c:pt idx="100">
                  <c:v>1.4800000000150249E-2</c:v>
                </c:pt>
                <c:pt idx="101">
                  <c:v>2.2699999999986176E-2</c:v>
                </c:pt>
                <c:pt idx="105">
                  <c:v>5.340000000001055E-2</c:v>
                </c:pt>
                <c:pt idx="106">
                  <c:v>6.1300000000073851E-2</c:v>
                </c:pt>
                <c:pt idx="107">
                  <c:v>7.1000000000140062E-2</c:v>
                </c:pt>
                <c:pt idx="108">
                  <c:v>8.4399999999959618E-2</c:v>
                </c:pt>
                <c:pt idx="109">
                  <c:v>9.2300000000022919E-2</c:v>
                </c:pt>
                <c:pt idx="112">
                  <c:v>0.11609999999996035</c:v>
                </c:pt>
                <c:pt idx="113">
                  <c:v>0.12419999999997344</c:v>
                </c:pt>
                <c:pt idx="114">
                  <c:v>-0.11459999999988213</c:v>
                </c:pt>
                <c:pt idx="115">
                  <c:v>-0.10700000000019827</c:v>
                </c:pt>
                <c:pt idx="119">
                  <c:v>-7.540000000017244E-2</c:v>
                </c:pt>
                <c:pt idx="120">
                  <c:v>-6.7399999999906868E-2</c:v>
                </c:pt>
                <c:pt idx="121">
                  <c:v>-5.9399999999868669E-2</c:v>
                </c:pt>
                <c:pt idx="122">
                  <c:v>-5.1200000000108048E-2</c:v>
                </c:pt>
                <c:pt idx="123">
                  <c:v>-4.3300000000044747E-2</c:v>
                </c:pt>
                <c:pt idx="126">
                  <c:v>-1.7600000000129512E-2</c:v>
                </c:pt>
                <c:pt idx="127">
                  <c:v>-9.8000000000411092E-3</c:v>
                </c:pt>
                <c:pt idx="128">
                  <c:v>-2.0999999999276042E-3</c:v>
                </c:pt>
                <c:pt idx="129">
                  <c:v>5.4000000000087311E-3</c:v>
                </c:pt>
                <c:pt idx="130">
                  <c:v>1.340000000004693E-2</c:v>
                </c:pt>
                <c:pt idx="133">
                  <c:v>3.6799999999857391E-2</c:v>
                </c:pt>
                <c:pt idx="134">
                  <c:v>4.4399999999995998E-2</c:v>
                </c:pt>
                <c:pt idx="135">
                  <c:v>5.2000000000134605E-2</c:v>
                </c:pt>
                <c:pt idx="136">
                  <c:v>6.0000000000172804E-2</c:v>
                </c:pt>
                <c:pt idx="137">
                  <c:v>6.8299999999908323E-2</c:v>
                </c:pt>
                <c:pt idx="140">
                  <c:v>9.209999999984575E-2</c:v>
                </c:pt>
                <c:pt idx="141">
                  <c:v>9.9999999999909051E-2</c:v>
                </c:pt>
                <c:pt idx="142">
                  <c:v>0.10869999999999891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5-4BEB-989E-01FF5C68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345439"/>
        <c:axId val="2027356959"/>
      </c:lineChart>
      <c:dateAx>
        <c:axId val="202734543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6959"/>
        <c:crosses val="autoZero"/>
        <c:auto val="1"/>
        <c:lblOffset val="100"/>
        <c:baseTimeUnit val="days"/>
      </c:dateAx>
      <c:valAx>
        <c:axId val="20273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4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IBIT!$B$18:$B$158</c:f>
              <c:numCache>
                <c:formatCode>[$-409]dd\-mmm\-yy;@</c:formatCode>
                <c:ptCount val="141"/>
                <c:pt idx="0">
                  <c:v>46094</c:v>
                </c:pt>
                <c:pt idx="1">
                  <c:v>46095</c:v>
                </c:pt>
                <c:pt idx="2">
                  <c:v>46096</c:v>
                </c:pt>
                <c:pt idx="3">
                  <c:v>46097</c:v>
                </c:pt>
                <c:pt idx="4">
                  <c:v>46098</c:v>
                </c:pt>
                <c:pt idx="5">
                  <c:v>46099</c:v>
                </c:pt>
                <c:pt idx="6">
                  <c:v>46100</c:v>
                </c:pt>
                <c:pt idx="7">
                  <c:v>46101</c:v>
                </c:pt>
                <c:pt idx="8">
                  <c:v>46102</c:v>
                </c:pt>
                <c:pt idx="9">
                  <c:v>46103</c:v>
                </c:pt>
                <c:pt idx="10">
                  <c:v>46104</c:v>
                </c:pt>
                <c:pt idx="11">
                  <c:v>46105</c:v>
                </c:pt>
                <c:pt idx="12">
                  <c:v>46106</c:v>
                </c:pt>
                <c:pt idx="13">
                  <c:v>46107</c:v>
                </c:pt>
                <c:pt idx="14">
                  <c:v>46108</c:v>
                </c:pt>
                <c:pt idx="15">
                  <c:v>46109</c:v>
                </c:pt>
                <c:pt idx="16">
                  <c:v>46110</c:v>
                </c:pt>
                <c:pt idx="17">
                  <c:v>46111</c:v>
                </c:pt>
                <c:pt idx="18">
                  <c:v>46112</c:v>
                </c:pt>
                <c:pt idx="19">
                  <c:v>46113</c:v>
                </c:pt>
                <c:pt idx="20">
                  <c:v>46114</c:v>
                </c:pt>
                <c:pt idx="21">
                  <c:v>46115</c:v>
                </c:pt>
                <c:pt idx="22">
                  <c:v>46116</c:v>
                </c:pt>
                <c:pt idx="23">
                  <c:v>46117</c:v>
                </c:pt>
                <c:pt idx="24">
                  <c:v>46118</c:v>
                </c:pt>
                <c:pt idx="25">
                  <c:v>46119</c:v>
                </c:pt>
                <c:pt idx="26">
                  <c:v>46120</c:v>
                </c:pt>
                <c:pt idx="27">
                  <c:v>46121</c:v>
                </c:pt>
                <c:pt idx="28">
                  <c:v>46122</c:v>
                </c:pt>
                <c:pt idx="29">
                  <c:v>46123</c:v>
                </c:pt>
                <c:pt idx="30">
                  <c:v>46124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46130</c:v>
                </c:pt>
                <c:pt idx="37">
                  <c:v>46131</c:v>
                </c:pt>
                <c:pt idx="38">
                  <c:v>46132</c:v>
                </c:pt>
                <c:pt idx="39">
                  <c:v>46133</c:v>
                </c:pt>
                <c:pt idx="40">
                  <c:v>46134</c:v>
                </c:pt>
                <c:pt idx="41">
                  <c:v>46135</c:v>
                </c:pt>
                <c:pt idx="42">
                  <c:v>46136</c:v>
                </c:pt>
                <c:pt idx="43">
                  <c:v>46137</c:v>
                </c:pt>
                <c:pt idx="44">
                  <c:v>46138</c:v>
                </c:pt>
                <c:pt idx="45">
                  <c:v>46139</c:v>
                </c:pt>
                <c:pt idx="46">
                  <c:v>46140</c:v>
                </c:pt>
                <c:pt idx="47">
                  <c:v>46141</c:v>
                </c:pt>
                <c:pt idx="48">
                  <c:v>46142</c:v>
                </c:pt>
                <c:pt idx="49">
                  <c:v>46143</c:v>
                </c:pt>
                <c:pt idx="50">
                  <c:v>46144</c:v>
                </c:pt>
                <c:pt idx="51">
                  <c:v>46145</c:v>
                </c:pt>
                <c:pt idx="52">
                  <c:v>46146</c:v>
                </c:pt>
                <c:pt idx="53">
                  <c:v>46147</c:v>
                </c:pt>
                <c:pt idx="54">
                  <c:v>46148</c:v>
                </c:pt>
                <c:pt idx="55">
                  <c:v>46149</c:v>
                </c:pt>
                <c:pt idx="56">
                  <c:v>46150</c:v>
                </c:pt>
                <c:pt idx="57">
                  <c:v>46151</c:v>
                </c:pt>
                <c:pt idx="58">
                  <c:v>46152</c:v>
                </c:pt>
                <c:pt idx="59">
                  <c:v>46153</c:v>
                </c:pt>
                <c:pt idx="60">
                  <c:v>46154</c:v>
                </c:pt>
                <c:pt idx="61">
                  <c:v>46155</c:v>
                </c:pt>
                <c:pt idx="62">
                  <c:v>46156</c:v>
                </c:pt>
                <c:pt idx="63">
                  <c:v>46157</c:v>
                </c:pt>
                <c:pt idx="64">
                  <c:v>46158</c:v>
                </c:pt>
                <c:pt idx="65">
                  <c:v>46159</c:v>
                </c:pt>
                <c:pt idx="66">
                  <c:v>46160</c:v>
                </c:pt>
                <c:pt idx="67">
                  <c:v>46161</c:v>
                </c:pt>
                <c:pt idx="68">
                  <c:v>46162</c:v>
                </c:pt>
                <c:pt idx="69">
                  <c:v>46163</c:v>
                </c:pt>
                <c:pt idx="70">
                  <c:v>46164</c:v>
                </c:pt>
                <c:pt idx="71">
                  <c:v>46165</c:v>
                </c:pt>
                <c:pt idx="72">
                  <c:v>46166</c:v>
                </c:pt>
                <c:pt idx="73">
                  <c:v>46167</c:v>
                </c:pt>
                <c:pt idx="74">
                  <c:v>46168</c:v>
                </c:pt>
                <c:pt idx="75">
                  <c:v>46169</c:v>
                </c:pt>
                <c:pt idx="76">
                  <c:v>46170</c:v>
                </c:pt>
                <c:pt idx="77">
                  <c:v>46171</c:v>
                </c:pt>
                <c:pt idx="78">
                  <c:v>46172</c:v>
                </c:pt>
                <c:pt idx="79">
                  <c:v>46173</c:v>
                </c:pt>
                <c:pt idx="80">
                  <c:v>46174</c:v>
                </c:pt>
                <c:pt idx="81">
                  <c:v>46175</c:v>
                </c:pt>
                <c:pt idx="82">
                  <c:v>46176</c:v>
                </c:pt>
                <c:pt idx="83">
                  <c:v>46177</c:v>
                </c:pt>
                <c:pt idx="84">
                  <c:v>46178</c:v>
                </c:pt>
                <c:pt idx="85">
                  <c:v>46179</c:v>
                </c:pt>
                <c:pt idx="86">
                  <c:v>46180</c:v>
                </c:pt>
                <c:pt idx="87">
                  <c:v>46181</c:v>
                </c:pt>
                <c:pt idx="88">
                  <c:v>46182</c:v>
                </c:pt>
                <c:pt idx="89">
                  <c:v>46183</c:v>
                </c:pt>
                <c:pt idx="90">
                  <c:v>46184</c:v>
                </c:pt>
                <c:pt idx="91">
                  <c:v>46185</c:v>
                </c:pt>
                <c:pt idx="92">
                  <c:v>46186</c:v>
                </c:pt>
                <c:pt idx="93">
                  <c:v>46187</c:v>
                </c:pt>
                <c:pt idx="94">
                  <c:v>46188</c:v>
                </c:pt>
                <c:pt idx="95">
                  <c:v>46189</c:v>
                </c:pt>
                <c:pt idx="96">
                  <c:v>46190</c:v>
                </c:pt>
                <c:pt idx="97">
                  <c:v>46191</c:v>
                </c:pt>
                <c:pt idx="98">
                  <c:v>46192</c:v>
                </c:pt>
                <c:pt idx="99">
                  <c:v>46193</c:v>
                </c:pt>
                <c:pt idx="100">
                  <c:v>46194</c:v>
                </c:pt>
                <c:pt idx="101">
                  <c:v>46195</c:v>
                </c:pt>
                <c:pt idx="102">
                  <c:v>46196</c:v>
                </c:pt>
                <c:pt idx="103">
                  <c:v>46197</c:v>
                </c:pt>
                <c:pt idx="104">
                  <c:v>46198</c:v>
                </c:pt>
                <c:pt idx="105">
                  <c:v>46199</c:v>
                </c:pt>
                <c:pt idx="106">
                  <c:v>46200</c:v>
                </c:pt>
                <c:pt idx="107">
                  <c:v>46201</c:v>
                </c:pt>
                <c:pt idx="108">
                  <c:v>46202</c:v>
                </c:pt>
                <c:pt idx="109">
                  <c:v>46203</c:v>
                </c:pt>
                <c:pt idx="110">
                  <c:v>46204</c:v>
                </c:pt>
                <c:pt idx="111">
                  <c:v>46205</c:v>
                </c:pt>
                <c:pt idx="112">
                  <c:v>46206</c:v>
                </c:pt>
                <c:pt idx="113">
                  <c:v>46207</c:v>
                </c:pt>
                <c:pt idx="114">
                  <c:v>46208</c:v>
                </c:pt>
                <c:pt idx="115">
                  <c:v>46209</c:v>
                </c:pt>
                <c:pt idx="116">
                  <c:v>46210</c:v>
                </c:pt>
                <c:pt idx="117">
                  <c:v>46211</c:v>
                </c:pt>
                <c:pt idx="118">
                  <c:v>46212</c:v>
                </c:pt>
                <c:pt idx="119">
                  <c:v>46213</c:v>
                </c:pt>
                <c:pt idx="120">
                  <c:v>46214</c:v>
                </c:pt>
                <c:pt idx="121">
                  <c:v>46215</c:v>
                </c:pt>
                <c:pt idx="122">
                  <c:v>46216</c:v>
                </c:pt>
                <c:pt idx="123">
                  <c:v>46217</c:v>
                </c:pt>
                <c:pt idx="124">
                  <c:v>46218</c:v>
                </c:pt>
                <c:pt idx="125">
                  <c:v>46219</c:v>
                </c:pt>
                <c:pt idx="126">
                  <c:v>46220</c:v>
                </c:pt>
                <c:pt idx="127">
                  <c:v>46221</c:v>
                </c:pt>
                <c:pt idx="128">
                  <c:v>46222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46228</c:v>
                </c:pt>
                <c:pt idx="135">
                  <c:v>46229</c:v>
                </c:pt>
                <c:pt idx="136">
                  <c:v>46230</c:v>
                </c:pt>
                <c:pt idx="137">
                  <c:v>46231</c:v>
                </c:pt>
                <c:pt idx="138">
                  <c:v>46232</c:v>
                </c:pt>
                <c:pt idx="139">
                  <c:v>46233</c:v>
                </c:pt>
                <c:pt idx="140">
                  <c:v>46234</c:v>
                </c:pt>
              </c:numCache>
            </c:numRef>
          </c:cat>
          <c:val>
            <c:numRef>
              <c:f>IBIT!$E$18:$E$158</c:f>
              <c:numCache>
                <c:formatCode>_(* #,##0.0000_);_(* \(#,##0.0000\);_(* "-"??_);_(@_)</c:formatCode>
                <c:ptCount val="141"/>
                <c:pt idx="0">
                  <c:v>-0.11659272430802048</c:v>
                </c:pt>
                <c:pt idx="3">
                  <c:v>-8.07884074474714E-2</c:v>
                </c:pt>
                <c:pt idx="4">
                  <c:v>-6.9166594873195208E-2</c:v>
                </c:pt>
                <c:pt idx="5">
                  <c:v>-5.761103255758826E-2</c:v>
                </c:pt>
                <c:pt idx="6">
                  <c:v>-4.540349983312808E-2</c:v>
                </c:pt>
                <c:pt idx="7">
                  <c:v>-3.3147523073012053E-2</c:v>
                </c:pt>
                <c:pt idx="12">
                  <c:v>2.6756868850270621E-2</c:v>
                </c:pt>
                <c:pt idx="13">
                  <c:v>3.9176188409783208E-2</c:v>
                </c:pt>
                <c:pt idx="14">
                  <c:v>5.1523973021630809E-2</c:v>
                </c:pt>
                <c:pt idx="17">
                  <c:v>8.9134338937128632E-2</c:v>
                </c:pt>
                <c:pt idx="18">
                  <c:v>0.10117946915443099</c:v>
                </c:pt>
                <c:pt idx="19">
                  <c:v>0.1125729561465505</c:v>
                </c:pt>
                <c:pt idx="20">
                  <c:v>0.1252460382213485</c:v>
                </c:pt>
                <c:pt idx="24">
                  <c:v>0.17360313365020374</c:v>
                </c:pt>
                <c:pt idx="25">
                  <c:v>0.18421172416060472</c:v>
                </c:pt>
                <c:pt idx="26">
                  <c:v>-0.1796075253289473</c:v>
                </c:pt>
                <c:pt idx="27">
                  <c:v>-0.1675736487411541</c:v>
                </c:pt>
                <c:pt idx="28">
                  <c:v>-0.15608936185708444</c:v>
                </c:pt>
                <c:pt idx="31">
                  <c:v>-0.12009327206578746</c:v>
                </c:pt>
                <c:pt idx="32">
                  <c:v>-0.10814183402362687</c:v>
                </c:pt>
                <c:pt idx="33">
                  <c:v>-9.6660000184101591E-2</c:v>
                </c:pt>
                <c:pt idx="34">
                  <c:v>-8.5563060878030228E-2</c:v>
                </c:pt>
                <c:pt idx="35">
                  <c:v>-7.370566752342711E-2</c:v>
                </c:pt>
                <c:pt idx="39">
                  <c:v>-2.7166365855237018E-2</c:v>
                </c:pt>
                <c:pt idx="40">
                  <c:v>-1.5219079598637109E-2</c:v>
                </c:pt>
                <c:pt idx="41">
                  <c:v>-4.0360256800795469E-3</c:v>
                </c:pt>
                <c:pt idx="42">
                  <c:v>7.3751620318489586E-3</c:v>
                </c:pt>
                <c:pt idx="45">
                  <c:v>4.357931961385475E-2</c:v>
                </c:pt>
                <c:pt idx="46">
                  <c:v>5.5668024815759054E-2</c:v>
                </c:pt>
                <c:pt idx="47">
                  <c:v>6.8345834098408886E-2</c:v>
                </c:pt>
                <c:pt idx="48">
                  <c:v>8.0729038956633303E-2</c:v>
                </c:pt>
                <c:pt idx="49">
                  <c:v>9.2712694383862981E-2</c:v>
                </c:pt>
                <c:pt idx="52">
                  <c:v>0.12747608193762971</c:v>
                </c:pt>
                <c:pt idx="53">
                  <c:v>0.13763469186028487</c:v>
                </c:pt>
                <c:pt idx="54">
                  <c:v>0.14828737486368482</c:v>
                </c:pt>
                <c:pt idx="55">
                  <c:v>-0.15669238043210498</c:v>
                </c:pt>
                <c:pt idx="56">
                  <c:v>-0.1444692128409315</c:v>
                </c:pt>
                <c:pt idx="60">
                  <c:v>-9.6015707551487139E-2</c:v>
                </c:pt>
                <c:pt idx="61">
                  <c:v>-8.38621938507913E-2</c:v>
                </c:pt>
                <c:pt idx="62">
                  <c:v>-7.1138464704517901E-2</c:v>
                </c:pt>
                <c:pt idx="63">
                  <c:v>-5.9395886537913611E-2</c:v>
                </c:pt>
                <c:pt idx="67">
                  <c:v>-9.0033578496786504E-3</c:v>
                </c:pt>
                <c:pt idx="68">
                  <c:v>4.2132553198825917E-3</c:v>
                </c:pt>
                <c:pt idx="69">
                  <c:v>1.6530360818251211E-2</c:v>
                </c:pt>
                <c:pt idx="70">
                  <c:v>2.9005318679310221E-2</c:v>
                </c:pt>
                <c:pt idx="74">
                  <c:v>7.7722085190089274E-2</c:v>
                </c:pt>
                <c:pt idx="75">
                  <c:v>9.0868682637847087E-2</c:v>
                </c:pt>
                <c:pt idx="76">
                  <c:v>0.10577948304444362</c:v>
                </c:pt>
                <c:pt idx="77">
                  <c:v>0.11901327178270549</c:v>
                </c:pt>
                <c:pt idx="80">
                  <c:v>0.15571366929157193</c:v>
                </c:pt>
                <c:pt idx="81">
                  <c:v>0.17096417902052963</c:v>
                </c:pt>
                <c:pt idx="82">
                  <c:v>0.18621575699285131</c:v>
                </c:pt>
                <c:pt idx="83">
                  <c:v>0.20141205523077588</c:v>
                </c:pt>
                <c:pt idx="84">
                  <c:v>-0.26664069005641977</c:v>
                </c:pt>
                <c:pt idx="87">
                  <c:v>-0.23019513289114002</c:v>
                </c:pt>
                <c:pt idx="88">
                  <c:v>-0.21780000360740814</c:v>
                </c:pt>
                <c:pt idx="89">
                  <c:v>-0.20555026945999089</c:v>
                </c:pt>
                <c:pt idx="91">
                  <c:v>-0.18116380815354205</c:v>
                </c:pt>
                <c:pt idx="94">
                  <c:v>-0.14507428638580677</c:v>
                </c:pt>
                <c:pt idx="95">
                  <c:v>-0.13322601779577781</c:v>
                </c:pt>
                <c:pt idx="96">
                  <c:v>-0.12118786950600224</c:v>
                </c:pt>
                <c:pt idx="97">
                  <c:v>-0.10896022174460995</c:v>
                </c:pt>
                <c:pt idx="101">
                  <c:v>-6.0174121301088235E-2</c:v>
                </c:pt>
                <c:pt idx="102">
                  <c:v>-4.7245500799363072E-2</c:v>
                </c:pt>
                <c:pt idx="103">
                  <c:v>-3.4129938223941281E-2</c:v>
                </c:pt>
                <c:pt idx="104">
                  <c:v>-2.0356896921839507E-2</c:v>
                </c:pt>
                <c:pt idx="105">
                  <c:v>-6.2765441175542946E-3</c:v>
                </c:pt>
                <c:pt idx="108">
                  <c:v>3.3217411966916188E-2</c:v>
                </c:pt>
                <c:pt idx="109">
                  <c:v>4.7702690358619293E-2</c:v>
                </c:pt>
                <c:pt idx="110">
                  <c:v>6.1735428002748449E-2</c:v>
                </c:pt>
                <c:pt idx="111">
                  <c:v>7.5723813165723186E-2</c:v>
                </c:pt>
                <c:pt idx="115">
                  <c:v>0.12438681071557767</c:v>
                </c:pt>
                <c:pt idx="116">
                  <c:v>0.13449239675401259</c:v>
                </c:pt>
                <c:pt idx="117">
                  <c:v>-0.2282317949800472</c:v>
                </c:pt>
                <c:pt idx="118">
                  <c:v>-0.21600779156324279</c:v>
                </c:pt>
                <c:pt idx="119">
                  <c:v>-0.20390779156309691</c:v>
                </c:pt>
                <c:pt idx="122">
                  <c:v>-0.16782419965124973</c:v>
                </c:pt>
                <c:pt idx="123">
                  <c:v>-0.15508062298067671</c:v>
                </c:pt>
                <c:pt idx="124">
                  <c:v>-0.14346029977400576</c:v>
                </c:pt>
                <c:pt idx="125">
                  <c:v>-0.1316722461695008</c:v>
                </c:pt>
                <c:pt idx="126">
                  <c:v>-0.1197184920026757</c:v>
                </c:pt>
                <c:pt idx="129">
                  <c:v>-8.3996650045492061E-2</c:v>
                </c:pt>
                <c:pt idx="130">
                  <c:v>-7.2458739748981316E-2</c:v>
                </c:pt>
                <c:pt idx="131">
                  <c:v>-6.118390195365464E-2</c:v>
                </c:pt>
                <c:pt idx="132">
                  <c:v>-4.9294163523200041E-2</c:v>
                </c:pt>
                <c:pt idx="133">
                  <c:v>-3.6059023774896559E-2</c:v>
                </c:pt>
                <c:pt idx="137">
                  <c:v>1.3678483851663259E-2</c:v>
                </c:pt>
                <c:pt idx="138">
                  <c:v>2.6172901012841976E-2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4-41ED-B845-97EBC6DD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933647"/>
        <c:axId val="1998976719"/>
      </c:lineChart>
      <c:dateAx>
        <c:axId val="1933933647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76719"/>
        <c:crosses val="autoZero"/>
        <c:auto val="1"/>
        <c:lblOffset val="100"/>
        <c:baseTimeUnit val="days"/>
      </c:dateAx>
      <c:valAx>
        <c:axId val="19989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3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72841</xdr:colOff>
      <xdr:row>113</xdr:row>
      <xdr:rowOff>79570</xdr:rowOff>
    </xdr:from>
    <xdr:to>
      <xdr:col>30</xdr:col>
      <xdr:colOff>11205</xdr:colOff>
      <xdr:row>127</xdr:row>
      <xdr:rowOff>123273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F65A1-8D95-2061-46B8-8D7211915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67253</xdr:colOff>
      <xdr:row>128</xdr:row>
      <xdr:rowOff>113186</xdr:rowOff>
    </xdr:from>
    <xdr:to>
      <xdr:col>30</xdr:col>
      <xdr:colOff>22430</xdr:colOff>
      <xdr:row>142</xdr:row>
      <xdr:rowOff>189386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320C8-C07E-BF66-47B5-1B05A0659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1362055</xdr:colOff>
      <xdr:row>105</xdr:row>
      <xdr:rowOff>47568</xdr:rowOff>
    </xdr:from>
    <xdr:to>
      <xdr:col>16</xdr:col>
      <xdr:colOff>702451</xdr:colOff>
      <xdr:row>130</xdr:row>
      <xdr:rowOff>95247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527C0-ED65-78DA-020D-0E354C023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461686</xdr:colOff>
      <xdr:row>92</xdr:row>
      <xdr:rowOff>71407</xdr:rowOff>
    </xdr:from>
    <xdr:to>
      <xdr:col>14</xdr:col>
      <xdr:colOff>493480</xdr:colOff>
      <xdr:row>118</xdr:row>
      <xdr:rowOff>110325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CB8C3-5AEB-DA49-AD9E-D53E72049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56028</xdr:colOff>
      <xdr:row>99</xdr:row>
      <xdr:rowOff>59045</xdr:rowOff>
    </xdr:from>
    <xdr:to>
      <xdr:col>16</xdr:col>
      <xdr:colOff>420</xdr:colOff>
      <xdr:row>123</xdr:row>
      <xdr:rowOff>146452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FC7CC-D911-6AD4-54A9-E5F923B17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226219</xdr:colOff>
      <xdr:row>95</xdr:row>
      <xdr:rowOff>159480</xdr:rowOff>
    </xdr:from>
    <xdr:to>
      <xdr:col>16</xdr:col>
      <xdr:colOff>714375</xdr:colOff>
      <xdr:row>120</xdr:row>
      <xdr:rowOff>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BB964-3996-71B0-E85D-5BEA3A119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93</xdr:row>
      <xdr:rowOff>123761</xdr:rowOff>
    </xdr:from>
    <xdr:to>
      <xdr:col>15</xdr:col>
      <xdr:colOff>552450</xdr:colOff>
      <xdr:row>117</xdr:row>
      <xdr:rowOff>180911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534236-361C-EA0E-C406-F7FE288A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92</xdr:row>
      <xdr:rowOff>28520</xdr:rowOff>
    </xdr:from>
    <xdr:to>
      <xdr:col>16</xdr:col>
      <xdr:colOff>514350</xdr:colOff>
      <xdr:row>116</xdr:row>
      <xdr:rowOff>85670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67543EF-AACC-100B-07D3-D73E7AAA4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795333</xdr:colOff>
      <xdr:row>100</xdr:row>
      <xdr:rowOff>109474</xdr:rowOff>
    </xdr:from>
    <xdr:to>
      <xdr:col>17</xdr:col>
      <xdr:colOff>683413</xdr:colOff>
      <xdr:row>124</xdr:row>
      <xdr:rowOff>109474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F69A6-9731-C9D8-3B39-BE03820C6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178608</xdr:colOff>
      <xdr:row>91</xdr:row>
      <xdr:rowOff>123763</xdr:rowOff>
    </xdr:from>
    <xdr:to>
      <xdr:col>14</xdr:col>
      <xdr:colOff>740582</xdr:colOff>
      <xdr:row>115</xdr:row>
      <xdr:rowOff>190438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A8E22-8681-C813-C4C0-9BCA73DEB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90488</xdr:colOff>
      <xdr:row>92</xdr:row>
      <xdr:rowOff>97582</xdr:rowOff>
    </xdr:from>
    <xdr:to>
      <xdr:col>15</xdr:col>
      <xdr:colOff>947738</xdr:colOff>
      <xdr:row>116</xdr:row>
      <xdr:rowOff>49957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723A4-6C1C-3906-5983-C2379816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92</xdr:row>
      <xdr:rowOff>149955</xdr:rowOff>
    </xdr:from>
    <xdr:to>
      <xdr:col>15</xdr:col>
      <xdr:colOff>466725</xdr:colOff>
      <xdr:row>117</xdr:row>
      <xdr:rowOff>26130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843A9-DFCC-0B45-58F2-7AF7D8DCE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E1C7-1074-441A-B38A-8F4D58F16940}" name="btc_ratios3" displayName="btc_ratios3" ref="A6:R371" totalsRowShown="0" headerRowDxfId="19" dataDxfId="18" headerRowCellStyle="Comma" dataCellStyle="Comma">
  <autoFilter ref="A6:R371" xr:uid="{5DCDE1C7-1074-441A-B38A-8F4D58F16940}"/>
  <tableColumns count="18">
    <tableColumn id="1" xr3:uid="{D75E62D4-EA7F-4EB2-8022-0FA897D4E967}" name="DOW" dataDxfId="17">
      <calculatedColumnFormula>+scalars[[#This Row],[DOW]]</calculatedColumnFormula>
    </tableColumn>
    <tableColumn id="2" xr3:uid="{8182F7C7-D78A-4475-B468-64E04AD67612}" name="Date" dataDxfId="16">
      <calculatedColumnFormula>B6+1</calculatedColumnFormula>
    </tableColumn>
    <tableColumn id="3" xr3:uid="{752FBE76-D0EC-48DA-B7E4-5BC8DB1D2075}" name="ARKB" dataDxfId="15" dataCellStyle="Comma">
      <calculatedColumnFormula>+ARKB!G6</calculatedColumnFormula>
    </tableColumn>
    <tableColumn id="4" xr3:uid="{3CE0B313-D014-4F0D-AC85-A2044317516C}" name="BITB" dataDxfId="14" dataCellStyle="Comma">
      <calculatedColumnFormula>+BITB!H6</calculatedColumnFormula>
    </tableColumn>
    <tableColumn id="5" xr3:uid="{CB070027-5A8A-4297-BEDF-8D7871D15D28}" name="BRRR" dataDxfId="13" dataCellStyle="Comma">
      <calculatedColumnFormula>+BRRR!G6</calculatedColumnFormula>
    </tableColumn>
    <tableColumn id="6" xr3:uid="{02642D9D-F2F0-4349-A831-B7CFA8839B80}" name="BTC" dataDxfId="12" dataCellStyle="Comma">
      <calculatedColumnFormula>+BTC!J6</calculatedColumnFormula>
    </tableColumn>
    <tableColumn id="7" xr3:uid="{6F6FF674-9E93-464F-B1F4-ED179EB9DEC8}" name="BTCW" dataDxfId="11" dataCellStyle="Comma">
      <calculatedColumnFormula>+BTCW!H6</calculatedColumnFormula>
    </tableColumn>
    <tableColumn id="8" xr3:uid="{36D28A47-6828-4F39-BE04-75B958E783EE}" name="EZBC" dataDxfId="10" dataCellStyle="Comma">
      <calculatedColumnFormula>+EZBC!F6</calculatedColumnFormula>
    </tableColumn>
    <tableColumn id="9" xr3:uid="{49AEBA9E-51B1-470C-BCFC-7C88369AF81E}" name="FBTC" dataDxfId="9" dataCellStyle="Comma"/>
    <tableColumn id="10" xr3:uid="{934A5856-21D6-4E9A-A30E-E146FFFF8BA3}" name="GBTC" dataDxfId="8" dataCellStyle="Comma">
      <calculatedColumnFormula>+GBTC!K6</calculatedColumnFormula>
    </tableColumn>
    <tableColumn id="11" xr3:uid="{76C0F3AF-B180-454E-B99F-BA6444C2EF86}" name="HODL" dataDxfId="7" dataCellStyle="Comma">
      <calculatedColumnFormula>+HODL!H6</calculatedColumnFormula>
    </tableColumn>
    <tableColumn id="12" xr3:uid="{3C7B609D-FF79-4C70-91A4-B4A7D54E61BF}" name="IBIT" dataDxfId="6" dataCellStyle="Comma">
      <calculatedColumnFormula>+IBIT!G6</calculatedColumnFormula>
    </tableColumn>
    <tableColumn id="13" xr3:uid="{49A9385B-3126-4747-AEFE-0F69E1CAB8A2}" name="Sum" dataDxfId="5" dataCellStyle="Comma">
      <calculatedColumnFormula>SUM(btc_ratios3[[#This Row],[ARKB]:[IBIT]])</calculatedColumnFormula>
    </tableColumn>
    <tableColumn id="14" xr3:uid="{46DE5B88-D715-4B4E-A656-33E9176119B7}" name="Change" dataDxfId="4" dataCellStyle="Comma">
      <calculatedColumnFormula>+btc_ratios3[[#This Row],[Sum]]-M6</calculatedColumnFormula>
    </tableColumn>
    <tableColumn id="16" xr3:uid="{874BD80D-5D5B-4404-9AA6-F8CF363108F3}" name="Pct Change" dataDxfId="3" dataCellStyle="Percent">
      <calculatedColumnFormula>btc_ratios3[[#This Row],[Sum]]/M6-1</calculatedColumnFormula>
    </tableColumn>
    <tableColumn id="15" xr3:uid="{5C9CF07A-FAAA-4F9F-AF65-B13DC26DB7A1}" name="Price" dataDxfId="2" dataCellStyle="Comma"/>
    <tableColumn id="18" xr3:uid="{60C6340A-12E6-4B6D-8673-AD9A7D7FC6A1}" name="Price Change" dataDxfId="1" dataCellStyle="Comma">
      <calculatedColumnFormula>btc_ratios3[[#This Row],[Price]]-P6</calculatedColumnFormula>
    </tableColumn>
    <tableColumn id="17" xr3:uid="{193855FD-D2EA-41D1-8E3F-A8200E8F4509}" name="Price % Chg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CE559-DA29-4894-86ED-4207E45A6857}" name="scalars" displayName="scalars" ref="A6:L371" totalsRowShown="0" headerRowDxfId="33" dataDxfId="32" headerRowCellStyle="Comma" dataCellStyle="Comma">
  <autoFilter ref="A6:L371" xr:uid="{F61CE559-DA29-4894-86ED-4207E45A6857}"/>
  <tableColumns count="12">
    <tableColumn id="1" xr3:uid="{C1245D99-A719-4C43-8B6E-6739BAE77DAC}" name="DOW" dataDxfId="31">
      <calculatedColumnFormula>VLOOKUP(WEEKDAY(B7),$N$7:$O$13,2)</calculatedColumnFormula>
    </tableColumn>
    <tableColumn id="2" xr3:uid="{1DE7EA09-E4B4-4CC9-B909-61B9DBECB3D2}" name="Date" dataDxfId="30">
      <calculatedColumnFormula>B6+1</calculatedColumnFormula>
    </tableColumn>
    <tableColumn id="3" xr3:uid="{23816393-CF06-4FAC-AF41-B8ECE3D515E7}" name="ARKB" dataDxfId="29" dataCellStyle="Comma">
      <calculatedColumnFormula>3012.99231167416-0.01732</calculatedColumnFormula>
    </tableColumn>
    <tableColumn id="4" xr3:uid="{902C5006-72B9-4885-AFB4-A7BCDE055B5B}" name="BITB" dataDxfId="28" dataCellStyle="Comma">
      <calculatedColumnFormula>1840.88060656375-0.08846</calculatedColumnFormula>
    </tableColumn>
    <tableColumn id="5" xr3:uid="{3B7621F5-5123-41F8-A067-292F2D02B1D0}" name="BRRR" dataDxfId="27" dataCellStyle="Comma">
      <calculatedColumnFormula>3543.81897755965-0.02</calculatedColumnFormula>
    </tableColumn>
    <tableColumn id="6" xr3:uid="{523F3C67-1F15-4288-8ADB-E42875C0B7E9}" name="BTC" dataDxfId="26" dataCellStyle="Comma">
      <calculatedColumnFormula>2260.30022856985+O18</calculatedColumnFormula>
    </tableColumn>
    <tableColumn id="7" xr3:uid="{A442031D-FB7F-48CC-B653-D9214B794CDD}" name="BTCW" dataDxfId="25" dataCellStyle="Comma">
      <calculatedColumnFormula>0.16325+945.231444712251-0.002883</calculatedColumnFormula>
    </tableColumn>
    <tableColumn id="8" xr3:uid="{97DC4603-5418-48BA-B6E9-482585C83D2E}" name="EZBC" dataDxfId="24" dataCellStyle="Comma">
      <calculatedColumnFormula>-0.31744+1729.13562440032</calculatedColumnFormula>
    </tableColumn>
    <tableColumn id="9" xr3:uid="{5D8CB65C-8F3E-4B97-94CF-D0D6EFD775BB}" name="FBTC" dataDxfId="23" dataCellStyle="Comma">
      <calculatedColumnFormula>1148.03288-0.07</calculatedColumnFormula>
    </tableColumn>
    <tableColumn id="10" xr3:uid="{83E9DF03-EFB0-46DF-8FBD-C7952FF75426}" name="GBTC" dataDxfId="22" dataCellStyle="Comma">
      <calculatedColumnFormula>J6*(1+J$4)</calculatedColumnFormula>
    </tableColumn>
    <tableColumn id="11" xr3:uid="{1CA89725-C665-4D7B-BBC5-C18905FF6197}" name="HODL" dataDxfId="21" dataCellStyle="Comma">
      <calculatedColumnFormula>Q8</calculatedColumnFormula>
    </tableColumn>
    <tableColumn id="12" xr3:uid="{FFEF8A32-F2E2-49F4-A8AE-D2C29D980AA6}" name="IBIT" dataDxfId="20" dataCellStyle="Comma">
      <calculatedColumnFormula>1763.09831547981+0.3+0.42163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oloo.net/bitcoin-etf-fees-comparison/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roshares.com/our-etfs/strategic/eeth" TargetMode="External"/><Relationship Id="rId1" Type="http://schemas.openxmlformats.org/officeDocument/2006/relationships/hyperlink" Target="https://www.proshares.com/our-etfs/strategic/bit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21shares.com/en-us/product/ark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wisdomtree.com/investments/etfs/crypto/btcw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bitbetf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coinshares.com/us/etf/brrr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etfs.grayscale.com/btc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etfs.grayscale.com/gbtc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vaneck.com/us/en/investments/bitcoin-etf-hodl/overview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franklintempleton.com/investments/options/exchange-traded-funds/products/39639/SINGLCLASS/franklin-bitcoin-etf/EZBC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igital.fidelity.com/prgw/digital/research/quote/dashboard/summary?symbol=FBTC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ishares.com/us/products/333011/ishares-bitcoin-trust-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CCAC-F444-4204-B078-7555506549EC}">
  <sheetPr codeName="Sheet1">
    <tabColor theme="4" tint="0.79998168889431442"/>
  </sheetPr>
  <dimension ref="A1:R371"/>
  <sheetViews>
    <sheetView zoomScale="85" zoomScaleNormal="85" workbookViewId="0">
      <pane xSplit="2" ySplit="6" topLeftCell="F138" activePane="bottomRight" state="frozen"/>
      <selection pane="topRight" activeCell="C1" sqref="C1"/>
      <selection pane="bottomLeft" activeCell="A7" sqref="A7"/>
      <selection pane="bottomRight" activeCell="Y1" sqref="Y1"/>
    </sheetView>
  </sheetViews>
  <sheetFormatPr defaultColWidth="8.85546875" defaultRowHeight="15" customHeight="1"/>
  <cols>
    <col min="1" max="1" width="11.140625" style="13" bestFit="1" customWidth="1"/>
    <col min="2" max="2" width="10.85546875" style="28" bestFit="1" customWidth="1"/>
    <col min="3" max="4" width="10.5703125" style="38" bestFit="1" customWidth="1"/>
    <col min="5" max="5" width="10" style="98" bestFit="1" customWidth="1"/>
    <col min="6" max="6" width="10.5703125" style="38" bestFit="1" customWidth="1"/>
    <col min="7" max="8" width="10" style="38" bestFit="1" customWidth="1"/>
    <col min="9" max="9" width="10.28515625" style="38" bestFit="1" customWidth="1"/>
    <col min="10" max="10" width="11.5703125" style="38" bestFit="1" customWidth="1"/>
    <col min="11" max="11" width="14.140625" style="38" bestFit="1" customWidth="1"/>
    <col min="12" max="12" width="11.5703125" style="38" bestFit="1" customWidth="1"/>
    <col min="13" max="13" width="13.28515625" style="13" bestFit="1" customWidth="1"/>
    <col min="14" max="14" width="14" style="13" bestFit="1" customWidth="1"/>
    <col min="15" max="15" width="14" style="13" customWidth="1"/>
    <col min="16" max="18" width="14" style="133" customWidth="1"/>
    <col min="19" max="16384" width="8.85546875" style="13"/>
  </cols>
  <sheetData>
    <row r="1" spans="1:18" ht="15" customHeight="1">
      <c r="B1" s="29" t="s">
        <v>36</v>
      </c>
      <c r="C1" s="31" t="s">
        <v>34</v>
      </c>
      <c r="D1" s="31" t="s">
        <v>34</v>
      </c>
      <c r="E1" s="99" t="s">
        <v>34</v>
      </c>
      <c r="F1" s="32" t="s">
        <v>13</v>
      </c>
      <c r="G1" s="32" t="s">
        <v>34</v>
      </c>
      <c r="H1" s="32" t="s">
        <v>34</v>
      </c>
      <c r="I1" s="32" t="s">
        <v>37</v>
      </c>
      <c r="J1" s="32" t="s">
        <v>13</v>
      </c>
      <c r="K1" s="32" t="s">
        <v>35</v>
      </c>
      <c r="L1" s="32" t="s">
        <v>34</v>
      </c>
    </row>
    <row r="2" spans="1:18" s="31" customFormat="1" ht="15" customHeight="1">
      <c r="B2" s="33" t="s">
        <v>54</v>
      </c>
      <c r="C2" s="31">
        <v>677037663</v>
      </c>
      <c r="D2" s="31">
        <v>677037658</v>
      </c>
      <c r="E2" s="33">
        <v>677037676</v>
      </c>
      <c r="F2" s="31">
        <v>741192224</v>
      </c>
      <c r="G2" s="31">
        <v>676783288</v>
      </c>
      <c r="H2" s="31">
        <v>676783282</v>
      </c>
      <c r="I2" s="31">
        <v>676783301</v>
      </c>
      <c r="J2" s="31">
        <v>349966059</v>
      </c>
      <c r="K2" s="31">
        <v>677037670</v>
      </c>
      <c r="L2" s="31">
        <v>677037673</v>
      </c>
      <c r="P2" s="134"/>
      <c r="Q2" s="134"/>
      <c r="R2" s="134"/>
    </row>
    <row r="3" spans="1:18" s="34" customFormat="1" ht="15" customHeight="1">
      <c r="B3" s="29" t="s">
        <v>52</v>
      </c>
      <c r="C3" s="35">
        <v>2.0999999999999999E-3</v>
      </c>
      <c r="D3" s="35">
        <v>2E-3</v>
      </c>
      <c r="E3" s="132">
        <v>2.5000000000000001E-3</v>
      </c>
      <c r="F3" s="35">
        <v>1.5E-3</v>
      </c>
      <c r="G3" s="35">
        <v>2.5000000000000001E-3</v>
      </c>
      <c r="H3" s="35">
        <v>1.9E-3</v>
      </c>
      <c r="I3" s="35">
        <v>2.5000000000000001E-3</v>
      </c>
      <c r="J3" s="35">
        <v>1.4999999999999999E-2</v>
      </c>
      <c r="K3" s="116">
        <v>0</v>
      </c>
      <c r="L3" s="35">
        <v>2.5000000000000001E-3</v>
      </c>
      <c r="N3" s="31"/>
      <c r="O3" s="31"/>
      <c r="P3" s="134"/>
      <c r="Q3" s="134"/>
      <c r="R3" s="134"/>
    </row>
    <row r="4" spans="1:18" ht="15" customHeight="1">
      <c r="A4" s="36">
        <v>365</v>
      </c>
      <c r="B4" s="29" t="s">
        <v>53</v>
      </c>
      <c r="C4" s="37">
        <f t="shared" ref="C4:L4" si="0">C3/$A4</f>
        <v>5.7534246575342464E-6</v>
      </c>
      <c r="D4" s="37">
        <f t="shared" si="0"/>
        <v>5.4794520547945209E-6</v>
      </c>
      <c r="E4" s="138">
        <f t="shared" si="0"/>
        <v>6.8493150684931509E-6</v>
      </c>
      <c r="F4" s="37">
        <f t="shared" si="0"/>
        <v>4.1095890410958909E-6</v>
      </c>
      <c r="G4" s="37">
        <f t="shared" si="0"/>
        <v>6.8493150684931509E-6</v>
      </c>
      <c r="H4" s="37">
        <f t="shared" si="0"/>
        <v>5.2054794520547945E-6</v>
      </c>
      <c r="I4" s="37">
        <f t="shared" si="0"/>
        <v>6.8493150684931509E-6</v>
      </c>
      <c r="J4" s="37">
        <f t="shared" si="0"/>
        <v>4.1095890410958905E-5</v>
      </c>
      <c r="K4" s="37">
        <f t="shared" si="0"/>
        <v>0</v>
      </c>
      <c r="L4" s="37">
        <f t="shared" si="0"/>
        <v>6.8493150684931509E-6</v>
      </c>
      <c r="N4" s="31"/>
      <c r="O4" s="31"/>
      <c r="P4" s="134"/>
      <c r="Q4" s="134"/>
      <c r="R4" s="134"/>
    </row>
    <row r="5" spans="1:18" ht="15" customHeight="1">
      <c r="A5" s="36"/>
      <c r="B5" s="29"/>
      <c r="C5" s="37"/>
      <c r="D5" s="37"/>
      <c r="E5" s="138"/>
      <c r="F5" s="37"/>
      <c r="G5" s="37"/>
      <c r="H5" s="37"/>
      <c r="I5" s="37"/>
      <c r="J5" s="37"/>
      <c r="K5" s="37"/>
      <c r="L5" s="37"/>
      <c r="N5" s="31"/>
      <c r="O5" s="31"/>
      <c r="P5" s="134"/>
      <c r="Q5" s="134"/>
      <c r="R5" s="134"/>
    </row>
    <row r="6" spans="1:18" s="27" customFormat="1" ht="15" customHeight="1">
      <c r="A6" s="27" t="s">
        <v>42</v>
      </c>
      <c r="B6" s="30" t="s">
        <v>30</v>
      </c>
      <c r="C6" s="126" t="s">
        <v>21</v>
      </c>
      <c r="D6" s="126" t="s">
        <v>22</v>
      </c>
      <c r="E6" s="126" t="s">
        <v>23</v>
      </c>
      <c r="F6" s="126" t="s">
        <v>31</v>
      </c>
      <c r="G6" s="126" t="s">
        <v>24</v>
      </c>
      <c r="H6" s="126" t="s">
        <v>25</v>
      </c>
      <c r="I6" s="126" t="s">
        <v>26</v>
      </c>
      <c r="J6" s="126" t="s">
        <v>27</v>
      </c>
      <c r="K6" s="126" t="s">
        <v>28</v>
      </c>
      <c r="L6" s="126" t="s">
        <v>29</v>
      </c>
      <c r="M6" s="126" t="s">
        <v>74</v>
      </c>
      <c r="N6" s="126" t="s">
        <v>84</v>
      </c>
      <c r="O6" s="126" t="s">
        <v>83</v>
      </c>
      <c r="P6" s="126" t="s">
        <v>82</v>
      </c>
      <c r="Q6" s="126" t="s">
        <v>85</v>
      </c>
      <c r="R6" s="126" t="s">
        <v>89</v>
      </c>
    </row>
    <row r="7" spans="1:18" s="18" customFormat="1" ht="15" customHeight="1">
      <c r="A7" s="18" t="str">
        <f>scalars[[#This Row],[DOW]]</f>
        <v>Sunday</v>
      </c>
      <c r="B7" s="62">
        <v>46082</v>
      </c>
      <c r="C7" s="68"/>
      <c r="D7" s="68"/>
      <c r="E7" s="97"/>
      <c r="F7" s="68"/>
      <c r="G7" s="68"/>
      <c r="H7" s="68"/>
      <c r="I7" s="68"/>
      <c r="J7" s="68"/>
      <c r="K7" s="68"/>
      <c r="L7" s="68"/>
      <c r="M7" s="97"/>
      <c r="N7" s="99"/>
      <c r="O7" s="132"/>
      <c r="P7" s="135"/>
      <c r="Q7" s="135"/>
      <c r="R7" s="135"/>
    </row>
    <row r="8" spans="1:18" ht="15" customHeight="1">
      <c r="A8" s="13" t="str">
        <f>scalars[[#This Row],[DOW]]</f>
        <v>Monday</v>
      </c>
      <c r="B8" s="28">
        <f>B7+1</f>
        <v>46083</v>
      </c>
      <c r="M8" s="98"/>
      <c r="N8" s="99"/>
      <c r="O8" s="132"/>
      <c r="P8" s="135"/>
      <c r="Q8" s="135"/>
      <c r="R8" s="135"/>
    </row>
    <row r="9" spans="1:18" ht="15" customHeight="1">
      <c r="A9" s="13" t="str">
        <f>scalars[[#This Row],[DOW]]</f>
        <v>Tuesday</v>
      </c>
      <c r="B9" s="28">
        <f t="shared" ref="B9:B72" si="1">B8+1</f>
        <v>46084</v>
      </c>
      <c r="M9" s="98"/>
      <c r="N9" s="99"/>
      <c r="O9" s="132"/>
      <c r="P9" s="135"/>
      <c r="Q9" s="135"/>
      <c r="R9" s="135"/>
    </row>
    <row r="10" spans="1:18" ht="15" customHeight="1">
      <c r="A10" s="13" t="str">
        <f>scalars[[#This Row],[DOW]]</f>
        <v>Wednesday</v>
      </c>
      <c r="B10" s="28">
        <f t="shared" si="1"/>
        <v>46085</v>
      </c>
      <c r="M10" s="98"/>
      <c r="N10" s="99"/>
      <c r="O10" s="132"/>
      <c r="P10" s="135"/>
      <c r="Q10" s="135"/>
      <c r="R10" s="135"/>
    </row>
    <row r="11" spans="1:18" ht="15" customHeight="1">
      <c r="A11" s="13" t="str">
        <f>scalars[[#This Row],[DOW]]</f>
        <v>Thursday</v>
      </c>
      <c r="B11" s="28">
        <f t="shared" si="1"/>
        <v>46086</v>
      </c>
      <c r="M11" s="98"/>
      <c r="N11" s="99"/>
      <c r="O11" s="132"/>
      <c r="P11" s="135"/>
      <c r="Q11" s="135"/>
      <c r="R11" s="135"/>
    </row>
    <row r="12" spans="1:18" ht="15" customHeight="1">
      <c r="A12" s="13" t="str">
        <f>scalars[[#This Row],[DOW]]</f>
        <v>Friday</v>
      </c>
      <c r="B12" s="28">
        <f t="shared" si="1"/>
        <v>46087</v>
      </c>
      <c r="M12" s="98"/>
      <c r="N12" s="99"/>
      <c r="O12" s="132"/>
      <c r="P12" s="135"/>
      <c r="Q12" s="135"/>
      <c r="R12" s="135"/>
    </row>
    <row r="13" spans="1:18" ht="15" customHeight="1">
      <c r="A13" s="13" t="str">
        <f>scalars[[#This Row],[DOW]]</f>
        <v>Saturday</v>
      </c>
      <c r="B13" s="28">
        <f t="shared" si="1"/>
        <v>46088</v>
      </c>
      <c r="M13" s="98"/>
      <c r="N13" s="99"/>
      <c r="O13" s="132"/>
      <c r="P13" s="135"/>
      <c r="Q13" s="135"/>
      <c r="R13" s="135"/>
    </row>
    <row r="14" spans="1:18" ht="15" customHeight="1">
      <c r="A14" s="13" t="str">
        <f>scalars[[#This Row],[DOW]]</f>
        <v>Sunday</v>
      </c>
      <c r="B14" s="28">
        <f t="shared" si="1"/>
        <v>46089</v>
      </c>
      <c r="M14" s="98"/>
      <c r="N14" s="99"/>
      <c r="O14" s="132"/>
      <c r="P14" s="135"/>
      <c r="Q14" s="135"/>
      <c r="R14" s="135"/>
    </row>
    <row r="15" spans="1:18" ht="15" customHeight="1">
      <c r="A15" s="13" t="str">
        <f>scalars[[#This Row],[DOW]]</f>
        <v>Monday</v>
      </c>
      <c r="B15" s="28">
        <f t="shared" si="1"/>
        <v>46090</v>
      </c>
      <c r="M15" s="98"/>
      <c r="N15" s="99"/>
      <c r="O15" s="132"/>
      <c r="P15" s="135"/>
      <c r="Q15" s="135"/>
      <c r="R15" s="135"/>
    </row>
    <row r="16" spans="1:18" ht="15" customHeight="1">
      <c r="A16" s="13" t="str">
        <f>scalars[[#This Row],[DOW]]</f>
        <v>Tuesday</v>
      </c>
      <c r="B16" s="28">
        <f t="shared" si="1"/>
        <v>46091</v>
      </c>
      <c r="H16" s="96"/>
      <c r="M16" s="98"/>
      <c r="N16" s="99"/>
      <c r="O16" s="132"/>
      <c r="P16" s="135"/>
      <c r="Q16" s="135"/>
      <c r="R16" s="135"/>
    </row>
    <row r="17" spans="1:18" ht="15" customHeight="1">
      <c r="A17" s="13" t="str">
        <f>scalars[[#This Row],[DOW]]</f>
        <v>Wednesday</v>
      </c>
      <c r="B17" s="28">
        <f t="shared" si="1"/>
        <v>46092</v>
      </c>
      <c r="G17" s="96"/>
      <c r="M17" s="98"/>
      <c r="N17" s="98"/>
      <c r="O17" s="132"/>
      <c r="P17" s="136"/>
      <c r="Q17" s="136"/>
      <c r="R17" s="136"/>
    </row>
    <row r="18" spans="1:18" s="11" customFormat="1" ht="15" customHeight="1">
      <c r="A18" s="13" t="str">
        <f>scalars[[#This Row],[DOW]]</f>
        <v>Thursday</v>
      </c>
      <c r="B18" s="28">
        <f t="shared" si="1"/>
        <v>46093</v>
      </c>
      <c r="C18" s="38"/>
      <c r="D18" s="38"/>
      <c r="E18" s="139"/>
      <c r="F18" s="38"/>
      <c r="G18" s="38"/>
      <c r="H18" s="38"/>
      <c r="I18" s="38"/>
      <c r="J18" s="38"/>
      <c r="K18" s="38"/>
      <c r="L18" s="38"/>
      <c r="M18" s="98"/>
      <c r="N18" s="98"/>
      <c r="O18" s="132"/>
      <c r="P18" s="136"/>
      <c r="Q18" s="136"/>
      <c r="R18" s="136"/>
    </row>
    <row r="19" spans="1:18" ht="15" customHeight="1">
      <c r="A19" s="13" t="str">
        <f>scalars[[#This Row],[DOW]]</f>
        <v>Friday</v>
      </c>
      <c r="B19" s="28">
        <f t="shared" si="1"/>
        <v>46094</v>
      </c>
      <c r="M19" s="98"/>
      <c r="N19" s="98"/>
      <c r="O19" s="132"/>
      <c r="P19" s="136"/>
      <c r="Q19" s="136"/>
      <c r="R19" s="136"/>
    </row>
    <row r="20" spans="1:18" ht="15" customHeight="1">
      <c r="A20" s="13" t="str">
        <f>scalars[[#This Row],[DOW]]</f>
        <v>Saturday</v>
      </c>
      <c r="B20" s="28">
        <f t="shared" si="1"/>
        <v>46095</v>
      </c>
      <c r="M20" s="98"/>
      <c r="N20" s="98"/>
      <c r="O20" s="132"/>
      <c r="P20" s="136"/>
      <c r="Q20" s="136"/>
      <c r="R20" s="136"/>
    </row>
    <row r="21" spans="1:18" ht="15" customHeight="1">
      <c r="A21" s="13" t="str">
        <f>scalars[[#This Row],[DOW]]</f>
        <v>Sunday</v>
      </c>
      <c r="B21" s="28">
        <f t="shared" si="1"/>
        <v>46096</v>
      </c>
      <c r="M21" s="98"/>
      <c r="N21" s="98"/>
      <c r="O21" s="132"/>
      <c r="P21" s="136"/>
      <c r="Q21" s="136"/>
      <c r="R21" s="136"/>
    </row>
    <row r="22" spans="1:18" ht="15" customHeight="1">
      <c r="A22" s="13" t="str">
        <f>scalars[[#This Row],[DOW]]</f>
        <v>Monday</v>
      </c>
      <c r="B22" s="28">
        <f t="shared" si="1"/>
        <v>46097</v>
      </c>
      <c r="C22" s="38">
        <f>ARKB!G21</f>
        <v>35644.71</v>
      </c>
      <c r="D22" s="38">
        <f>BITB!H21</f>
        <v>38920.51</v>
      </c>
      <c r="E22" s="98">
        <f>BRRR!G22</f>
        <v>6256.69</v>
      </c>
      <c r="F22" s="38">
        <f>BTC!J21</f>
        <v>51689.489200000004</v>
      </c>
      <c r="G22" s="38">
        <f>BTCW!H21</f>
        <v>2163</v>
      </c>
      <c r="H22" s="168">
        <f>H23</f>
        <v>6245.79</v>
      </c>
      <c r="J22" s="38">
        <f>GBTC!K21</f>
        <v>155874.23850000001</v>
      </c>
      <c r="K22" s="38">
        <f>HODL!H21</f>
        <v>17153.107</v>
      </c>
      <c r="L22" s="38">
        <f>IBIT!G21</f>
        <v>784061.76470000006</v>
      </c>
      <c r="M22" s="98">
        <f>SUM(btc_ratios3[[#This Row],[ARKB]:[IBIT]])</f>
        <v>1098009.2994000001</v>
      </c>
      <c r="N22" s="98"/>
      <c r="O22" s="132"/>
      <c r="P22" s="136"/>
      <c r="Q22" s="136"/>
      <c r="R22" s="136"/>
    </row>
    <row r="23" spans="1:18" ht="15" customHeight="1">
      <c r="A23" s="13" t="str">
        <f>scalars[[#This Row],[DOW]]</f>
        <v>Tuesday</v>
      </c>
      <c r="B23" s="28">
        <f t="shared" si="1"/>
        <v>46098</v>
      </c>
      <c r="C23" s="38">
        <f>ARKB!G22</f>
        <v>35677.89</v>
      </c>
      <c r="D23" s="38">
        <f>BITB!H22</f>
        <v>38920.51</v>
      </c>
      <c r="E23" s="98">
        <f>BRRR!G23</f>
        <v>6256.65</v>
      </c>
      <c r="F23" s="38">
        <f>BTC!J22</f>
        <v>51689.276700000002</v>
      </c>
      <c r="G23" s="168">
        <f t="shared" ref="G23:G26" si="2">G22</f>
        <v>2163</v>
      </c>
      <c r="H23" s="38">
        <f>EZBC!F22</f>
        <v>6245.79</v>
      </c>
      <c r="J23" s="38">
        <f>GBTC!K22</f>
        <v>155867.8327</v>
      </c>
      <c r="K23" s="38">
        <f>HODL!H22</f>
        <v>17068.258999999998</v>
      </c>
      <c r="L23" s="38">
        <f>IBIT!G22</f>
        <v>786329.16940000001</v>
      </c>
      <c r="M23" s="98">
        <f>SUM(btc_ratios3[[#This Row],[ARKB]:[IBIT]])</f>
        <v>1100218.3777999999</v>
      </c>
      <c r="N23" s="98">
        <f>btc_ratios3[[#This Row],[Sum]]-M22</f>
        <v>2209.0783999997657</v>
      </c>
      <c r="O23" s="132">
        <f>btc_ratios3[[#This Row],[Sum]]/M22-1</f>
        <v>2.0118940715774247E-3</v>
      </c>
      <c r="P23" s="136">
        <f>ARKB!H22</f>
        <v>74681.960000000006</v>
      </c>
      <c r="Q23" s="136"/>
      <c r="R23" s="137"/>
    </row>
    <row r="24" spans="1:18" s="18" customFormat="1" ht="15" customHeight="1">
      <c r="A24" s="18" t="str">
        <f>scalars[[#This Row],[DOW]]</f>
        <v>Wednesday</v>
      </c>
      <c r="B24" s="62">
        <f t="shared" si="1"/>
        <v>46099</v>
      </c>
      <c r="C24" s="68">
        <f>ARKB!G23</f>
        <v>35677.89</v>
      </c>
      <c r="D24" s="68">
        <f>BITB!H23</f>
        <v>38822.75</v>
      </c>
      <c r="E24" s="98">
        <f>BRRR!G24</f>
        <v>6301.75</v>
      </c>
      <c r="F24" s="68">
        <f>BTC!J23</f>
        <v>51689.064299999998</v>
      </c>
      <c r="G24" s="168">
        <f t="shared" si="2"/>
        <v>2163</v>
      </c>
      <c r="H24" s="68">
        <f>EZBC!F23</f>
        <v>6243.76</v>
      </c>
      <c r="I24" s="38"/>
      <c r="J24" s="68">
        <f>GBTC!K23</f>
        <v>155861.42720000001</v>
      </c>
      <c r="K24" s="68">
        <f>HODL!H23</f>
        <v>17110.684000000001</v>
      </c>
      <c r="L24" s="68">
        <f>IBIT!G23</f>
        <v>785853.01150000002</v>
      </c>
      <c r="M24" s="98">
        <f>SUM(btc_ratios3[[#This Row],[ARKB]:[IBIT]])</f>
        <v>1099723.3370000001</v>
      </c>
      <c r="N24" s="98">
        <f>btc_ratios3[[#This Row],[Sum]]-M23</f>
        <v>-495.04079999984242</v>
      </c>
      <c r="O24" s="132">
        <f>btc_ratios3[[#This Row],[Sum]]/M23-1</f>
        <v>-4.4994776490625554E-4</v>
      </c>
      <c r="P24" s="136">
        <f>ARKB!H23</f>
        <v>71208.94</v>
      </c>
      <c r="Q24" s="136">
        <f>btc_ratios3[[#This Row],[Price]]-P23</f>
        <v>-3473.0200000000041</v>
      </c>
      <c r="R24" s="137">
        <f>btc_ratios3[[#This Row],[Price]]/P23-1</f>
        <v>-4.6504135670783153E-2</v>
      </c>
    </row>
    <row r="25" spans="1:18" ht="15" customHeight="1">
      <c r="A25" s="13" t="str">
        <f>scalars[[#This Row],[DOW]]</f>
        <v>Thursday</v>
      </c>
      <c r="B25" s="28">
        <f t="shared" si="1"/>
        <v>46100</v>
      </c>
      <c r="C25" s="38">
        <f>ARKB!G24</f>
        <v>35462.18</v>
      </c>
      <c r="D25" s="38">
        <f>BITB!H24</f>
        <v>38578.33</v>
      </c>
      <c r="E25" s="98">
        <f>BRRR!G25</f>
        <v>6301.7</v>
      </c>
      <c r="F25" s="38">
        <f>BTC!J24</f>
        <v>51688.851900000001</v>
      </c>
      <c r="G25" s="168">
        <f t="shared" si="2"/>
        <v>2163</v>
      </c>
      <c r="H25" s="168">
        <f>AVERAGE(H24,H26)</f>
        <v>6273.2950000000001</v>
      </c>
      <c r="J25" s="38">
        <f>GBTC!K24</f>
        <v>155590.2009</v>
      </c>
      <c r="K25" s="38">
        <f>HODL!H24</f>
        <v>17110.681</v>
      </c>
      <c r="L25" s="38">
        <f>IBIT!G24</f>
        <v>785308.84569999995</v>
      </c>
      <c r="M25" s="98">
        <f>SUM(btc_ratios3[[#This Row],[ARKB]:[IBIT]])</f>
        <v>1098477.0844999999</v>
      </c>
      <c r="N25" s="98">
        <f>btc_ratios3[[#This Row],[Sum]]-M24</f>
        <v>-1246.252500000177</v>
      </c>
      <c r="O25" s="132">
        <f>btc_ratios3[[#This Row],[Sum]]/M24-1</f>
        <v>-1.1332418418981138E-3</v>
      </c>
      <c r="P25" s="136">
        <f>ARKB!H24</f>
        <v>70292.52</v>
      </c>
      <c r="Q25" s="136">
        <f>btc_ratios3[[#This Row],[Price]]-P24</f>
        <v>-916.41999999999825</v>
      </c>
      <c r="R25" s="137">
        <f>btc_ratios3[[#This Row],[Price]]/P24-1</f>
        <v>-1.286945150426333E-2</v>
      </c>
    </row>
    <row r="26" spans="1:18" ht="15" customHeight="1">
      <c r="A26" s="13" t="str">
        <f>scalars[[#This Row],[DOW]]</f>
        <v>Friday</v>
      </c>
      <c r="B26" s="28">
        <f t="shared" si="1"/>
        <v>46101</v>
      </c>
      <c r="C26" s="38">
        <f>ARKB!G25</f>
        <v>35462.18</v>
      </c>
      <c r="D26" s="38">
        <f>BITB!H25</f>
        <v>38578.33</v>
      </c>
      <c r="E26" s="98">
        <f>BRRR!G29</f>
        <v>6301.49</v>
      </c>
      <c r="F26" s="38">
        <f>BTC!J25</f>
        <v>51754.9977</v>
      </c>
      <c r="G26" s="168">
        <f t="shared" si="2"/>
        <v>2163</v>
      </c>
      <c r="H26" s="38">
        <f>EZBC!F25</f>
        <v>6302.83</v>
      </c>
      <c r="J26" s="38">
        <f>GBTC!K25</f>
        <v>155505.9215</v>
      </c>
      <c r="K26" s="38">
        <f>HODL!H25</f>
        <v>17110.681</v>
      </c>
      <c r="L26" s="38">
        <f>IBIT!G25</f>
        <v>784651.29969999997</v>
      </c>
      <c r="M26" s="98">
        <f>SUM(btc_ratios3[[#This Row],[ARKB]:[IBIT]])</f>
        <v>1097830.7298999999</v>
      </c>
      <c r="N26" s="98">
        <f>btc_ratios3[[#This Row],[Sum]]-M25</f>
        <v>-646.35459999996237</v>
      </c>
      <c r="O26" s="132">
        <f>btc_ratios3[[#This Row],[Sum]]/M25-1</f>
        <v>-5.8840972571960748E-4</v>
      </c>
      <c r="P26" s="136">
        <f>ARKB!H25</f>
        <v>69873.119999999995</v>
      </c>
      <c r="Q26" s="136">
        <f>btc_ratios3[[#This Row],[Price]]-P25</f>
        <v>-419.40000000000873</v>
      </c>
      <c r="R26" s="137">
        <f>btc_ratios3[[#This Row],[Price]]/P25-1</f>
        <v>-5.9664954393441327E-3</v>
      </c>
    </row>
    <row r="27" spans="1:18" ht="15" customHeight="1">
      <c r="A27" s="13" t="str">
        <f>scalars[[#This Row],[DOW]]</f>
        <v>Saturday</v>
      </c>
      <c r="B27" s="28">
        <f t="shared" si="1"/>
        <v>46102</v>
      </c>
      <c r="G27" s="168"/>
      <c r="M27" s="98"/>
      <c r="N27" s="98"/>
      <c r="O27" s="132"/>
      <c r="P27" s="136"/>
      <c r="Q27" s="136"/>
      <c r="R27" s="137"/>
    </row>
    <row r="28" spans="1:18" ht="15" customHeight="1">
      <c r="A28" s="13" t="str">
        <f>scalars[[#This Row],[DOW]]</f>
        <v>Sunday</v>
      </c>
      <c r="B28" s="28">
        <f t="shared" si="1"/>
        <v>46103</v>
      </c>
      <c r="G28" s="98"/>
      <c r="M28" s="98"/>
      <c r="N28" s="98"/>
      <c r="O28" s="132"/>
      <c r="P28" s="136"/>
      <c r="Q28" s="136"/>
      <c r="R28" s="137"/>
    </row>
    <row r="29" spans="1:18" ht="15" customHeight="1">
      <c r="A29" s="13" t="str">
        <f>scalars[[#This Row],[DOW]]</f>
        <v>Monday</v>
      </c>
      <c r="B29" s="28">
        <f t="shared" si="1"/>
        <v>46104</v>
      </c>
      <c r="G29" s="98"/>
      <c r="M29" s="98"/>
      <c r="N29" s="98"/>
      <c r="O29" s="132"/>
      <c r="P29" s="136"/>
      <c r="Q29" s="136"/>
      <c r="R29" s="137"/>
    </row>
    <row r="30" spans="1:18" ht="15" customHeight="1">
      <c r="A30" s="13" t="str">
        <f>scalars[[#This Row],[DOW]]</f>
        <v>Tuesday</v>
      </c>
      <c r="B30" s="28">
        <f t="shared" si="1"/>
        <v>46105</v>
      </c>
      <c r="C30" s="38">
        <f>ARKB!G29</f>
        <v>35329.43</v>
      </c>
      <c r="D30" s="38">
        <f>BITB!H29</f>
        <v>38339.35</v>
      </c>
      <c r="E30" s="98">
        <f>BRRR!G30</f>
        <v>6301.44</v>
      </c>
      <c r="F30" s="38">
        <f>BTC!J29</f>
        <v>51754.146999999997</v>
      </c>
      <c r="G30" s="168">
        <f>G26</f>
        <v>2163</v>
      </c>
      <c r="H30" s="38">
        <f>EZBC!F29</f>
        <v>6302.83</v>
      </c>
      <c r="J30" s="38">
        <f>GBTC!K29</f>
        <v>155114.3596</v>
      </c>
      <c r="K30" s="38">
        <f>HODL!H29</f>
        <v>17153.101999999999</v>
      </c>
      <c r="L30" s="38">
        <f>IBIT!G29</f>
        <v>786850.58</v>
      </c>
      <c r="M30" s="98">
        <f>SUM(btc_ratios3[[#This Row],[ARKB]:[IBIT]])</f>
        <v>1099308.2386</v>
      </c>
      <c r="N30" s="98">
        <f>btc_ratios3[[#This Row],[Sum]]-M26</f>
        <v>1477.5087000001222</v>
      </c>
      <c r="O30" s="132">
        <f>btc_ratios3[[#This Row],[Sum]]/M26-1</f>
        <v>1.3458438170470544E-3</v>
      </c>
      <c r="P30" s="136">
        <f>ARKB!H29</f>
        <v>69451.67</v>
      </c>
      <c r="Q30" s="136">
        <f>btc_ratios3[[#This Row],[Price]]-P26</f>
        <v>-421.44999999999709</v>
      </c>
      <c r="R30" s="137">
        <f>btc_ratios3[[#This Row],[Price]]/P26-1</f>
        <v>-6.0316470768729813E-3</v>
      </c>
    </row>
    <row r="31" spans="1:18" ht="15" customHeight="1">
      <c r="A31" s="13" t="str">
        <f>scalars[[#This Row],[DOW]]</f>
        <v>Wednesday</v>
      </c>
      <c r="B31" s="28">
        <f t="shared" si="1"/>
        <v>46106</v>
      </c>
      <c r="C31" s="38">
        <f>ARKB!G30</f>
        <v>35261.4</v>
      </c>
      <c r="D31" s="38">
        <f>BITB!H30</f>
        <v>38339.35</v>
      </c>
      <c r="E31" s="98">
        <f>BRRR!G31</f>
        <v>6301.4</v>
      </c>
      <c r="F31" s="38">
        <f>BTC!J30</f>
        <v>51753.934300000001</v>
      </c>
      <c r="G31" s="168">
        <f>G30</f>
        <v>2163</v>
      </c>
      <c r="H31" s="38">
        <f>EZBC!F30</f>
        <v>6302.83</v>
      </c>
      <c r="J31" s="38">
        <f>GBTC!K30</f>
        <v>155107.98499999999</v>
      </c>
      <c r="K31" s="38">
        <f>HODL!H30</f>
        <v>17039.976999999999</v>
      </c>
      <c r="L31" s="38">
        <f>IBIT!G30</f>
        <v>785852.95790000004</v>
      </c>
      <c r="M31" s="98">
        <f>SUM(btc_ratios3[[#This Row],[ARKB]:[IBIT]])</f>
        <v>1098122.8341999999</v>
      </c>
      <c r="N31" s="98">
        <f>btc_ratios3[[#This Row],[Sum]]-M30</f>
        <v>-1185.4044000001159</v>
      </c>
      <c r="O31" s="132">
        <f>btc_ratios3[[#This Row],[Sum]]/M30-1</f>
        <v>-1.0783184900986509E-3</v>
      </c>
      <c r="P31" s="136">
        <f>ARKB!H30</f>
        <v>70883.73</v>
      </c>
      <c r="Q31" s="136">
        <f>btc_ratios3[[#This Row],[Price]]-P30</f>
        <v>1432.0599999999977</v>
      </c>
      <c r="R31" s="137">
        <f>btc_ratios3[[#This Row],[Price]]/P30-1</f>
        <v>2.061951858033062E-2</v>
      </c>
    </row>
    <row r="32" spans="1:18" ht="15" customHeight="1">
      <c r="A32" s="13" t="str">
        <f>scalars[[#This Row],[DOW]]</f>
        <v>Thursday</v>
      </c>
      <c r="B32" s="28">
        <f t="shared" si="1"/>
        <v>46107</v>
      </c>
      <c r="C32" s="38">
        <f>ARKB!G31</f>
        <v>34816.720000000001</v>
      </c>
      <c r="D32" s="38">
        <f>BITB!H31</f>
        <v>37855.97</v>
      </c>
      <c r="E32" s="98">
        <f>BRRR!G32</f>
        <v>6301.4</v>
      </c>
      <c r="F32" s="38">
        <f>BTC!J31</f>
        <v>51753.721599999997</v>
      </c>
      <c r="G32" s="38">
        <f>BTCW!H31</f>
        <v>2163</v>
      </c>
      <c r="H32" s="38">
        <f>EZBC!F31</f>
        <v>6302.83</v>
      </c>
      <c r="J32" s="38">
        <f>GBTC!K31</f>
        <v>155101.61069999999</v>
      </c>
      <c r="K32" s="38">
        <f>HODL!H31</f>
        <v>17039.974999999999</v>
      </c>
      <c r="L32" s="38">
        <f>IBIT!G31</f>
        <v>785240.80359999998</v>
      </c>
      <c r="M32" s="98">
        <f>SUM(btc_ratios3[[#This Row],[ARKB]:[IBIT]])</f>
        <v>1096576.0308999999</v>
      </c>
      <c r="N32" s="98">
        <f>btc_ratios3[[#This Row],[Sum]]-M31</f>
        <v>-1546.8033000000287</v>
      </c>
      <c r="O32" s="132">
        <f>btc_ratios3[[#This Row],[Sum]]/M31-1</f>
        <v>-1.4085885948513788E-3</v>
      </c>
      <c r="P32" s="136">
        <f>ARKB!H31</f>
        <v>68478.86</v>
      </c>
      <c r="Q32" s="136">
        <f>btc_ratios3[[#This Row],[Price]]-P31</f>
        <v>-2404.8699999999953</v>
      </c>
      <c r="R32" s="137">
        <f>btc_ratios3[[#This Row],[Price]]/P31-1</f>
        <v>-3.3926967443727807E-2</v>
      </c>
    </row>
    <row r="33" spans="1:18" ht="15" customHeight="1">
      <c r="A33" s="13" t="str">
        <f>scalars[[#This Row],[DOW]]</f>
        <v>Friday</v>
      </c>
      <c r="B33" s="28">
        <f t="shared" si="1"/>
        <v>46108</v>
      </c>
      <c r="C33" s="168">
        <f>AVERAGE(C32,C36)</f>
        <v>35023.354999999996</v>
      </c>
      <c r="D33" s="38">
        <f>BITB!H32</f>
        <v>37573.550000000003</v>
      </c>
      <c r="E33" s="98">
        <f>BRRR!G35</f>
        <v>6301.23</v>
      </c>
      <c r="F33" s="38">
        <f>BTC!J32</f>
        <v>51673.881300000001</v>
      </c>
      <c r="G33" s="168">
        <f>G32</f>
        <v>2163</v>
      </c>
      <c r="H33" s="168">
        <f>H32</f>
        <v>6302.83</v>
      </c>
      <c r="J33" s="38">
        <f>GBTC!K32</f>
        <v>154729.28090000001</v>
      </c>
      <c r="K33" s="38">
        <f>HODL!H32</f>
        <v>17004.62</v>
      </c>
      <c r="L33" s="38">
        <f>IBIT!G32</f>
        <v>782180.0612</v>
      </c>
      <c r="M33" s="98">
        <f>SUM(btc_ratios3[[#This Row],[ARKB]:[IBIT]])</f>
        <v>1092951.8084</v>
      </c>
      <c r="N33" s="98">
        <f>btc_ratios3[[#This Row],[Sum]]-M32</f>
        <v>-3624.2224999999162</v>
      </c>
      <c r="O33" s="132">
        <f>btc_ratios3[[#This Row],[Sum]]/M32-1</f>
        <v>-3.3050353079716599E-3</v>
      </c>
      <c r="P33" s="136">
        <f>BITB!J32</f>
        <v>65842.59</v>
      </c>
      <c r="Q33" s="136">
        <f>btc_ratios3[[#This Row],[Price]]-P32</f>
        <v>-2636.2700000000041</v>
      </c>
      <c r="R33" s="137">
        <f>btc_ratios3[[#This Row],[Price]]/P32-1</f>
        <v>-3.8497574287889802E-2</v>
      </c>
    </row>
    <row r="34" spans="1:18" ht="15" customHeight="1">
      <c r="A34" s="13" t="str">
        <f>scalars[[#This Row],[DOW]]</f>
        <v>Saturday</v>
      </c>
      <c r="B34" s="28">
        <f t="shared" si="1"/>
        <v>46109</v>
      </c>
      <c r="M34" s="98"/>
      <c r="N34" s="98"/>
      <c r="O34" s="132"/>
      <c r="P34" s="136"/>
      <c r="Q34" s="136"/>
      <c r="R34" s="137"/>
    </row>
    <row r="35" spans="1:18" ht="15" customHeight="1">
      <c r="A35" s="13" t="str">
        <f>scalars[[#This Row],[DOW]]</f>
        <v>Sunday</v>
      </c>
      <c r="B35" s="28">
        <f t="shared" si="1"/>
        <v>46110</v>
      </c>
      <c r="M35" s="98"/>
      <c r="N35" s="98"/>
      <c r="O35" s="132"/>
      <c r="P35" s="136"/>
      <c r="Q35" s="136"/>
      <c r="R35" s="137"/>
    </row>
    <row r="36" spans="1:18" s="18" customFormat="1" ht="15" customHeight="1">
      <c r="A36" s="18" t="str">
        <f>scalars[[#This Row],[DOW]]</f>
        <v>Monday</v>
      </c>
      <c r="B36" s="62">
        <f t="shared" si="1"/>
        <v>46111</v>
      </c>
      <c r="C36" s="68">
        <f>ARKB!G35</f>
        <v>35229.99</v>
      </c>
      <c r="D36" s="68">
        <f>BITB!H35</f>
        <v>37573.550000000003</v>
      </c>
      <c r="E36" s="98">
        <f>BRRR!G36</f>
        <v>6301.18</v>
      </c>
      <c r="F36" s="68">
        <f>BTC!J35</f>
        <v>51673.244200000001</v>
      </c>
      <c r="G36" s="68">
        <f>BTCW!H35</f>
        <v>2163</v>
      </c>
      <c r="H36" s="68">
        <f>EZBC!F35</f>
        <v>6302.83</v>
      </c>
      <c r="I36" s="38"/>
      <c r="J36" s="68">
        <f>GBTC!K35</f>
        <v>154710.20550000001</v>
      </c>
      <c r="K36" s="68">
        <f>HODL!H35</f>
        <v>17004.624</v>
      </c>
      <c r="L36" s="68">
        <f>IBIT!G35</f>
        <v>782293.41929999995</v>
      </c>
      <c r="M36" s="98">
        <f>SUM(btc_ratios3[[#This Row],[ARKB]:[IBIT]])</f>
        <v>1093252.0430000001</v>
      </c>
      <c r="N36" s="98">
        <f>btc_ratios3[[#This Row],[Sum]]-M33</f>
        <v>300.23460000008345</v>
      </c>
      <c r="O36" s="132">
        <f>btc_ratios3[[#This Row],[Sum]]/M33-1</f>
        <v>2.7470067544843602E-4</v>
      </c>
      <c r="P36" s="136">
        <f>ARKB!H35</f>
        <v>66355.48</v>
      </c>
      <c r="Q36" s="136">
        <f>btc_ratios3[[#This Row],[Price]]-P33</f>
        <v>512.88999999999942</v>
      </c>
      <c r="R36" s="137">
        <f>btc_ratios3[[#This Row],[Price]]/P33-1</f>
        <v>7.7896388948246464E-3</v>
      </c>
    </row>
    <row r="37" spans="1:18" ht="15" customHeight="1">
      <c r="A37" s="13" t="str">
        <f>scalars[[#This Row],[DOW]]</f>
        <v>Tuesday</v>
      </c>
      <c r="B37" s="28">
        <f t="shared" si="1"/>
        <v>46112</v>
      </c>
      <c r="C37" s="38">
        <f>ARKB!G36</f>
        <v>35246.58</v>
      </c>
      <c r="D37" s="38">
        <f>BITB!H36</f>
        <v>37593.96</v>
      </c>
      <c r="E37" s="98">
        <f>BRRR!G37</f>
        <v>6301.14</v>
      </c>
      <c r="F37" s="38">
        <f>BTC!J36</f>
        <v>51673.031900000002</v>
      </c>
      <c r="G37" s="168">
        <f>G36</f>
        <v>2163</v>
      </c>
      <c r="H37" s="38">
        <f>EZBC!F36</f>
        <v>6302.83</v>
      </c>
      <c r="J37" s="38">
        <f>GBTC!K36</f>
        <v>154703.84760000001</v>
      </c>
      <c r="K37" s="38">
        <f>HODL!H36</f>
        <v>17004.624</v>
      </c>
      <c r="L37" s="38">
        <f>IBIT!G36</f>
        <v>783744.40049999999</v>
      </c>
      <c r="M37" s="98">
        <f>SUM(btc_ratios3[[#This Row],[ARKB]:[IBIT]])</f>
        <v>1094733.4139999999</v>
      </c>
      <c r="N37" s="98">
        <f>btc_ratios3[[#This Row],[Sum]]-M36</f>
        <v>1481.37099999981</v>
      </c>
      <c r="O37" s="132">
        <f>btc_ratios3[[#This Row],[Sum]]/M36-1</f>
        <v>1.3550132464741349E-3</v>
      </c>
      <c r="P37" s="136">
        <f>ARKB!H36</f>
        <v>67831.759999999995</v>
      </c>
      <c r="Q37" s="136">
        <f>btc_ratios3[[#This Row],[Price]]-P36</f>
        <v>1476.2799999999988</v>
      </c>
      <c r="R37" s="137">
        <f>btc_ratios3[[#This Row],[Price]]/P36-1</f>
        <v>2.2248049445200202E-2</v>
      </c>
    </row>
    <row r="38" spans="1:18" s="18" customFormat="1" ht="15" customHeight="1">
      <c r="A38" s="18" t="str">
        <f>scalars[[#This Row],[DOW]]</f>
        <v>Wednesday</v>
      </c>
      <c r="B38" s="62">
        <f t="shared" si="1"/>
        <v>46113</v>
      </c>
      <c r="C38" s="68">
        <f>ARKB!G37</f>
        <v>35246.58</v>
      </c>
      <c r="D38" s="68">
        <f>BITB!H37</f>
        <v>37512.49</v>
      </c>
      <c r="E38" s="98">
        <f>BRRR!G38</f>
        <v>6300.97</v>
      </c>
      <c r="F38" s="68">
        <f>BTC!J37</f>
        <v>51672.819499999998</v>
      </c>
      <c r="G38" s="68">
        <f>BTCW!H37</f>
        <v>2163</v>
      </c>
      <c r="H38" s="68">
        <f>EZBC!F37</f>
        <v>6302.83</v>
      </c>
      <c r="I38" s="38"/>
      <c r="J38" s="68">
        <f>GBTC!K37</f>
        <v>154697.48989999999</v>
      </c>
      <c r="K38" s="68">
        <f>HODL!H37</f>
        <v>17004.625</v>
      </c>
      <c r="L38" s="68">
        <f>IBIT!G37</f>
        <v>782474.772</v>
      </c>
      <c r="M38" s="98">
        <f>SUM(btc_ratios3[[#This Row],[ARKB]:[IBIT]])</f>
        <v>1093375.5764000001</v>
      </c>
      <c r="N38" s="98">
        <f>btc_ratios3[[#This Row],[Sum]]-M37</f>
        <v>-1357.837599999737</v>
      </c>
      <c r="O38" s="132">
        <f>btc_ratios3[[#This Row],[Sum]]/M37-1</f>
        <v>-1.2403363071182838E-3</v>
      </c>
      <c r="P38" s="136">
        <f>ARKB!H37</f>
        <v>68149.22</v>
      </c>
      <c r="Q38" s="136">
        <f>btc_ratios3[[#This Row],[Price]]-P37</f>
        <v>317.4600000000064</v>
      </c>
      <c r="R38" s="137">
        <f>btc_ratios3[[#This Row],[Price]]/P37-1</f>
        <v>4.6801085509207141E-3</v>
      </c>
    </row>
    <row r="39" spans="1:18" ht="15" customHeight="1">
      <c r="A39" s="13" t="str">
        <f>scalars[[#This Row],[DOW]]</f>
        <v>Thursday</v>
      </c>
      <c r="B39" s="28">
        <f t="shared" si="1"/>
        <v>46114</v>
      </c>
      <c r="C39" s="38">
        <f>ARKB!G38</f>
        <v>35246.58</v>
      </c>
      <c r="D39" s="38">
        <f>BITB!H38</f>
        <v>37512.49</v>
      </c>
      <c r="E39" s="98">
        <f>BRRR!G42</f>
        <v>6334.78</v>
      </c>
      <c r="F39" s="38">
        <f>BTC!J38</f>
        <v>51823.011200000001</v>
      </c>
      <c r="G39" s="38">
        <f>BTCW!H38</f>
        <v>2163</v>
      </c>
      <c r="H39" s="38">
        <f>EZBC!F38</f>
        <v>6302.83</v>
      </c>
      <c r="J39" s="38">
        <f>GBTC!K38</f>
        <v>154496.52309999999</v>
      </c>
      <c r="K39" s="38">
        <f>HODL!H38</f>
        <v>17004.624</v>
      </c>
      <c r="L39" s="38">
        <f>IBIT!G38</f>
        <v>782429.4</v>
      </c>
      <c r="M39" s="98">
        <f>SUM(btc_ratios3[[#This Row],[ARKB]:[IBIT]])</f>
        <v>1093313.2383000001</v>
      </c>
      <c r="N39" s="98">
        <f>btc_ratios3[[#This Row],[Sum]]-M38</f>
        <v>-62.338100000051782</v>
      </c>
      <c r="O39" s="132">
        <f>btc_ratios3[[#This Row],[Sum]]/M38-1</f>
        <v>-5.7014352017326075E-5</v>
      </c>
      <c r="P39" s="136">
        <f>ARKB!H38</f>
        <v>66994.87</v>
      </c>
      <c r="Q39" s="136">
        <f>btc_ratios3[[#This Row],[Price]]-P38</f>
        <v>-1154.3500000000058</v>
      </c>
      <c r="R39" s="137">
        <f>btc_ratios3[[#This Row],[Price]]/P38-1</f>
        <v>-1.6938565107568415E-2</v>
      </c>
    </row>
    <row r="40" spans="1:18" ht="15" customHeight="1">
      <c r="A40" s="13" t="str">
        <f>scalars[[#This Row],[DOW]]</f>
        <v>Friday</v>
      </c>
      <c r="B40" s="28">
        <f t="shared" si="1"/>
        <v>46115</v>
      </c>
      <c r="M40" s="170" t="s">
        <v>73</v>
      </c>
      <c r="N40" s="100"/>
      <c r="O40" s="132"/>
      <c r="P40" s="136"/>
      <c r="Q40" s="136"/>
      <c r="R40" s="137"/>
    </row>
    <row r="41" spans="1:18" ht="15" customHeight="1">
      <c r="A41" s="13" t="str">
        <f>scalars[[#This Row],[DOW]]</f>
        <v>Saturday</v>
      </c>
      <c r="B41" s="28">
        <f t="shared" si="1"/>
        <v>46116</v>
      </c>
      <c r="M41" s="98"/>
      <c r="N41" s="98"/>
      <c r="O41" s="132"/>
      <c r="P41" s="136"/>
      <c r="Q41" s="136">
        <f>btc_ratios3[[#This Row],[Price]]-P40</f>
        <v>0</v>
      </c>
      <c r="R41" s="137"/>
    </row>
    <row r="42" spans="1:18" ht="15" customHeight="1">
      <c r="A42" s="13" t="str">
        <f>scalars[[#This Row],[DOW]]</f>
        <v>Sunday</v>
      </c>
      <c r="B42" s="28">
        <f t="shared" si="1"/>
        <v>46117</v>
      </c>
      <c r="M42" s="98"/>
      <c r="N42" s="98"/>
      <c r="O42" s="132"/>
      <c r="P42" s="136"/>
      <c r="Q42" s="136"/>
      <c r="R42" s="137"/>
    </row>
    <row r="43" spans="1:18" ht="15" customHeight="1">
      <c r="A43" s="13" t="str">
        <f>scalars[[#This Row],[DOW]]</f>
        <v>Monday</v>
      </c>
      <c r="B43" s="28">
        <f t="shared" si="1"/>
        <v>46118</v>
      </c>
      <c r="C43" s="38">
        <f>ARKB!G42</f>
        <v>36948.879999999997</v>
      </c>
      <c r="D43" s="38">
        <f>BITB!H42</f>
        <v>37566.800000000003</v>
      </c>
      <c r="E43" s="98">
        <f>BRRR!G43</f>
        <v>6334.74</v>
      </c>
      <c r="F43" s="38">
        <f>BTC!J42</f>
        <v>51822.159299999999</v>
      </c>
      <c r="G43" s="38">
        <f>BTCW!H42</f>
        <v>2163</v>
      </c>
      <c r="H43" s="38">
        <f>EZBC!F42</f>
        <v>6302.83</v>
      </c>
      <c r="J43" s="38">
        <f>GBTC!K42</f>
        <v>154471.128</v>
      </c>
      <c r="K43" s="38">
        <f>HODL!H42</f>
        <v>17075.328000000001</v>
      </c>
      <c r="L43" s="38">
        <f>IBIT!G42</f>
        <v>785036.53189999994</v>
      </c>
      <c r="M43" s="98">
        <f>SUM(btc_ratios3[[#This Row],[ARKB]:[IBIT]])</f>
        <v>1097721.3972</v>
      </c>
      <c r="N43" s="98">
        <f>btc_ratios3[[#This Row],[Sum]]-M39</f>
        <v>4408.1588999999221</v>
      </c>
      <c r="O43" s="132">
        <f>btc_ratios3[[#This Row],[Sum]]/M39-1</f>
        <v>4.0319267576547357E-3</v>
      </c>
      <c r="P43" s="136">
        <f>ARKB!H42</f>
        <v>69766.87</v>
      </c>
      <c r="Q43" s="136">
        <f>btc_ratios3[[#This Row],[Price]]-P39</f>
        <v>2772</v>
      </c>
      <c r="R43" s="137">
        <f>btc_ratios3[[#This Row],[Price]]/P39-1</f>
        <v>4.1376302394496856E-2</v>
      </c>
    </row>
    <row r="44" spans="1:18" ht="15" customHeight="1">
      <c r="A44" s="13" t="str">
        <f>scalars[[#This Row],[DOW]]</f>
        <v>Tuesday</v>
      </c>
      <c r="B44" s="28">
        <f t="shared" si="1"/>
        <v>46119</v>
      </c>
      <c r="C44" s="38">
        <f>ARKB!G43</f>
        <v>36451.14</v>
      </c>
      <c r="D44" s="38">
        <f>BITB!H43</f>
        <v>37566.800000000003</v>
      </c>
      <c r="E44" s="98">
        <f>BRRR!G44</f>
        <v>6334.69</v>
      </c>
      <c r="F44" s="38">
        <f>BTC!J43</f>
        <v>52074.089</v>
      </c>
      <c r="G44" s="38">
        <f>BTCW!H43</f>
        <v>2163</v>
      </c>
      <c r="H44" s="38">
        <f>EZBC!F43</f>
        <v>6302.83</v>
      </c>
      <c r="J44" s="38">
        <f>GBTC!K43</f>
        <v>154464.77989999999</v>
      </c>
      <c r="K44" s="38">
        <f>HODL!H43</f>
        <v>17103.609</v>
      </c>
      <c r="L44" s="38">
        <f>IBIT!G43</f>
        <v>784619.87809999997</v>
      </c>
      <c r="M44" s="98">
        <f>SUM(btc_ratios3[[#This Row],[ARKB]:[IBIT]])</f>
        <v>1097080.8159999999</v>
      </c>
      <c r="N44" s="98">
        <f>btc_ratios3[[#This Row],[Sum]]-M43</f>
        <v>-640.5812000001315</v>
      </c>
      <c r="O44" s="132">
        <f>btc_ratios3[[#This Row],[Sum]]/M43-1</f>
        <v>-5.835553553333872E-4</v>
      </c>
      <c r="P44" s="136">
        <f>ARKB!H43</f>
        <v>68612.350000000006</v>
      </c>
      <c r="Q44" s="136">
        <f>btc_ratios3[[#This Row],[Price]]-P43</f>
        <v>-1154.5199999999895</v>
      </c>
      <c r="R44" s="137">
        <f>btc_ratios3[[#This Row],[Price]]/P43-1</f>
        <v>-1.6548255640535303E-2</v>
      </c>
    </row>
    <row r="45" spans="1:18" ht="15" customHeight="1">
      <c r="A45" s="13" t="str">
        <f>scalars[[#This Row],[DOW]]</f>
        <v>Wednesday</v>
      </c>
      <c r="B45" s="28">
        <f t="shared" si="1"/>
        <v>46120</v>
      </c>
      <c r="C45" s="38">
        <f>ARKB!G44</f>
        <v>35402.559999999998</v>
      </c>
      <c r="D45" s="38">
        <f>BITB!H44</f>
        <v>37566.800000000003</v>
      </c>
      <c r="E45" s="98">
        <f>BRRR!G45</f>
        <v>6334.65</v>
      </c>
      <c r="F45" s="38">
        <f>BTC!J44</f>
        <v>52073.875</v>
      </c>
      <c r="G45" s="38">
        <f>BTCW!H44</f>
        <v>2162</v>
      </c>
      <c r="H45" s="38">
        <f>EZBC!F44</f>
        <v>6302.83</v>
      </c>
      <c r="J45" s="38">
        <f>GBTC!K44</f>
        <v>153851.40059999999</v>
      </c>
      <c r="K45" s="38">
        <f>HODL!H44</f>
        <v>16806.652999999998</v>
      </c>
      <c r="L45" s="38">
        <f>IBIT!G44</f>
        <v>785186.63950000005</v>
      </c>
      <c r="M45" s="98">
        <f>SUM(btc_ratios3[[#This Row],[ARKB]:[IBIT]])</f>
        <v>1095687.4081000001</v>
      </c>
      <c r="N45" s="98">
        <f>btc_ratios3[[#This Row],[Sum]]-M44</f>
        <v>-1393.4078999997582</v>
      </c>
      <c r="O45" s="132">
        <f>btc_ratios3[[#This Row],[Sum]]/M44-1</f>
        <v>-1.2701050639826184E-3</v>
      </c>
      <c r="P45" s="136">
        <f>ARKB!H44</f>
        <v>71239.5</v>
      </c>
      <c r="Q45" s="136">
        <f>btc_ratios3[[#This Row],[Price]]-P44</f>
        <v>2627.1499999999942</v>
      </c>
      <c r="R45" s="137">
        <f>btc_ratios3[[#This Row],[Price]]/P44-1</f>
        <v>3.8289753958288708E-2</v>
      </c>
    </row>
    <row r="46" spans="1:18" ht="15" customHeight="1">
      <c r="A46" s="13" t="str">
        <f>scalars[[#This Row],[DOW]]</f>
        <v>Thursday</v>
      </c>
      <c r="B46" s="28">
        <f t="shared" si="1"/>
        <v>46121</v>
      </c>
      <c r="C46" s="38">
        <f>ARKB!G45</f>
        <v>35468.925600000002</v>
      </c>
      <c r="D46" s="38">
        <f>BITB!H45</f>
        <v>37729.730000000003</v>
      </c>
      <c r="E46" s="98">
        <f>BRRR!G46</f>
        <v>6334.52</v>
      </c>
      <c r="F46" s="38">
        <f>BTC!J45</f>
        <v>52073.661</v>
      </c>
      <c r="G46" s="168">
        <f>G45</f>
        <v>2162</v>
      </c>
      <c r="H46" s="38">
        <f>EZBC!F45</f>
        <v>6331.74</v>
      </c>
      <c r="J46" s="38">
        <f>GBTC!K45</f>
        <v>153689.43530000001</v>
      </c>
      <c r="K46" s="38">
        <f>HODL!H45</f>
        <v>16806.648000000001</v>
      </c>
      <c r="L46" s="38">
        <f>IBIT!G45</f>
        <v>788927.18350000004</v>
      </c>
      <c r="M46" s="98">
        <f>SUM(btc_ratios3[[#This Row],[ARKB]:[IBIT]])</f>
        <v>1099523.8434000001</v>
      </c>
      <c r="N46" s="98">
        <f>btc_ratios3[[#This Row],[Sum]]-M45</f>
        <v>3836.4353000000119</v>
      </c>
      <c r="O46" s="132">
        <f>btc_ratios3[[#This Row],[Sum]]/M45-1</f>
        <v>3.5013958101905995E-3</v>
      </c>
      <c r="P46" s="136">
        <f>ARKB!H45</f>
        <v>72005.03</v>
      </c>
      <c r="Q46" s="136">
        <f>btc_ratios3[[#This Row],[Price]]-P45</f>
        <v>765.52999999999884</v>
      </c>
      <c r="R46" s="137">
        <f>btc_ratios3[[#This Row],[Price]]/P45-1</f>
        <v>1.0745864302809549E-2</v>
      </c>
    </row>
    <row r="47" spans="1:18" ht="15" customHeight="1">
      <c r="A47" s="13" t="str">
        <f>scalars[[#This Row],[DOW]]</f>
        <v>Friday</v>
      </c>
      <c r="B47" s="28">
        <f t="shared" si="1"/>
        <v>46122</v>
      </c>
      <c r="C47" s="38">
        <f>ARKB!G46</f>
        <v>35518.698900000003</v>
      </c>
      <c r="D47" s="38">
        <f>BITB!H46</f>
        <v>37860.07</v>
      </c>
      <c r="E47" s="98">
        <f>BRRR!G49</f>
        <v>6334.48</v>
      </c>
      <c r="F47" s="38">
        <f>BTC!J46</f>
        <v>52073.447</v>
      </c>
      <c r="G47" s="38">
        <f>BTCW!H46</f>
        <v>2162</v>
      </c>
      <c r="H47" s="38">
        <f>EZBC!F46</f>
        <v>6331.74</v>
      </c>
      <c r="J47" s="38">
        <f>GBTC!K46</f>
        <v>153683.11929999999</v>
      </c>
      <c r="K47" s="38">
        <f>HODL!H46</f>
        <v>16834.928</v>
      </c>
      <c r="L47" s="38">
        <f>IBIT!G46</f>
        <v>790808.79209999996</v>
      </c>
      <c r="M47" s="98">
        <f>SUM(btc_ratios3[[#This Row],[ARKB]:[IBIT]])</f>
        <v>1101607.2752999999</v>
      </c>
      <c r="N47" s="98">
        <f>btc_ratios3[[#This Row],[Sum]]-M46</f>
        <v>2083.431899999734</v>
      </c>
      <c r="O47" s="132">
        <f>btc_ratios3[[#This Row],[Sum]]/M46-1</f>
        <v>1.8948492226937841E-3</v>
      </c>
      <c r="P47" s="136">
        <f>ARKB!H46</f>
        <v>73109.73</v>
      </c>
      <c r="Q47" s="136">
        <f>btc_ratios3[[#This Row],[Price]]-P46</f>
        <v>1104.6999999999971</v>
      </c>
      <c r="R47" s="137">
        <f>btc_ratios3[[#This Row],[Price]]/P46-1</f>
        <v>1.5341983747524157E-2</v>
      </c>
    </row>
    <row r="48" spans="1:18" ht="15" customHeight="1">
      <c r="A48" s="13" t="str">
        <f>scalars[[#This Row],[DOW]]</f>
        <v>Saturday</v>
      </c>
      <c r="B48" s="28">
        <f t="shared" si="1"/>
        <v>46123</v>
      </c>
      <c r="M48" s="98"/>
      <c r="N48" s="98"/>
      <c r="O48" s="132"/>
      <c r="P48" s="136"/>
      <c r="Q48" s="136"/>
      <c r="R48" s="137"/>
    </row>
    <row r="49" spans="1:18" ht="15" customHeight="1">
      <c r="A49" s="13" t="str">
        <f>scalars[[#This Row],[DOW]]</f>
        <v>Sunday</v>
      </c>
      <c r="B49" s="28">
        <f t="shared" si="1"/>
        <v>46124</v>
      </c>
      <c r="M49" s="98"/>
      <c r="N49" s="98"/>
      <c r="O49" s="132"/>
      <c r="P49" s="136"/>
      <c r="Q49" s="136"/>
      <c r="R49" s="137"/>
    </row>
    <row r="50" spans="1:18" ht="15" customHeight="1">
      <c r="A50" s="13" t="str">
        <f>scalars[[#This Row],[DOW]]</f>
        <v>Monday</v>
      </c>
      <c r="B50" s="28">
        <f t="shared" si="1"/>
        <v>46125</v>
      </c>
      <c r="C50" s="38">
        <f>ARKB!G49</f>
        <v>34655.967900000003</v>
      </c>
      <c r="D50" s="38">
        <f>BITB!H49</f>
        <v>38022.99</v>
      </c>
      <c r="E50" s="98">
        <f>BRRR!G50</f>
        <v>6334.43</v>
      </c>
      <c r="F50" s="38">
        <f>BTC!J49</f>
        <v>52196.662600000003</v>
      </c>
      <c r="G50" s="38">
        <f>BTCW!H49</f>
        <v>2162</v>
      </c>
      <c r="H50" s="38">
        <f>EZBC!F49</f>
        <v>6331.74</v>
      </c>
      <c r="J50" s="38">
        <f>GBTC!K49</f>
        <v>153664.1728</v>
      </c>
      <c r="K50" s="38">
        <f>HODL!H49</f>
        <v>16870.285</v>
      </c>
      <c r="L50" s="38">
        <f>IBIT!G49</f>
        <v>791284.82949999999</v>
      </c>
      <c r="M50" s="98">
        <f>SUM(btc_ratios3[[#This Row],[ARKB]:[IBIT]])</f>
        <v>1101523.0778000001</v>
      </c>
      <c r="N50" s="98">
        <f>btc_ratios3[[#This Row],[Sum]]-M47</f>
        <v>-84.197499999776483</v>
      </c>
      <c r="O50" s="132">
        <f>btc_ratios3[[#This Row],[Sum]]/M47-1</f>
        <v>-7.6431503211349394E-5</v>
      </c>
      <c r="P50" s="136">
        <f>ARKB!H49</f>
        <v>72892.55</v>
      </c>
      <c r="Q50" s="136">
        <f>btc_ratios3[[#This Row],[Price]]-P47</f>
        <v>-217.17999999999302</v>
      </c>
      <c r="R50" s="137">
        <f>btc_ratios3[[#This Row],[Price]]/P47-1</f>
        <v>-2.9706032288724371E-3</v>
      </c>
    </row>
    <row r="51" spans="1:18" ht="15" customHeight="1">
      <c r="A51" s="13" t="str">
        <f>scalars[[#This Row],[DOW]]</f>
        <v>Tuesday</v>
      </c>
      <c r="B51" s="28">
        <f t="shared" si="1"/>
        <v>46126</v>
      </c>
      <c r="C51" s="38">
        <f>ARKB!G50</f>
        <v>36179.011100000003</v>
      </c>
      <c r="D51" s="38">
        <f>BITB!H50</f>
        <v>38191.339999999997</v>
      </c>
      <c r="E51" s="98">
        <f>BRRR!G51</f>
        <v>6334.39</v>
      </c>
      <c r="F51" s="38">
        <f>BTC!J50</f>
        <v>52046.051500000001</v>
      </c>
      <c r="G51" s="38">
        <f>BTCW!H50</f>
        <v>2162</v>
      </c>
      <c r="H51" s="38">
        <f>EZBC!F50</f>
        <v>6331.74</v>
      </c>
      <c r="J51" s="38">
        <f>GBTC!K50</f>
        <v>153136.56200000001</v>
      </c>
      <c r="K51" s="38">
        <f>HODL!H50</f>
        <v>16834.931</v>
      </c>
      <c r="L51" s="38">
        <f>IBIT!G50</f>
        <v>794163.84680000006</v>
      </c>
      <c r="M51" s="98">
        <f>SUM(btc_ratios3[[#This Row],[ARKB]:[IBIT]])</f>
        <v>1105379.8724</v>
      </c>
      <c r="N51" s="98">
        <f>btc_ratios3[[#This Row],[Sum]]-M50</f>
        <v>3856.7945999999065</v>
      </c>
      <c r="O51" s="132">
        <f>btc_ratios3[[#This Row],[Sum]]/M50-1</f>
        <v>3.5013289124208313E-3</v>
      </c>
      <c r="P51" s="136">
        <f>ARKB!H50</f>
        <v>74270.100000000006</v>
      </c>
      <c r="Q51" s="136">
        <f>btc_ratios3[[#This Row],[Price]]-P50</f>
        <v>1377.5500000000029</v>
      </c>
      <c r="R51" s="137">
        <f>btc_ratios3[[#This Row],[Price]]/P50-1</f>
        <v>1.8898364784878607E-2</v>
      </c>
    </row>
    <row r="52" spans="1:18" ht="15" customHeight="1">
      <c r="A52" s="13" t="str">
        <f>scalars[[#This Row],[DOW]]</f>
        <v>Wednesday</v>
      </c>
      <c r="B52" s="28">
        <f t="shared" si="1"/>
        <v>46127</v>
      </c>
      <c r="C52" s="38">
        <f>ARKB!G51</f>
        <v>35614.924299999999</v>
      </c>
      <c r="D52" s="38">
        <f>BITB!H51</f>
        <v>38077.300000000003</v>
      </c>
      <c r="E52" s="98">
        <f>BRRR!G52</f>
        <v>6334.35</v>
      </c>
      <c r="F52" s="38">
        <f>BTC!J51</f>
        <v>52112.188699999999</v>
      </c>
      <c r="G52" s="38">
        <f>BTCW!H51</f>
        <v>2163</v>
      </c>
      <c r="H52" s="38">
        <f>EZBC!F51</f>
        <v>6330.8</v>
      </c>
      <c r="J52" s="38">
        <f>GBTC!K51</f>
        <v>153130.26879999999</v>
      </c>
      <c r="K52" s="38">
        <f>HODL!H51</f>
        <v>16919.775000000001</v>
      </c>
      <c r="L52" s="38">
        <f>IBIT!G51</f>
        <v>798062.91009999998</v>
      </c>
      <c r="M52" s="98">
        <f>SUM(btc_ratios3[[#This Row],[ARKB]:[IBIT]])</f>
        <v>1108745.5168999999</v>
      </c>
      <c r="N52" s="98">
        <f>btc_ratios3[[#This Row],[Sum]]-M51</f>
        <v>3365.6444999999367</v>
      </c>
      <c r="O52" s="132">
        <f>btc_ratios3[[#This Row],[Sum]]/M51-1</f>
        <v>3.0447854027706445E-3</v>
      </c>
      <c r="P52" s="136">
        <f>ARKB!H51</f>
        <v>74853.53</v>
      </c>
      <c r="Q52" s="136">
        <f>btc_ratios3[[#This Row],[Price]]-P51</f>
        <v>583.42999999999302</v>
      </c>
      <c r="R52" s="137">
        <f>btc_ratios3[[#This Row],[Price]]/P51-1</f>
        <v>7.8555165537679272E-3</v>
      </c>
    </row>
    <row r="53" spans="1:18" ht="15" customHeight="1">
      <c r="A53" s="13" t="str">
        <f>scalars[[#This Row],[DOW]]</f>
        <v>Thursday</v>
      </c>
      <c r="B53" s="28">
        <f t="shared" si="1"/>
        <v>46128</v>
      </c>
      <c r="C53" s="38">
        <f>ARKB!G52</f>
        <v>35249.928999999996</v>
      </c>
      <c r="D53" s="38">
        <f>BITB!H52</f>
        <v>38077.300000000003</v>
      </c>
      <c r="E53" s="98">
        <f>BRRR!G53</f>
        <v>6334.35</v>
      </c>
      <c r="F53" s="38">
        <f>BTC!J52</f>
        <v>52111.974600000001</v>
      </c>
      <c r="G53" s="168">
        <f t="shared" ref="G53:G54" si="3">G52</f>
        <v>2163</v>
      </c>
      <c r="H53" s="38">
        <f>EZBC!F52</f>
        <v>6330.8</v>
      </c>
      <c r="J53" s="38">
        <f>GBTC!K52</f>
        <v>152812.77989999999</v>
      </c>
      <c r="K53" s="38">
        <f>HODL!H52</f>
        <v>16870.282999999999</v>
      </c>
      <c r="L53" s="38">
        <f>IBIT!G52</f>
        <v>799151.03689999995</v>
      </c>
      <c r="M53" s="98">
        <f>SUM(btc_ratios3[[#This Row],[ARKB]:[IBIT]])</f>
        <v>1109101.4534</v>
      </c>
      <c r="N53" s="98">
        <f>btc_ratios3[[#This Row],[Sum]]-M52</f>
        <v>355.93650000006892</v>
      </c>
      <c r="O53" s="132">
        <f>btc_ratios3[[#This Row],[Sum]]/M52-1</f>
        <v>3.2102632621699989E-4</v>
      </c>
      <c r="P53" s="136">
        <f>ARKB!H52</f>
        <v>75088.350000000006</v>
      </c>
      <c r="Q53" s="136">
        <f>btc_ratios3[[#This Row],[Price]]-P52</f>
        <v>234.82000000000698</v>
      </c>
      <c r="R53" s="137">
        <f>btc_ratios3[[#This Row],[Price]]/P52-1</f>
        <v>3.1370598019893059E-3</v>
      </c>
    </row>
    <row r="54" spans="1:18" ht="15" customHeight="1">
      <c r="A54" s="13" t="str">
        <f>scalars[[#This Row],[DOW]]</f>
        <v>Friday</v>
      </c>
      <c r="B54" s="28">
        <f t="shared" si="1"/>
        <v>46129</v>
      </c>
      <c r="C54" s="38">
        <f>ARKB!G53</f>
        <v>36770.587399999997</v>
      </c>
      <c r="D54" s="38">
        <f>BITB!H53</f>
        <v>38571.47</v>
      </c>
      <c r="E54" s="98">
        <f>BRRR!G56</f>
        <v>6410.33</v>
      </c>
      <c r="F54" s="38">
        <f>BTC!J53</f>
        <v>52332.929199999999</v>
      </c>
      <c r="G54" s="168">
        <f t="shared" si="3"/>
        <v>2163</v>
      </c>
      <c r="H54" s="38">
        <f>EZBC!F53</f>
        <v>6330.8</v>
      </c>
      <c r="J54" s="38">
        <f>GBTC!K53</f>
        <v>152510.87609999999</v>
      </c>
      <c r="K54" s="38">
        <f>HODL!H53</f>
        <v>16870.288</v>
      </c>
      <c r="L54" s="38">
        <f>IBIT!G53</f>
        <v>799151.03689999995</v>
      </c>
      <c r="M54" s="98">
        <f>SUM(btc_ratios3[[#This Row],[ARKB]:[IBIT]])</f>
        <v>1111111.3176</v>
      </c>
      <c r="N54" s="98">
        <f>btc_ratios3[[#This Row],[Sum]]-M53</f>
        <v>2009.8641999999527</v>
      </c>
      <c r="O54" s="132">
        <f>btc_ratios3[[#This Row],[Sum]]/M53-1</f>
        <v>1.8121554108856408E-3</v>
      </c>
      <c r="P54" s="136">
        <f>ARKB!H53</f>
        <v>77331.740000000005</v>
      </c>
      <c r="Q54" s="136">
        <f>btc_ratios3[[#This Row],[Price]]-P53</f>
        <v>2243.3899999999994</v>
      </c>
      <c r="R54" s="137">
        <f>btc_ratios3[[#This Row],[Price]]/P53-1</f>
        <v>2.9876671947112854E-2</v>
      </c>
    </row>
    <row r="55" spans="1:18" ht="15" customHeight="1">
      <c r="A55" s="13" t="str">
        <f>scalars[[#This Row],[DOW]]</f>
        <v>Saturday</v>
      </c>
      <c r="B55" s="28">
        <f t="shared" si="1"/>
        <v>46130</v>
      </c>
      <c r="M55" s="98"/>
      <c r="N55" s="98"/>
      <c r="O55" s="132"/>
      <c r="P55" s="136"/>
      <c r="Q55" s="136"/>
      <c r="R55" s="137"/>
    </row>
    <row r="56" spans="1:18" ht="15" customHeight="1">
      <c r="A56" s="13" t="str">
        <f>scalars[[#This Row],[DOW]]</f>
        <v>Sunday</v>
      </c>
      <c r="B56" s="28">
        <f t="shared" si="1"/>
        <v>46131</v>
      </c>
      <c r="M56" s="98"/>
      <c r="N56" s="98"/>
      <c r="O56" s="132"/>
      <c r="P56" s="136"/>
      <c r="Q56" s="136"/>
      <c r="R56" s="137"/>
    </row>
    <row r="57" spans="1:18" ht="15" customHeight="1">
      <c r="A57" s="13" t="str">
        <f>scalars[[#This Row],[DOW]]</f>
        <v>Monday</v>
      </c>
      <c r="B57" s="28">
        <f t="shared" si="1"/>
        <v>46132</v>
      </c>
      <c r="C57" s="38">
        <f>ARKB!G56</f>
        <v>36770.587399999997</v>
      </c>
      <c r="D57" s="38">
        <f>BITB!H56</f>
        <v>38571.47</v>
      </c>
      <c r="E57" s="98">
        <f>BRRR!G57</f>
        <v>6410.29</v>
      </c>
      <c r="F57" s="38">
        <f>BTC!J56</f>
        <v>52708.2693</v>
      </c>
      <c r="G57" s="38">
        <f>BTCW!H56</f>
        <v>2162</v>
      </c>
      <c r="H57" s="38">
        <f>EZBC!F56</f>
        <v>6330.8</v>
      </c>
      <c r="J57" s="38">
        <f>GBTC!K56</f>
        <v>152546.5289</v>
      </c>
      <c r="K57" s="38">
        <f>HODL!H56</f>
        <v>16955.133000000002</v>
      </c>
      <c r="L57" s="38">
        <f>IBIT!G56</f>
        <v>806178.38100000005</v>
      </c>
      <c r="M57" s="98">
        <f>SUM(btc_ratios3[[#This Row],[ARKB]:[IBIT]])</f>
        <v>1118633.4596000002</v>
      </c>
      <c r="N57" s="98">
        <f>btc_ratios3[[#This Row],[Sum]]-M54</f>
        <v>7522.1420000002254</v>
      </c>
      <c r="O57" s="132">
        <f>btc_ratios3[[#This Row],[Sum]]/M54-1</f>
        <v>6.7699265418770249E-3</v>
      </c>
      <c r="P57" s="136">
        <f>ARKB!H56</f>
        <v>76318.820000000007</v>
      </c>
      <c r="Q57" s="136">
        <f>btc_ratios3[[#This Row],[Price]]-P54</f>
        <v>-1012.9199999999983</v>
      </c>
      <c r="R57" s="137">
        <f>btc_ratios3[[#This Row],[Price]]/P54-1</f>
        <v>-1.3098373319933021E-2</v>
      </c>
    </row>
    <row r="58" spans="1:18" ht="15" customHeight="1">
      <c r="A58" s="13" t="str">
        <f>scalars[[#This Row],[DOW]]</f>
        <v>Tuesday</v>
      </c>
      <c r="B58" s="28">
        <f t="shared" si="1"/>
        <v>46133</v>
      </c>
      <c r="C58" s="38">
        <f>ARKB!G57</f>
        <v>36578.140899999999</v>
      </c>
      <c r="D58" s="38">
        <f>BITB!H57</f>
        <v>38403.129999999997</v>
      </c>
      <c r="E58" s="98">
        <f>BRRR!G58</f>
        <v>6410.25</v>
      </c>
      <c r="F58" s="38">
        <f>BTC!J57</f>
        <v>52708.0527</v>
      </c>
      <c r="G58" s="168">
        <f>G57</f>
        <v>2162</v>
      </c>
      <c r="H58" s="38">
        <f>EZBC!F57</f>
        <v>6330.8</v>
      </c>
      <c r="J58" s="38">
        <f>GBTC!K57</f>
        <v>152213.57139999999</v>
      </c>
      <c r="K58" s="38">
        <f>HODL!H57</f>
        <v>16955.133999999998</v>
      </c>
      <c r="L58" s="38">
        <f>IBIT!G57</f>
        <v>806699.75730000006</v>
      </c>
      <c r="M58" s="98">
        <f>SUM(btc_ratios3[[#This Row],[ARKB]:[IBIT]])</f>
        <v>1118460.8363000001</v>
      </c>
      <c r="N58" s="98">
        <f>btc_ratios3[[#This Row],[Sum]]-M57</f>
        <v>-172.62330000009388</v>
      </c>
      <c r="O58" s="132">
        <f>btc_ratios3[[#This Row],[Sum]]/M57-1</f>
        <v>-1.5431623157580177E-4</v>
      </c>
      <c r="P58" s="136">
        <f>ARKB!H57</f>
        <v>75462.34</v>
      </c>
      <c r="Q58" s="136">
        <f>btc_ratios3[[#This Row],[Price]]-P57</f>
        <v>-856.48000000001048</v>
      </c>
      <c r="R58" s="137">
        <f>btc_ratios3[[#This Row],[Price]]/P57-1</f>
        <v>-1.1222395734106105E-2</v>
      </c>
    </row>
    <row r="59" spans="1:18" ht="15" customHeight="1">
      <c r="A59" s="13" t="str">
        <f>scalars[[#This Row],[DOW]]</f>
        <v>Wednesday</v>
      </c>
      <c r="B59" s="28">
        <f t="shared" si="1"/>
        <v>46134</v>
      </c>
      <c r="C59" s="38">
        <f>ARKB!G58</f>
        <v>36729.110999999997</v>
      </c>
      <c r="D59" s="38">
        <f>BITB!H58</f>
        <v>38598.629999999997</v>
      </c>
      <c r="E59" s="98">
        <f>BRRR!G59</f>
        <v>6410.2</v>
      </c>
      <c r="F59" s="38">
        <f>BTC!J58</f>
        <v>52937.846799999999</v>
      </c>
      <c r="G59" s="38">
        <f>BTCW!H58</f>
        <v>2162</v>
      </c>
      <c r="H59" s="38">
        <f>EZBC!F58</f>
        <v>6330.8</v>
      </c>
      <c r="J59" s="38">
        <f>GBTC!K58</f>
        <v>151973.9768</v>
      </c>
      <c r="K59" s="38">
        <f>HODL!H58</f>
        <v>16898.569</v>
      </c>
      <c r="L59" s="38">
        <f>IBIT!G58</f>
        <v>809828.01289999997</v>
      </c>
      <c r="M59" s="98">
        <f>SUM(btc_ratios3[[#This Row],[ARKB]:[IBIT]])</f>
        <v>1121869.1465</v>
      </c>
      <c r="N59" s="98">
        <f>btc_ratios3[[#This Row],[Sum]]-M58</f>
        <v>3408.310199999949</v>
      </c>
      <c r="O59" s="132">
        <f>btc_ratios3[[#This Row],[Sum]]/M58-1</f>
        <v>3.0473218993301021E-3</v>
      </c>
      <c r="P59" s="136">
        <f>ARKB!H58</f>
        <v>78919.77</v>
      </c>
      <c r="Q59" s="136">
        <f>btc_ratios3[[#This Row],[Price]]-P58</f>
        <v>3457.4300000000076</v>
      </c>
      <c r="R59" s="137">
        <f>btc_ratios3[[#This Row],[Price]]/P58-1</f>
        <v>4.5816628532854953E-2</v>
      </c>
    </row>
    <row r="60" spans="1:18" ht="15" customHeight="1">
      <c r="A60" s="13" t="str">
        <f>scalars[[#This Row],[DOW]]</f>
        <v>Thursday</v>
      </c>
      <c r="B60" s="28">
        <f t="shared" si="1"/>
        <v>46135</v>
      </c>
      <c r="C60" s="38">
        <f>ARKB!G59</f>
        <v>37644.880499999999</v>
      </c>
      <c r="D60" s="38">
        <f>BITB!H59</f>
        <v>38500.879999999997</v>
      </c>
      <c r="E60" s="98">
        <f>E61</f>
        <v>6410.07</v>
      </c>
      <c r="F60" s="168">
        <f>AVERAGE(F59,F61)</f>
        <v>52970.803599999999</v>
      </c>
      <c r="G60" s="168">
        <f>G59</f>
        <v>2162</v>
      </c>
      <c r="H60" s="38">
        <f>EZBC!F59</f>
        <v>6330.8</v>
      </c>
      <c r="J60" s="168">
        <f>AVERAGE(J59,J61)</f>
        <v>151862.73735000001</v>
      </c>
      <c r="K60" s="38">
        <f>HODL!H59</f>
        <v>16948.061000000002</v>
      </c>
      <c r="L60" s="38">
        <f>IBIT!G59</f>
        <v>811981.49380000005</v>
      </c>
      <c r="M60" s="98">
        <f>SUM(btc_ratios3[[#This Row],[ARKB]:[IBIT]])</f>
        <v>1124811.7262500001</v>
      </c>
      <c r="N60" s="98">
        <f>btc_ratios3[[#This Row],[Sum]]-M59</f>
        <v>2942.5797500000335</v>
      </c>
      <c r="O60" s="132">
        <f>btc_ratios3[[#This Row],[Sum]]/M59-1</f>
        <v>2.6229259973680197E-3</v>
      </c>
      <c r="P60" s="136">
        <f>ARKB!H59</f>
        <v>77774.850000000006</v>
      </c>
      <c r="Q60" s="136">
        <f>btc_ratios3[[#This Row],[Price]]-P59</f>
        <v>-1144.9199999999983</v>
      </c>
      <c r="R60" s="137">
        <f>btc_ratios3[[#This Row],[Price]]/P59-1</f>
        <v>-1.4507391493918442E-2</v>
      </c>
    </row>
    <row r="61" spans="1:18" ht="15" customHeight="1">
      <c r="A61" s="13" t="str">
        <f>scalars[[#This Row],[DOW]]</f>
        <v>Friday</v>
      </c>
      <c r="B61" s="28">
        <f t="shared" si="1"/>
        <v>46136</v>
      </c>
      <c r="C61" s="38">
        <f>ARKB!G60</f>
        <v>37528.7523</v>
      </c>
      <c r="D61" s="38">
        <f>BITB!H60</f>
        <v>38386.839999999997</v>
      </c>
      <c r="E61" s="98">
        <f>BRRR!G63</f>
        <v>6410.07</v>
      </c>
      <c r="F61" s="38">
        <f>BTC!J60</f>
        <v>53003.760399999999</v>
      </c>
      <c r="G61" s="38">
        <f>BTCW!H60</f>
        <v>2241</v>
      </c>
      <c r="H61" s="38">
        <f>EZBC!F60</f>
        <v>6330.8</v>
      </c>
      <c r="J61" s="38">
        <f>GBTC!K60</f>
        <v>151751.49789999999</v>
      </c>
      <c r="K61" s="38">
        <f>HODL!H60</f>
        <v>16877.351999999999</v>
      </c>
      <c r="L61" s="38">
        <f>IBIT!G60</f>
        <v>812276.17980000004</v>
      </c>
      <c r="M61" s="98">
        <f>SUM(btc_ratios3[[#This Row],[ARKB]:[IBIT]])</f>
        <v>1124806.2524000001</v>
      </c>
      <c r="N61" s="98">
        <f>btc_ratios3[[#This Row],[Sum]]-M60</f>
        <v>-5.4738499999511987</v>
      </c>
      <c r="O61" s="132">
        <f>btc_ratios3[[#This Row],[Sum]]/M60-1</f>
        <v>-4.8664588678803966E-6</v>
      </c>
      <c r="P61" s="136">
        <f>ARKB!H60</f>
        <v>77638.210000000006</v>
      </c>
      <c r="Q61" s="136">
        <f>btc_ratios3[[#This Row],[Price]]-P60</f>
        <v>-136.63999999999942</v>
      </c>
      <c r="R61" s="137">
        <f>btc_ratios3[[#This Row],[Price]]/P60-1</f>
        <v>-1.7568661334608215E-3</v>
      </c>
    </row>
    <row r="62" spans="1:18" ht="15" customHeight="1">
      <c r="A62" s="13" t="str">
        <f>scalars[[#This Row],[DOW]]</f>
        <v>Saturday</v>
      </c>
      <c r="B62" s="28">
        <f t="shared" si="1"/>
        <v>46137</v>
      </c>
      <c r="M62" s="98"/>
      <c r="N62" s="98"/>
      <c r="O62" s="132"/>
      <c r="P62" s="136"/>
      <c r="Q62" s="136"/>
      <c r="R62" s="137"/>
    </row>
    <row r="63" spans="1:18" ht="15" customHeight="1">
      <c r="A63" s="13" t="str">
        <f>scalars[[#This Row],[DOW]]</f>
        <v>Sunday</v>
      </c>
      <c r="B63" s="28">
        <f t="shared" si="1"/>
        <v>46138</v>
      </c>
      <c r="M63" s="98"/>
      <c r="N63" s="98"/>
      <c r="O63" s="132"/>
      <c r="P63" s="136"/>
      <c r="Q63" s="136"/>
      <c r="R63" s="137"/>
    </row>
    <row r="64" spans="1:18" ht="15" customHeight="1">
      <c r="A64" s="13" t="str">
        <f>scalars[[#This Row],[DOW]]</f>
        <v>Monday</v>
      </c>
      <c r="B64" s="28">
        <f t="shared" si="1"/>
        <v>46139</v>
      </c>
      <c r="C64" s="38">
        <f>ARKB!G63</f>
        <v>36964.704299999998</v>
      </c>
      <c r="D64" s="38">
        <f>BITB!H63</f>
        <v>38272.800000000003</v>
      </c>
      <c r="E64" s="98">
        <f>BRRR!G64</f>
        <v>6410.03</v>
      </c>
      <c r="F64" s="38">
        <f>BTC!J63</f>
        <v>53003.107000000004</v>
      </c>
      <c r="G64" s="38">
        <f>BTCW!H63</f>
        <v>2242</v>
      </c>
      <c r="H64" s="38">
        <f>EZBC!F63</f>
        <v>6330.8</v>
      </c>
      <c r="J64" s="38">
        <f>GBTC!K63</f>
        <v>151732.78950000001</v>
      </c>
      <c r="K64" s="38">
        <f>HODL!H63</f>
        <v>16877.356</v>
      </c>
      <c r="L64" s="38">
        <f>IBIT!G63</f>
        <v>812276.17460000003</v>
      </c>
      <c r="M64" s="98">
        <f>SUM(btc_ratios3[[#This Row],[ARKB]:[IBIT]])</f>
        <v>1124109.7614000002</v>
      </c>
      <c r="N64" s="98">
        <f>btc_ratios3[[#This Row],[Sum]]-M61</f>
        <v>-696.49099999992177</v>
      </c>
      <c r="O64" s="132">
        <f>btc_ratios3[[#This Row],[Sum]]/M61-1</f>
        <v>-6.1920975146945167E-4</v>
      </c>
      <c r="P64" s="136">
        <f>ARKB!H63</f>
        <v>76762.25</v>
      </c>
      <c r="Q64" s="136">
        <f>btc_ratios3[[#This Row],[Price]]-P61</f>
        <v>-875.9600000000064</v>
      </c>
      <c r="R64" s="137">
        <f>btc_ratios3[[#This Row],[Price]]/P61-1</f>
        <v>-1.1282588818057548E-2</v>
      </c>
    </row>
    <row r="65" spans="1:18" ht="15" customHeight="1">
      <c r="A65" s="13" t="str">
        <f>scalars[[#This Row],[DOW]]</f>
        <v>Tuesday</v>
      </c>
      <c r="B65" s="28">
        <f t="shared" si="1"/>
        <v>46140</v>
      </c>
      <c r="C65" s="38">
        <f>ARKB!G64</f>
        <v>37505.523699999998</v>
      </c>
      <c r="D65" s="38">
        <f>BITB!H64</f>
        <v>38093.599999999999</v>
      </c>
      <c r="E65" s="98">
        <f>BRRR!G65</f>
        <v>6409.98</v>
      </c>
      <c r="F65" s="38">
        <f>BTC!J64</f>
        <v>53002.8891</v>
      </c>
      <c r="G65" s="38">
        <f>BTCW!H64</f>
        <v>2242</v>
      </c>
      <c r="H65" s="38">
        <f>EZBC!F64</f>
        <v>6330.8</v>
      </c>
      <c r="J65" s="38">
        <f>GBTC!K64</f>
        <v>151120.02129999999</v>
      </c>
      <c r="K65" s="38">
        <f>HODL!H64</f>
        <v>16693.519</v>
      </c>
      <c r="L65" s="38">
        <f>IBIT!G64</f>
        <v>810802.78960000002</v>
      </c>
      <c r="M65" s="98">
        <f>SUM(btc_ratios3[[#This Row],[ARKB]:[IBIT]])</f>
        <v>1122201.1226999999</v>
      </c>
      <c r="N65" s="98">
        <f>btc_ratios3[[#This Row],[Sum]]-M64</f>
        <v>-1908.6387000002433</v>
      </c>
      <c r="O65" s="132">
        <f>btc_ratios3[[#This Row],[Sum]]/M64-1</f>
        <v>-1.6979113299604442E-3</v>
      </c>
      <c r="P65" s="136">
        <f>ARKB!H64</f>
        <v>76184.66</v>
      </c>
      <c r="Q65" s="136">
        <f>btc_ratios3[[#This Row],[Price]]-P64</f>
        <v>-577.58999999999651</v>
      </c>
      <c r="R65" s="137">
        <f>btc_ratios3[[#This Row],[Price]]/P64-1</f>
        <v>-7.5244016427344906E-3</v>
      </c>
    </row>
    <row r="66" spans="1:18" ht="15" customHeight="1">
      <c r="A66" s="13" t="str">
        <f>scalars[[#This Row],[DOW]]</f>
        <v>Wednesday</v>
      </c>
      <c r="B66" s="28">
        <f t="shared" si="1"/>
        <v>46141</v>
      </c>
      <c r="C66" s="38">
        <f>ARKB!G65</f>
        <v>37104.876799999998</v>
      </c>
      <c r="D66" s="38">
        <f>BITB!H65</f>
        <v>38093.599999999999</v>
      </c>
      <c r="E66" s="98">
        <f>BRRR!G66</f>
        <v>6409.94</v>
      </c>
      <c r="F66" s="38">
        <f>BTC!J65</f>
        <v>53002.671300000002</v>
      </c>
      <c r="G66" s="181">
        <v>2242</v>
      </c>
      <c r="H66" s="38">
        <f>EZBC!F65</f>
        <v>6244.09</v>
      </c>
      <c r="J66" s="38">
        <f>GBTC!K65</f>
        <v>151113.81090000001</v>
      </c>
      <c r="K66" s="38">
        <f>HODL!H65</f>
        <v>16693.521000000001</v>
      </c>
      <c r="L66" s="38">
        <f>IBIT!G65</f>
        <v>810077.42989999999</v>
      </c>
      <c r="M66" s="98">
        <f>SUM(btc_ratios3[[#This Row],[ARKB]:[IBIT]])</f>
        <v>1120981.9399000001</v>
      </c>
      <c r="N66" s="98">
        <f>btc_ratios3[[#This Row],[Sum]]-M65</f>
        <v>-1219.182799999835</v>
      </c>
      <c r="O66" s="132">
        <f>btc_ratios3[[#This Row],[Sum]]/M65-1</f>
        <v>-1.086420941253774E-3</v>
      </c>
      <c r="P66" s="136">
        <f>ARKB!H65</f>
        <v>75446.31</v>
      </c>
      <c r="Q66" s="136">
        <f>btc_ratios3[[#This Row],[Price]]-P65</f>
        <v>-738.35000000000582</v>
      </c>
      <c r="R66" s="137">
        <f>btc_ratios3[[#This Row],[Price]]/P65-1</f>
        <v>-9.6915835812617646E-3</v>
      </c>
    </row>
    <row r="67" spans="1:18" ht="15" customHeight="1">
      <c r="A67" s="13" t="str">
        <f>scalars[[#This Row],[DOW]]</f>
        <v>Thursday</v>
      </c>
      <c r="B67" s="28">
        <f t="shared" si="1"/>
        <v>46142</v>
      </c>
      <c r="C67" s="38">
        <f>ARKB!G66</f>
        <v>37021.93</v>
      </c>
      <c r="D67" s="38">
        <f>BITB!H66</f>
        <v>38049.56</v>
      </c>
      <c r="E67" s="98">
        <f>BRRR!G67</f>
        <v>6297.07</v>
      </c>
      <c r="F67" s="38">
        <f>BTC!J66</f>
        <v>53002.453500000003</v>
      </c>
      <c r="G67" s="38">
        <f>BTCW!H66</f>
        <v>2241</v>
      </c>
      <c r="H67" s="38">
        <f>EZBC!F66</f>
        <v>6244.09</v>
      </c>
      <c r="J67" s="38">
        <f>GBTC!K66</f>
        <v>150827.6856</v>
      </c>
      <c r="K67" s="38">
        <f>HODL!H66</f>
        <v>16693.518</v>
      </c>
      <c r="L67" s="38">
        <f>IBIT!G66</f>
        <v>810326.76359999995</v>
      </c>
      <c r="M67" s="98">
        <f>SUM(btc_ratios3[[#This Row],[ARKB]:[IBIT]])</f>
        <v>1120704.0707</v>
      </c>
      <c r="N67" s="98">
        <f>btc_ratios3[[#This Row],[Sum]]-M66</f>
        <v>-277.86920000007376</v>
      </c>
      <c r="O67" s="132">
        <f>btc_ratios3[[#This Row],[Sum]]/M66-1</f>
        <v>-2.4788017550481101E-4</v>
      </c>
      <c r="P67" s="136">
        <f>ARKB!H66</f>
        <v>76416.86</v>
      </c>
      <c r="Q67" s="136">
        <f>btc_ratios3[[#This Row],[Price]]-P66</f>
        <v>970.55000000000291</v>
      </c>
      <c r="R67" s="137">
        <f>btc_ratios3[[#This Row],[Price]]/P66-1</f>
        <v>1.2864114891768752E-2</v>
      </c>
    </row>
    <row r="68" spans="1:18" ht="15" customHeight="1">
      <c r="A68" s="13" t="str">
        <f>scalars[[#This Row],[DOW]]</f>
        <v>Friday</v>
      </c>
      <c r="B68" s="28">
        <f t="shared" si="1"/>
        <v>46143</v>
      </c>
      <c r="C68" s="38">
        <f>ARKB!G67</f>
        <v>38149.987000000001</v>
      </c>
      <c r="D68" s="38">
        <f>BITB!H67</f>
        <v>38397.089999999997</v>
      </c>
      <c r="E68" s="98">
        <f>BRRR!G70</f>
        <v>6296.94</v>
      </c>
      <c r="F68" s="38">
        <f>BTC!J67</f>
        <v>53002.235699999997</v>
      </c>
      <c r="G68" s="38">
        <f>BTCW!H67</f>
        <v>2241</v>
      </c>
      <c r="H68" s="38">
        <f>EZBC!F67</f>
        <v>6244.09</v>
      </c>
      <c r="J68" s="38">
        <f>GBTC!K67</f>
        <v>150743.73620000001</v>
      </c>
      <c r="K68" s="38">
        <f>HODL!H67</f>
        <v>16665.237000000001</v>
      </c>
      <c r="L68" s="38">
        <f>IBIT!G67</f>
        <v>813953.5037</v>
      </c>
      <c r="M68" s="98">
        <f>SUM(btc_ratios3[[#This Row],[ARKB]:[IBIT]])</f>
        <v>1125693.8196</v>
      </c>
      <c r="N68" s="98">
        <f>btc_ratios3[[#This Row],[Sum]]-M67</f>
        <v>4989.748900000006</v>
      </c>
      <c r="O68" s="132">
        <f>btc_ratios3[[#This Row],[Sum]]/M67-1</f>
        <v>4.4523340553972446E-3</v>
      </c>
      <c r="P68" s="136">
        <f>ARKB!H67</f>
        <v>78415.259999999995</v>
      </c>
      <c r="Q68" s="136">
        <f>btc_ratios3[[#This Row],[Price]]-P67</f>
        <v>1998.3999999999942</v>
      </c>
      <c r="R68" s="137">
        <f>btc_ratios3[[#This Row],[Price]]/P67-1</f>
        <v>2.6151296978179861E-2</v>
      </c>
    </row>
    <row r="69" spans="1:18" ht="15" customHeight="1">
      <c r="A69" s="13" t="str">
        <f>scalars[[#This Row],[DOW]]</f>
        <v>Saturday</v>
      </c>
      <c r="B69" s="28">
        <f t="shared" si="1"/>
        <v>46144</v>
      </c>
      <c r="M69" s="98"/>
      <c r="N69" s="98"/>
      <c r="O69" s="132"/>
      <c r="P69" s="136"/>
      <c r="Q69" s="136"/>
      <c r="R69" s="137"/>
    </row>
    <row r="70" spans="1:18" ht="15" customHeight="1">
      <c r="A70" s="13" t="str">
        <f>scalars[[#This Row],[DOW]]</f>
        <v>Sunday</v>
      </c>
      <c r="B70" s="28">
        <f t="shared" si="1"/>
        <v>46145</v>
      </c>
      <c r="M70" s="98"/>
      <c r="N70" s="98"/>
      <c r="O70" s="132"/>
      <c r="P70" s="136"/>
      <c r="Q70" s="136"/>
      <c r="R70" s="137"/>
    </row>
    <row r="71" spans="1:18" ht="15" customHeight="1">
      <c r="A71" s="13" t="str">
        <f>scalars[[#This Row],[DOW]]</f>
        <v>Monday</v>
      </c>
      <c r="B71" s="28">
        <f t="shared" si="1"/>
        <v>46146</v>
      </c>
      <c r="C71" s="38">
        <f>ARKB!G70</f>
        <v>38149.987000000001</v>
      </c>
      <c r="D71" s="38">
        <f>BITB!H70</f>
        <v>38397.089999999997</v>
      </c>
      <c r="E71" s="98">
        <f>BRRR!G71</f>
        <v>6296.9</v>
      </c>
      <c r="F71" s="38">
        <f>BTC!J70</f>
        <v>53081.198100000001</v>
      </c>
      <c r="G71" s="38">
        <f>BTCW!H70</f>
        <v>2241</v>
      </c>
      <c r="H71" s="38">
        <f>EZBC!F70</f>
        <v>6244.09</v>
      </c>
      <c r="J71" s="38">
        <f>GBTC!K70</f>
        <v>150725.15210000001</v>
      </c>
      <c r="K71" s="38">
        <f>HODL!H70</f>
        <v>16735.939999999999</v>
      </c>
      <c r="L71" s="38">
        <f>IBIT!G70</f>
        <v>818146.83770000003</v>
      </c>
      <c r="M71" s="98">
        <f>SUM(btc_ratios3[[#This Row],[ARKB]:[IBIT]])</f>
        <v>1130018.1949</v>
      </c>
      <c r="N71" s="98">
        <f>btc_ratios3[[#This Row],[Sum]]-M68</f>
        <v>4324.375299999956</v>
      </c>
      <c r="O71" s="132">
        <f>btc_ratios3[[#This Row],[Sum]]/M68-1</f>
        <v>3.8415199805721389E-3</v>
      </c>
      <c r="P71" s="136">
        <f>ARKB!H70</f>
        <v>80004.53</v>
      </c>
      <c r="Q71" s="136">
        <f>btc_ratios3[[#This Row],[Price]]-P68</f>
        <v>1589.2700000000041</v>
      </c>
      <c r="R71" s="137">
        <f>btc_ratios3[[#This Row],[Price]]/P68-1</f>
        <v>2.0267356124305413E-2</v>
      </c>
    </row>
    <row r="72" spans="1:18" ht="15" customHeight="1">
      <c r="A72" s="13" t="str">
        <f>scalars[[#This Row],[DOW]]</f>
        <v>Tuesday</v>
      </c>
      <c r="B72" s="28">
        <f t="shared" si="1"/>
        <v>46147</v>
      </c>
      <c r="C72" s="38">
        <f>ARKB!G71</f>
        <v>39281.348899999997</v>
      </c>
      <c r="D72" s="38">
        <f>BITB!H71</f>
        <v>38576.28</v>
      </c>
      <c r="E72" s="98">
        <f>BRRR!G72</f>
        <v>6296.85</v>
      </c>
      <c r="F72" s="38">
        <f>BTC!J71</f>
        <v>53080.979899999998</v>
      </c>
      <c r="G72" s="181">
        <f>G71</f>
        <v>2241</v>
      </c>
      <c r="H72" s="38">
        <f>EZBC!F71</f>
        <v>6244.09</v>
      </c>
      <c r="J72" s="38">
        <f>GBTC!K71</f>
        <v>150718.95790000001</v>
      </c>
      <c r="K72" s="38">
        <f>HODL!H71</f>
        <v>16735.939999999999</v>
      </c>
      <c r="L72" s="38">
        <f>IBIT!G71</f>
        <v>821229.48959999997</v>
      </c>
      <c r="M72" s="98">
        <f>SUM(btc_ratios3[[#This Row],[ARKB]:[IBIT]])</f>
        <v>1134404.9362999999</v>
      </c>
      <c r="N72" s="98">
        <f>btc_ratios3[[#This Row],[Sum]]-M71</f>
        <v>4386.7413999999408</v>
      </c>
      <c r="O72" s="132">
        <f>btc_ratios3[[#This Row],[Sum]]/M71-1</f>
        <v>3.8820095285174716E-3</v>
      </c>
      <c r="P72" s="136">
        <f>ARKB!H71</f>
        <v>81561.14</v>
      </c>
      <c r="Q72" s="136">
        <f>btc_ratios3[[#This Row],[Price]]-P71</f>
        <v>1556.6100000000006</v>
      </c>
      <c r="R72" s="137">
        <f>btc_ratios3[[#This Row],[Price]]/P71-1</f>
        <v>1.945652327436953E-2</v>
      </c>
    </row>
    <row r="73" spans="1:18" ht="15" customHeight="1">
      <c r="A73" s="13" t="str">
        <f>scalars[[#This Row],[DOW]]</f>
        <v>Wednesday</v>
      </c>
      <c r="B73" s="28">
        <f t="shared" ref="B73:B136" si="4">B72+1</f>
        <v>46148</v>
      </c>
      <c r="C73" s="38">
        <f>ARKB!G72</f>
        <v>39281.348899999997</v>
      </c>
      <c r="D73" s="38">
        <f>BITB!H72</f>
        <v>38266.769999999997</v>
      </c>
      <c r="E73" s="98">
        <f>BRRR!G73</f>
        <v>6296.81</v>
      </c>
      <c r="F73" s="38">
        <f>BTC!J72</f>
        <v>53080.7618</v>
      </c>
      <c r="G73" s="181">
        <f>G72</f>
        <v>2241</v>
      </c>
      <c r="H73" s="38">
        <f>EZBC!F72</f>
        <v>6157.38</v>
      </c>
      <c r="J73" s="38">
        <f>GBTC!K72</f>
        <v>150487.33240000001</v>
      </c>
      <c r="K73" s="38">
        <f>HODL!H72</f>
        <v>16665.238000000001</v>
      </c>
      <c r="L73" s="38">
        <f>IBIT!G72</f>
        <v>822736.64899999998</v>
      </c>
      <c r="M73" s="98">
        <f>SUM(btc_ratios3[[#This Row],[ARKB]:[IBIT]])</f>
        <v>1135213.2900999999</v>
      </c>
      <c r="N73" s="98">
        <f>btc_ratios3[[#This Row],[Sum]]-M72</f>
        <v>808.35379999992438</v>
      </c>
      <c r="O73" s="132">
        <f>btc_ratios3[[#This Row],[Sum]]/M72-1</f>
        <v>7.1257958611892214E-4</v>
      </c>
      <c r="P73" s="136">
        <f>ARKB!H72</f>
        <v>81354.77</v>
      </c>
      <c r="Q73" s="136">
        <f>btc_ratios3[[#This Row],[Price]]-P72</f>
        <v>-206.36999999999534</v>
      </c>
      <c r="R73" s="137">
        <f>btc_ratios3[[#This Row],[Price]]/P72-1</f>
        <v>-2.5302490867586958E-3</v>
      </c>
    </row>
    <row r="74" spans="1:18" ht="15" customHeight="1">
      <c r="A74" s="13" t="str">
        <f>scalars[[#This Row],[DOW]]</f>
        <v>Thursday</v>
      </c>
      <c r="B74" s="28">
        <f t="shared" si="4"/>
        <v>46149</v>
      </c>
      <c r="C74" s="38">
        <f>ARKB!G73</f>
        <v>39123.756300000001</v>
      </c>
      <c r="D74" s="38">
        <f>BITB!H73</f>
        <v>38266.769999999997</v>
      </c>
      <c r="E74" s="98">
        <f>BRRR!G74</f>
        <v>6183.95</v>
      </c>
      <c r="F74" s="38">
        <f>BTC!J73</f>
        <v>53080.543599999997</v>
      </c>
      <c r="G74" s="181">
        <f t="shared" ref="G74:G75" si="5">G73</f>
        <v>2241</v>
      </c>
      <c r="H74" s="38">
        <f>EZBC!F73</f>
        <v>6157.38</v>
      </c>
      <c r="J74" s="38">
        <f>GBTC!K73</f>
        <v>150271.272</v>
      </c>
      <c r="K74" s="38">
        <f>HODL!H73</f>
        <v>16665.237000000001</v>
      </c>
      <c r="L74" s="38">
        <f>IBIT!G73</f>
        <v>821512.66570000001</v>
      </c>
      <c r="M74" s="98">
        <f>SUM(btc_ratios3[[#This Row],[ARKB]:[IBIT]])</f>
        <v>1133502.5745999999</v>
      </c>
      <c r="N74" s="98">
        <f>btc_ratios3[[#This Row],[Sum]]-M73</f>
        <v>-1710.7154999999329</v>
      </c>
      <c r="O74" s="132">
        <f>btc_ratios3[[#This Row],[Sum]]/M73-1</f>
        <v>-1.5069551377866475E-3</v>
      </c>
      <c r="P74" s="136">
        <f>ARKB!H73</f>
        <v>80080.210000000006</v>
      </c>
      <c r="Q74" s="136">
        <f>btc_ratios3[[#This Row],[Price]]-P73</f>
        <v>-1274.5599999999977</v>
      </c>
      <c r="R74" s="137">
        <f>btc_ratios3[[#This Row],[Price]]/P73-1</f>
        <v>-1.5666690471867861E-2</v>
      </c>
    </row>
    <row r="75" spans="1:18" ht="15" customHeight="1">
      <c r="A75" s="13" t="str">
        <f>scalars[[#This Row],[DOW]]</f>
        <v>Friday</v>
      </c>
      <c r="B75" s="28">
        <f t="shared" si="4"/>
        <v>46150</v>
      </c>
      <c r="C75" s="38">
        <f>ARKB!G74</f>
        <v>38791.988100000002</v>
      </c>
      <c r="D75" s="38">
        <f>BITB!H74</f>
        <v>38266.769999999997</v>
      </c>
      <c r="E75" s="98">
        <f>BRRR!G77</f>
        <v>6183.82</v>
      </c>
      <c r="F75" s="38">
        <f>BTC!J74</f>
        <v>53151.093399999998</v>
      </c>
      <c r="G75" s="181">
        <f t="shared" si="5"/>
        <v>2241</v>
      </c>
      <c r="H75" s="38">
        <f>EZBC!F74</f>
        <v>6157.38</v>
      </c>
      <c r="J75" s="38">
        <f>GBTC!K74</f>
        <v>149930.8633</v>
      </c>
      <c r="K75" s="38">
        <f>HODL!H74</f>
        <v>16601.603999999999</v>
      </c>
      <c r="L75" s="38">
        <f>IBIT!G74</f>
        <v>821512.66570000001</v>
      </c>
      <c r="M75" s="98">
        <f>SUM(btc_ratios3[[#This Row],[ARKB]:[IBIT]])</f>
        <v>1132837.1845</v>
      </c>
      <c r="N75" s="98">
        <f>btc_ratios3[[#This Row],[Sum]]-M74</f>
        <v>-665.39009999996051</v>
      </c>
      <c r="O75" s="132">
        <f>btc_ratios3[[#This Row],[Sum]]/M74-1</f>
        <v>-5.8702125157039653E-4</v>
      </c>
      <c r="P75" s="136">
        <f>ARKB!H74</f>
        <v>80066.34</v>
      </c>
      <c r="Q75" s="136">
        <f>btc_ratios3[[#This Row],[Price]]-P74</f>
        <v>-13.870000000009895</v>
      </c>
      <c r="R75" s="137">
        <f>btc_ratios3[[#This Row],[Price]]/P74-1</f>
        <v>-1.7320134400256038E-4</v>
      </c>
    </row>
    <row r="76" spans="1:18" ht="15" customHeight="1">
      <c r="A76" s="13" t="str">
        <f>scalars[[#This Row],[DOW]]</f>
        <v>Saturday</v>
      </c>
      <c r="B76" s="28">
        <f t="shared" si="4"/>
        <v>46151</v>
      </c>
      <c r="M76" s="98"/>
      <c r="N76" s="98"/>
      <c r="O76" s="132"/>
      <c r="P76" s="136"/>
      <c r="Q76" s="136"/>
      <c r="R76" s="137"/>
    </row>
    <row r="77" spans="1:18" ht="15" customHeight="1">
      <c r="A77" s="13" t="str">
        <f>scalars[[#This Row],[DOW]]</f>
        <v>Sunday</v>
      </c>
      <c r="B77" s="28">
        <f t="shared" si="4"/>
        <v>46152</v>
      </c>
      <c r="M77" s="98"/>
      <c r="N77" s="98"/>
      <c r="O77" s="132"/>
      <c r="P77" s="136"/>
      <c r="Q77" s="136"/>
      <c r="R77" s="137"/>
    </row>
    <row r="78" spans="1:18" ht="15" customHeight="1">
      <c r="A78" s="13" t="str">
        <f>scalars[[#This Row],[DOW]]</f>
        <v>Monday</v>
      </c>
      <c r="B78" s="28">
        <f t="shared" si="4"/>
        <v>46153</v>
      </c>
      <c r="C78" s="38">
        <f>ARKB!G77</f>
        <v>38791.988100000002</v>
      </c>
      <c r="D78" s="38">
        <f>BITB!H77</f>
        <v>38266.769999999997</v>
      </c>
      <c r="E78" s="98">
        <f>BRRR!G78</f>
        <v>6183.78</v>
      </c>
      <c r="F78" s="38">
        <f>BTC!J77</f>
        <v>53150.438099999999</v>
      </c>
      <c r="G78" s="38">
        <f>BTCW!H77</f>
        <v>2241</v>
      </c>
      <c r="H78" s="38">
        <f>EZBC!F77</f>
        <v>6157.38</v>
      </c>
      <c r="J78" s="38">
        <f>GBTC!K77</f>
        <v>149912.37940000001</v>
      </c>
      <c r="K78" s="38">
        <f>HODL!H77</f>
        <v>16601.600999999999</v>
      </c>
      <c r="L78" s="38">
        <f>IBIT!G77</f>
        <v>821082.00959999999</v>
      </c>
      <c r="M78" s="98">
        <f>SUM(btc_ratios3[[#This Row],[ARKB]:[IBIT]])</f>
        <v>1132387.3462</v>
      </c>
      <c r="N78" s="98">
        <f>btc_ratios3[[#This Row],[Sum]]-M75</f>
        <v>-449.83829999994487</v>
      </c>
      <c r="O78" s="132">
        <f>btc_ratios3[[#This Row],[Sum]]/M75-1</f>
        <v>-3.9708998446985611E-4</v>
      </c>
      <c r="P78" s="136">
        <f>ARKB!H77</f>
        <v>81915.009999999995</v>
      </c>
      <c r="Q78" s="136">
        <f>btc_ratios3[[#This Row],[Price]]-P75</f>
        <v>1848.6699999999983</v>
      </c>
      <c r="R78" s="137">
        <f>btc_ratios3[[#This Row],[Price]]/P75-1</f>
        <v>2.3089228257467509E-2</v>
      </c>
    </row>
    <row r="79" spans="1:18" ht="15" customHeight="1">
      <c r="A79" s="13" t="str">
        <f>scalars[[#This Row],[DOW]]</f>
        <v>Tuesday</v>
      </c>
      <c r="B79" s="28">
        <f t="shared" si="4"/>
        <v>46154</v>
      </c>
      <c r="C79" s="38">
        <f>ARKB!G78</f>
        <v>37738.636200000001</v>
      </c>
      <c r="D79" s="38">
        <f>BITB!H78</f>
        <v>38049.58</v>
      </c>
      <c r="E79" s="98">
        <f>BRRR!G79</f>
        <v>6183.74</v>
      </c>
      <c r="F79" s="38">
        <f>BTC!J78</f>
        <v>53150.219700000001</v>
      </c>
      <c r="G79" s="181">
        <f>G78</f>
        <v>2241</v>
      </c>
      <c r="H79" s="38">
        <f>EZBC!F78</f>
        <v>6157.38</v>
      </c>
      <c r="J79" s="38">
        <f>GBTC!K78</f>
        <v>149906.21859999999</v>
      </c>
      <c r="K79" s="38">
        <f>HODL!H78</f>
        <v>16658.169000000002</v>
      </c>
      <c r="L79" s="38">
        <f>IBIT!G78</f>
        <v>820674.0209</v>
      </c>
      <c r="M79" s="98">
        <f>SUM(btc_ratios3[[#This Row],[ARKB]:[IBIT]])</f>
        <v>1130758.9643999999</v>
      </c>
      <c r="N79" s="98">
        <f>btc_ratios3[[#This Row],[Sum]]-M78</f>
        <v>-1628.3818000000902</v>
      </c>
      <c r="O79" s="132">
        <f>btc_ratios3[[#This Row],[Sum]]/M78-1</f>
        <v>-1.4380077678053382E-3</v>
      </c>
      <c r="P79" s="136">
        <f>ARKB!H78</f>
        <v>80757.7</v>
      </c>
      <c r="Q79" s="136">
        <f>btc_ratios3[[#This Row],[Price]]-P78</f>
        <v>-1157.3099999999977</v>
      </c>
      <c r="R79" s="137">
        <f>btc_ratios3[[#This Row],[Price]]/P78-1</f>
        <v>-1.4128179926975459E-2</v>
      </c>
    </row>
    <row r="80" spans="1:18" ht="15" customHeight="1">
      <c r="A80" s="13" t="str">
        <f>scalars[[#This Row],[DOW]]</f>
        <v>Wednesday</v>
      </c>
      <c r="B80" s="28">
        <f t="shared" si="4"/>
        <v>46155</v>
      </c>
      <c r="C80" s="38">
        <f>ARKB!G79</f>
        <v>35510.851199999997</v>
      </c>
      <c r="D80" s="38">
        <f>BITB!H79</f>
        <v>37604.33</v>
      </c>
      <c r="E80" s="98">
        <f>BRRR!G80</f>
        <v>6123.06</v>
      </c>
      <c r="F80" s="38">
        <f>BTC!J79</f>
        <v>53150.001300000004</v>
      </c>
      <c r="G80" s="38">
        <f>BTCW!H79</f>
        <v>2242</v>
      </c>
      <c r="H80" s="38">
        <f>EZBC!F79</f>
        <v>6157.38</v>
      </c>
      <c r="J80" s="38">
        <f>GBTC!K79</f>
        <v>149682.4626</v>
      </c>
      <c r="K80" s="38">
        <f>HODL!H79</f>
        <v>16658.165000000001</v>
      </c>
      <c r="L80" s="38">
        <f>IBIT!G79</f>
        <v>817092.85699999996</v>
      </c>
      <c r="M80" s="98">
        <f>SUM(btc_ratios3[[#This Row],[ARKB]:[IBIT]])</f>
        <v>1124221.1070999999</v>
      </c>
      <c r="N80" s="98">
        <f>btc_ratios3[[#This Row],[Sum]]-M79</f>
        <v>-6537.8573000000324</v>
      </c>
      <c r="O80" s="132">
        <f>btc_ratios3[[#This Row],[Sum]]/M79-1</f>
        <v>-5.7818310584600852E-3</v>
      </c>
      <c r="P80" s="136">
        <f>ARKB!H79</f>
        <v>79496.91</v>
      </c>
      <c r="Q80" s="136">
        <f>btc_ratios3[[#This Row],[Price]]-P79</f>
        <v>-1260.7899999999936</v>
      </c>
      <c r="R80" s="137">
        <f>btc_ratios3[[#This Row],[Price]]/P79-1</f>
        <v>-1.5612009752630329E-2</v>
      </c>
    </row>
    <row r="81" spans="1:18" ht="15" customHeight="1">
      <c r="A81" s="13" t="str">
        <f>scalars[[#This Row],[DOW]]</f>
        <v>Thursday</v>
      </c>
      <c r="B81" s="28">
        <f t="shared" si="4"/>
        <v>46156</v>
      </c>
      <c r="C81" s="38">
        <f>ARKB!G80</f>
        <v>35394.735000000001</v>
      </c>
      <c r="D81" s="38">
        <f>BITB!H80</f>
        <v>37821.519999999997</v>
      </c>
      <c r="E81" s="98">
        <f>BRRR!G81</f>
        <v>6066.61</v>
      </c>
      <c r="F81" s="38">
        <f>BTC!J80</f>
        <v>53149.782800000001</v>
      </c>
      <c r="G81" s="181">
        <f>G80</f>
        <v>2242</v>
      </c>
      <c r="H81" s="38">
        <f>EZBC!F80</f>
        <v>5983.97</v>
      </c>
      <c r="J81" s="38">
        <f>GBTC!K80</f>
        <v>149676.3113</v>
      </c>
      <c r="K81" s="38">
        <f>HODL!H80</f>
        <v>16658.165000000001</v>
      </c>
      <c r="L81" s="38">
        <f>IBIT!G80</f>
        <v>818860.75069999998</v>
      </c>
      <c r="M81" s="98">
        <f>SUM(btc_ratios3[[#This Row],[ARKB]:[IBIT]])</f>
        <v>1125853.8448000001</v>
      </c>
      <c r="N81" s="98">
        <f>btc_ratios3[[#This Row],[Sum]]-M80</f>
        <v>1632.7377000001725</v>
      </c>
      <c r="O81" s="132">
        <f>btc_ratios3[[#This Row],[Sum]]/M80-1</f>
        <v>1.4523279181368753E-3</v>
      </c>
      <c r="P81" s="136">
        <f>ARKB!H80</f>
        <v>81512.009999999995</v>
      </c>
      <c r="Q81" s="136">
        <f>btc_ratios3[[#This Row],[Price]]-P80</f>
        <v>2015.0999999999913</v>
      </c>
      <c r="R81" s="137">
        <f>btc_ratios3[[#This Row],[Price]]/P80-1</f>
        <v>2.5348155041497789E-2</v>
      </c>
    </row>
    <row r="82" spans="1:18" ht="15" customHeight="1">
      <c r="A82" s="13" t="str">
        <f>scalars[[#This Row],[DOW]]</f>
        <v>Friday</v>
      </c>
      <c r="B82" s="28">
        <f t="shared" si="4"/>
        <v>46157</v>
      </c>
      <c r="C82" s="38">
        <f>ARKB!G81</f>
        <v>34731.225400000003</v>
      </c>
      <c r="D82" s="38">
        <f>BITB!H81</f>
        <v>37674.92</v>
      </c>
      <c r="E82" s="98">
        <f>BRRR!G84</f>
        <v>6066.48</v>
      </c>
      <c r="F82" s="38">
        <f>BTC!J81</f>
        <v>53304.364699999998</v>
      </c>
      <c r="G82" s="38">
        <f>BTCW!H81</f>
        <v>2242</v>
      </c>
      <c r="H82" s="38">
        <f>EZBC!F81</f>
        <v>5896.35</v>
      </c>
      <c r="J82" s="38">
        <f>GBTC!K81</f>
        <v>149281.62880000001</v>
      </c>
      <c r="K82" s="38">
        <f>HODL!H81</f>
        <v>16750.083999999999</v>
      </c>
      <c r="L82" s="38">
        <f>IBIT!G81</f>
        <v>818860.75069999998</v>
      </c>
      <c r="M82" s="98">
        <f>SUM(btc_ratios3[[#This Row],[ARKB]:[IBIT]])</f>
        <v>1124807.8036</v>
      </c>
      <c r="N82" s="98">
        <f>btc_ratios3[[#This Row],[Sum]]-M81</f>
        <v>-1046.0412000000942</v>
      </c>
      <c r="O82" s="132">
        <f>btc_ratios3[[#This Row],[Sum]]/M81-1</f>
        <v>-9.2910923103517451E-4</v>
      </c>
      <c r="P82" s="136">
        <f>ARKB!H81</f>
        <v>79097.039999999994</v>
      </c>
      <c r="Q82" s="136">
        <f>btc_ratios3[[#This Row],[Price]]-P81</f>
        <v>-2414.9700000000012</v>
      </c>
      <c r="R82" s="137">
        <f>btc_ratios3[[#This Row],[Price]]/P81-1</f>
        <v>-2.962716782471686E-2</v>
      </c>
    </row>
    <row r="83" spans="1:18" ht="15" customHeight="1">
      <c r="A83" s="13" t="str">
        <f>scalars[[#This Row],[DOW]]</f>
        <v>Saturday</v>
      </c>
      <c r="B83" s="28">
        <f t="shared" si="4"/>
        <v>46158</v>
      </c>
      <c r="M83" s="98"/>
      <c r="N83" s="98"/>
      <c r="O83" s="132"/>
      <c r="P83" s="136"/>
      <c r="Q83" s="136"/>
      <c r="R83" s="137"/>
    </row>
    <row r="84" spans="1:18" ht="15" customHeight="1">
      <c r="A84" s="13" t="str">
        <f>scalars[[#This Row],[DOW]]</f>
        <v>Sunday</v>
      </c>
      <c r="B84" s="28">
        <f t="shared" si="4"/>
        <v>46159</v>
      </c>
      <c r="M84" s="98"/>
      <c r="N84" s="98"/>
      <c r="O84" s="132"/>
      <c r="P84" s="136"/>
      <c r="Q84" s="136"/>
      <c r="R84" s="137"/>
    </row>
    <row r="85" spans="1:18" ht="15" customHeight="1">
      <c r="A85" s="13" t="str">
        <f>scalars[[#This Row],[DOW]]</f>
        <v>Monday</v>
      </c>
      <c r="B85" s="28">
        <f t="shared" si="4"/>
        <v>46160</v>
      </c>
      <c r="C85" s="38">
        <f>ARKB!G84</f>
        <v>33301.370199999998</v>
      </c>
      <c r="D85" s="38">
        <f>BITB!H84</f>
        <v>37555.47</v>
      </c>
      <c r="E85" s="98">
        <f>BRRR!G85</f>
        <v>6017.08</v>
      </c>
      <c r="F85" s="38">
        <f>BTC!J84</f>
        <v>53303.707499999997</v>
      </c>
      <c r="G85" s="38">
        <f>BTCW!H84</f>
        <v>2242</v>
      </c>
      <c r="H85" s="38">
        <f>EZBC!F84</f>
        <v>5809.64</v>
      </c>
      <c r="J85" s="38">
        <f>GBTC!K84</f>
        <v>148711.533</v>
      </c>
      <c r="K85" s="38">
        <f>HODL!H84</f>
        <v>16750.085999999999</v>
      </c>
      <c r="L85" s="38">
        <f>IBIT!G84</f>
        <v>811290.74659999995</v>
      </c>
      <c r="M85" s="98">
        <f>SUM(btc_ratios3[[#This Row],[ARKB]:[IBIT]])</f>
        <v>1114981.6332999999</v>
      </c>
      <c r="N85" s="98">
        <f>btc_ratios3[[#This Row],[Sum]]-M82</f>
        <v>-9826.1703000001144</v>
      </c>
      <c r="O85" s="132">
        <f>btc_ratios3[[#This Row],[Sum]]/M82-1</f>
        <v>-8.7358660462267812E-3</v>
      </c>
      <c r="P85" s="136">
        <f>ARKB!H84</f>
        <v>76676.08</v>
      </c>
      <c r="Q85" s="136">
        <f>btc_ratios3[[#This Row],[Price]]-P82</f>
        <v>-2420.9599999999919</v>
      </c>
      <c r="R85" s="137">
        <f>btc_ratios3[[#This Row],[Price]]/P82-1</f>
        <v>-3.0607466474092959E-2</v>
      </c>
    </row>
    <row r="86" spans="1:18" ht="15" customHeight="1">
      <c r="A86" s="13" t="str">
        <f>scalars[[#This Row],[DOW]]</f>
        <v>Tuesday</v>
      </c>
      <c r="B86" s="28">
        <f t="shared" si="4"/>
        <v>46161</v>
      </c>
      <c r="C86" s="38">
        <f>ARKB!G85</f>
        <v>33301.370199999998</v>
      </c>
      <c r="D86" s="38">
        <f>BITB!H85</f>
        <v>37555.47</v>
      </c>
      <c r="E86" s="98">
        <f>BRRR!G86</f>
        <v>6017.04</v>
      </c>
      <c r="F86" s="38">
        <f>BTC!J85</f>
        <v>53303.488499999999</v>
      </c>
      <c r="G86" s="181">
        <f>G85</f>
        <v>2242</v>
      </c>
      <c r="H86" s="38">
        <f>EZBC!F85</f>
        <v>5809.64</v>
      </c>
      <c r="J86" s="38">
        <f>GBTC!K85</f>
        <v>148705.4215</v>
      </c>
      <c r="K86" s="38">
        <f>HODL!H85</f>
        <v>16651.095000000001</v>
      </c>
      <c r="L86" s="38">
        <f>IBIT!G85</f>
        <v>807052.44389999995</v>
      </c>
      <c r="M86" s="98">
        <f>SUM(btc_ratios3[[#This Row],[ARKB]:[IBIT]])</f>
        <v>1110637.9690999999</v>
      </c>
      <c r="N86" s="98">
        <f>btc_ratios3[[#This Row],[Sum]]-M85</f>
        <v>-4343.6641999999993</v>
      </c>
      <c r="O86" s="132">
        <f>btc_ratios3[[#This Row],[Sum]]/M85-1</f>
        <v>-3.8957271315259723E-3</v>
      </c>
      <c r="P86" s="136">
        <f>ARKB!H85</f>
        <v>76820.77</v>
      </c>
      <c r="Q86" s="136">
        <f>btc_ratios3[[#This Row],[Price]]-P85</f>
        <v>144.69000000000233</v>
      </c>
      <c r="R86" s="137">
        <f>btc_ratios3[[#This Row],[Price]]/P85-1</f>
        <v>1.8870291752004498E-3</v>
      </c>
    </row>
    <row r="87" spans="1:18" ht="15" customHeight="1">
      <c r="A87" s="13" t="str">
        <f>scalars[[#This Row],[DOW]]</f>
        <v>Wednesday</v>
      </c>
      <c r="B87" s="28">
        <f t="shared" si="4"/>
        <v>46162</v>
      </c>
      <c r="C87" s="38">
        <f>ARKB!G86</f>
        <v>33301.370199999998</v>
      </c>
      <c r="D87" s="38">
        <f>BITB!H86</f>
        <v>37555.47</v>
      </c>
      <c r="E87" s="98">
        <f>BRRR!G87</f>
        <v>6017</v>
      </c>
      <c r="F87" s="38">
        <f>BTC!J86</f>
        <v>53303.269399999997</v>
      </c>
      <c r="G87" s="38">
        <f>BTCW!H86</f>
        <v>2242</v>
      </c>
      <c r="H87" s="38">
        <f>EZBC!F86</f>
        <v>5809.64</v>
      </c>
      <c r="J87" s="38">
        <f>GBTC!K86</f>
        <v>148699.31030000001</v>
      </c>
      <c r="K87" s="38">
        <f>HODL!H86</f>
        <v>16651.098999999998</v>
      </c>
      <c r="L87" s="38">
        <f>IBIT!G86</f>
        <v>806259.18180000002</v>
      </c>
      <c r="M87" s="98">
        <f>SUM(btc_ratios3[[#This Row],[ARKB]:[IBIT]])</f>
        <v>1109838.3407000001</v>
      </c>
      <c r="N87" s="98">
        <f>btc_ratios3[[#This Row],[Sum]]-M86</f>
        <v>-799.62839999981225</v>
      </c>
      <c r="O87" s="132">
        <f>btc_ratios3[[#This Row],[Sum]]/M86-1</f>
        <v>-7.1997214416119615E-4</v>
      </c>
      <c r="P87" s="136">
        <f>ARKB!H86</f>
        <v>77467.44</v>
      </c>
      <c r="Q87" s="136">
        <f>btc_ratios3[[#This Row],[Price]]-P86</f>
        <v>646.66999999999825</v>
      </c>
      <c r="R87" s="137">
        <f>btc_ratios3[[#This Row],[Price]]/P86-1</f>
        <v>8.417905730442321E-3</v>
      </c>
    </row>
    <row r="88" spans="1:18" ht="15" customHeight="1">
      <c r="A88" s="13" t="str">
        <f>scalars[[#This Row],[DOW]]</f>
        <v>Thursday</v>
      </c>
      <c r="B88" s="28">
        <f t="shared" si="4"/>
        <v>46163</v>
      </c>
      <c r="C88" s="38">
        <f>ARKB!G87</f>
        <v>33337.862399999998</v>
      </c>
      <c r="D88" s="38">
        <f>BITB!H87</f>
        <v>37555.47</v>
      </c>
      <c r="E88" s="98">
        <f>BRRR!G88</f>
        <v>6016.96</v>
      </c>
      <c r="F88" s="38">
        <f>BTC!J87</f>
        <v>53303.0504</v>
      </c>
      <c r="G88" s="38">
        <f>BTCW!H87</f>
        <v>2242</v>
      </c>
      <c r="H88" s="38">
        <f>EZBC!F87</f>
        <v>5809.64</v>
      </c>
      <c r="J88" s="38">
        <f>GBTC!K87</f>
        <v>148693.19940000001</v>
      </c>
      <c r="K88" s="38">
        <f>HODL!H87</f>
        <v>16651.096000000001</v>
      </c>
      <c r="L88" s="38">
        <f>IBIT!G87</f>
        <v>804921.97219999996</v>
      </c>
      <c r="M88" s="98">
        <f>SUM(btc_ratios3[[#This Row],[ARKB]:[IBIT]])</f>
        <v>1108531.2504</v>
      </c>
      <c r="N88" s="98">
        <f>btc_ratios3[[#This Row],[Sum]]-M87</f>
        <v>-1307.0903000000399</v>
      </c>
      <c r="O88" s="132">
        <f>btc_ratios3[[#This Row],[Sum]]/M87-1</f>
        <v>-1.17773035231028E-3</v>
      </c>
      <c r="P88" s="136">
        <f>ARKB!H87</f>
        <v>77515.759999999995</v>
      </c>
      <c r="Q88" s="136">
        <f>btc_ratios3[[#This Row],[Price]]-P87</f>
        <v>48.319999999992433</v>
      </c>
      <c r="R88" s="137">
        <f>btc_ratios3[[#This Row],[Price]]/P87-1</f>
        <v>6.2374592473934953E-4</v>
      </c>
    </row>
    <row r="89" spans="1:18" ht="15" customHeight="1">
      <c r="A89" s="13" t="str">
        <f>scalars[[#This Row],[DOW]]</f>
        <v>Friday</v>
      </c>
      <c r="B89" s="28">
        <f t="shared" si="4"/>
        <v>46164</v>
      </c>
      <c r="C89" s="38">
        <f>ARKB!G88</f>
        <v>33337.862399999998</v>
      </c>
      <c r="D89" s="38">
        <f>BITB!H88</f>
        <v>37555.47</v>
      </c>
      <c r="E89" s="98">
        <f>BRRR!G92</f>
        <v>6016.8</v>
      </c>
      <c r="F89" s="38">
        <f>BTC!J88</f>
        <v>53302.831299999998</v>
      </c>
      <c r="G89" s="38">
        <f>BTCW!H88</f>
        <v>2242</v>
      </c>
      <c r="H89" s="38">
        <f>EZBC!F88</f>
        <v>5809.64</v>
      </c>
      <c r="J89" s="38">
        <f>GBTC!K88</f>
        <v>148687.08869999999</v>
      </c>
      <c r="K89" s="38">
        <f>HODL!H88</f>
        <v>16651.100999999999</v>
      </c>
      <c r="L89" s="38">
        <f>IBIT!G88</f>
        <v>804015.41760000004</v>
      </c>
      <c r="M89" s="98">
        <f>SUM(btc_ratios3[[#This Row],[ARKB]:[IBIT]])</f>
        <v>1107618.2110000001</v>
      </c>
      <c r="N89" s="98">
        <f>btc_ratios3[[#This Row],[Sum]]-M88</f>
        <v>-913.03939999989234</v>
      </c>
      <c r="O89" s="132">
        <f>btc_ratios3[[#This Row],[Sum]]/M88-1</f>
        <v>-8.2364786709476778E-4</v>
      </c>
      <c r="P89" s="136">
        <f>ARKB!H88</f>
        <v>75996.63</v>
      </c>
      <c r="Q89" s="136">
        <f>btc_ratios3[[#This Row],[Price]]-P88</f>
        <v>-1519.1299999999901</v>
      </c>
      <c r="R89" s="137">
        <f>btc_ratios3[[#This Row],[Price]]/P88-1</f>
        <v>-1.9597692133831779E-2</v>
      </c>
    </row>
    <row r="90" spans="1:18" ht="15" customHeight="1">
      <c r="A90" s="13" t="str">
        <f>scalars[[#This Row],[DOW]]</f>
        <v>Saturday</v>
      </c>
      <c r="B90" s="28">
        <f t="shared" si="4"/>
        <v>46165</v>
      </c>
      <c r="M90" s="98"/>
      <c r="N90" s="98"/>
      <c r="O90" s="132"/>
      <c r="P90" s="136"/>
      <c r="Q90" s="136"/>
      <c r="R90" s="137"/>
    </row>
    <row r="91" spans="1:18" ht="15" customHeight="1">
      <c r="A91" s="13" t="str">
        <f>scalars[[#This Row],[DOW]]</f>
        <v>Sunday</v>
      </c>
      <c r="B91" s="28">
        <f t="shared" si="4"/>
        <v>46166</v>
      </c>
      <c r="M91" s="98"/>
      <c r="N91" s="98"/>
      <c r="O91" s="132"/>
      <c r="P91" s="136"/>
      <c r="Q91" s="136"/>
      <c r="R91" s="137"/>
    </row>
    <row r="92" spans="1:18" ht="15" customHeight="1">
      <c r="A92" s="13" t="str">
        <f>scalars[[#This Row],[DOW]]</f>
        <v>Monday</v>
      </c>
      <c r="B92" s="28">
        <f t="shared" si="4"/>
        <v>46167</v>
      </c>
      <c r="M92" s="170" t="s">
        <v>73</v>
      </c>
      <c r="N92" s="98"/>
      <c r="O92" s="132"/>
      <c r="P92" s="136"/>
      <c r="Q92" s="136"/>
      <c r="R92" s="137"/>
    </row>
    <row r="93" spans="1:18" ht="15" customHeight="1">
      <c r="A93" s="13" t="str">
        <f>scalars[[#This Row],[DOW]]</f>
        <v>Tuesday</v>
      </c>
      <c r="B93" s="28">
        <f t="shared" si="4"/>
        <v>46168</v>
      </c>
      <c r="C93" s="38">
        <f>ARKB!G92</f>
        <v>33337.862399999998</v>
      </c>
      <c r="D93" s="38">
        <f>BITB!H92</f>
        <v>37175.410000000003</v>
      </c>
      <c r="E93" s="98">
        <f>BRRR!G93</f>
        <v>6016.75</v>
      </c>
      <c r="F93" s="38">
        <f>BTC!J92</f>
        <v>53301.955099999999</v>
      </c>
      <c r="G93" s="38">
        <f>BTCW!H92</f>
        <v>2242</v>
      </c>
      <c r="H93" s="38">
        <f>EZBC!F92</f>
        <v>5809.64</v>
      </c>
      <c r="J93" s="38">
        <f>GBTC!K92</f>
        <v>148662.64850000001</v>
      </c>
      <c r="K93" s="38">
        <f>HODL!H92</f>
        <v>16651.096000000001</v>
      </c>
      <c r="L93" s="38">
        <f>IBIT!G92</f>
        <v>801477.13549999997</v>
      </c>
      <c r="M93" s="98">
        <f>SUM(btc_ratios3[[#This Row],[ARKB]:[IBIT]])</f>
        <v>1104674.4975000001</v>
      </c>
      <c r="N93" s="98">
        <f>btc_ratios3[[#This Row],[Sum]]-M89</f>
        <v>-2943.7135000000708</v>
      </c>
      <c r="O93" s="132">
        <f>btc_ratios3[[#This Row],[Sum]]/M89-1</f>
        <v>-2.6576969128581096E-3</v>
      </c>
      <c r="P93" s="136">
        <f>ARKB!H92</f>
        <v>75814.45</v>
      </c>
      <c r="Q93" s="136">
        <f>btc_ratios3[[#This Row],[Price]]-P89</f>
        <v>-182.18000000000757</v>
      </c>
      <c r="R93" s="137">
        <f>btc_ratios3[[#This Row],[Price]]/P89-1</f>
        <v>-2.3972115605653821E-3</v>
      </c>
    </row>
    <row r="94" spans="1:18" ht="15" customHeight="1">
      <c r="A94" s="13" t="str">
        <f>scalars[[#This Row],[DOW]]</f>
        <v>Wednesday</v>
      </c>
      <c r="B94" s="28">
        <f t="shared" si="4"/>
        <v>46169</v>
      </c>
      <c r="C94" s="38">
        <f>ARKB!G93</f>
        <v>33105.647400000002</v>
      </c>
      <c r="D94" s="38">
        <f>BITB!H93</f>
        <v>36941.94</v>
      </c>
      <c r="E94" s="98">
        <f>BRRR!G94</f>
        <v>6016.71</v>
      </c>
      <c r="F94" s="38">
        <f>BTC!J93</f>
        <v>53124.830199999997</v>
      </c>
      <c r="G94" s="38">
        <f>BTCW!H93</f>
        <v>2242</v>
      </c>
      <c r="H94" s="38">
        <f>EZBC!F93</f>
        <v>5809.64</v>
      </c>
      <c r="J94" s="38">
        <f>GBTC!K93</f>
        <v>148112.8634</v>
      </c>
      <c r="K94" s="38">
        <f>HODL!H93</f>
        <v>16651.099999999999</v>
      </c>
      <c r="L94" s="38">
        <f>IBIT!G93</f>
        <v>794428.81129999994</v>
      </c>
      <c r="M94" s="98">
        <f>SUM(btc_ratios3[[#This Row],[ARKB]:[IBIT]])</f>
        <v>1096433.5422999999</v>
      </c>
      <c r="N94" s="98">
        <f>btc_ratios3[[#This Row],[Sum]]-M93</f>
        <v>-8240.9552000002004</v>
      </c>
      <c r="O94" s="132">
        <f>btc_ratios3[[#This Row],[Sum]]/M93-1</f>
        <v>-7.4600755413928299E-3</v>
      </c>
      <c r="P94" s="136">
        <f>ARKB!H93</f>
        <v>74889.84</v>
      </c>
      <c r="Q94" s="136">
        <f>btc_ratios3[[#This Row],[Price]]-P93</f>
        <v>-924.61000000000058</v>
      </c>
      <c r="R94" s="137">
        <f>btc_ratios3[[#This Row],[Price]]/P93-1</f>
        <v>-1.2195696203032513E-2</v>
      </c>
    </row>
    <row r="95" spans="1:18" ht="15" customHeight="1">
      <c r="A95" s="13" t="str">
        <f>scalars[[#This Row],[DOW]]</f>
        <v>Thursday</v>
      </c>
      <c r="B95" s="28">
        <f t="shared" si="4"/>
        <v>46170</v>
      </c>
      <c r="C95" s="38">
        <f>ARKB!G94</f>
        <v>33099.647400000002</v>
      </c>
      <c r="D95" s="38">
        <f>BITB!H94</f>
        <v>36941.94</v>
      </c>
      <c r="E95" s="98">
        <f>BRRR!G95</f>
        <v>5940.53</v>
      </c>
      <c r="F95" s="38">
        <f>BTC!J94</f>
        <v>52991.9329</v>
      </c>
      <c r="G95" s="38">
        <f>BTCW!H94</f>
        <v>2242</v>
      </c>
      <c r="H95" s="38">
        <f>EZBC!F94</f>
        <v>5809.64</v>
      </c>
      <c r="J95" s="38">
        <f>GBTC!K94</f>
        <v>146708.81090000001</v>
      </c>
      <c r="K95" s="38">
        <f>HODL!H94</f>
        <v>16651.095000000001</v>
      </c>
      <c r="L95" s="38">
        <f>IBIT!G94</f>
        <v>792003.89480000001</v>
      </c>
      <c r="M95" s="98">
        <f>SUM(btc_ratios3[[#This Row],[ARKB]:[IBIT]])</f>
        <v>1092389.4909999999</v>
      </c>
      <c r="N95" s="98">
        <f>btc_ratios3[[#This Row],[Sum]]-M94</f>
        <v>-4044.0512999999337</v>
      </c>
      <c r="O95" s="132">
        <f>btc_ratios3[[#This Row],[Sum]]/M94-1</f>
        <v>-3.688368828553612E-3</v>
      </c>
      <c r="P95" s="136">
        <f>ARKB!H94</f>
        <v>73380.52</v>
      </c>
      <c r="Q95" s="136">
        <f>btc_ratios3[[#This Row],[Price]]-P94</f>
        <v>-1509.3199999999924</v>
      </c>
      <c r="R95" s="137">
        <f>btc_ratios3[[#This Row],[Price]]/P94-1</f>
        <v>-2.0153868668967512E-2</v>
      </c>
    </row>
    <row r="96" spans="1:18" ht="15" customHeight="1">
      <c r="A96" s="13" t="str">
        <f>scalars[[#This Row],[DOW]]</f>
        <v>Friday</v>
      </c>
      <c r="B96" s="28">
        <f t="shared" si="4"/>
        <v>46171</v>
      </c>
      <c r="C96" s="38">
        <f>ARKB!G95</f>
        <v>33000.129000000001</v>
      </c>
      <c r="D96" s="38">
        <f>BITB!H95</f>
        <v>36935.120000000003</v>
      </c>
      <c r="E96" s="98">
        <f>BRRR!G98</f>
        <v>5940.41</v>
      </c>
      <c r="F96" s="38">
        <f>BTC!J95</f>
        <v>52991.715199999999</v>
      </c>
      <c r="G96" s="38">
        <f>BTCW!H95</f>
        <v>2242</v>
      </c>
      <c r="H96" s="38">
        <f>EZBC!F95</f>
        <v>5809.64</v>
      </c>
      <c r="J96" s="38">
        <f>GBTC!K95</f>
        <v>146345.5386</v>
      </c>
      <c r="K96" s="38">
        <f>HODL!H95</f>
        <v>16651.095000000001</v>
      </c>
      <c r="L96" s="38">
        <f>IBIT!G95</f>
        <v>791074.70510000002</v>
      </c>
      <c r="M96" s="98">
        <f>SUM(btc_ratios3[[#This Row],[ARKB]:[IBIT]])</f>
        <v>1090990.3529000001</v>
      </c>
      <c r="N96" s="98">
        <f>btc_ratios3[[#This Row],[Sum]]-M95</f>
        <v>-1399.1380999998655</v>
      </c>
      <c r="O96" s="132">
        <f>btc_ratios3[[#This Row],[Sum]]/M95-1</f>
        <v>-1.2808051629268347E-3</v>
      </c>
      <c r="P96" s="136">
        <f>ARKB!H95</f>
        <v>73398.11</v>
      </c>
      <c r="Q96" s="136">
        <f>btc_ratios3[[#This Row],[Price]]-P95</f>
        <v>17.589999999996508</v>
      </c>
      <c r="R96" s="137">
        <f>btc_ratios3[[#This Row],[Price]]/P95-1</f>
        <v>2.3970939426432025E-4</v>
      </c>
    </row>
    <row r="97" spans="1:18" ht="15" customHeight="1">
      <c r="A97" s="13" t="str">
        <f>scalars[[#This Row],[DOW]]</f>
        <v>Saturday</v>
      </c>
      <c r="B97" s="28">
        <f t="shared" si="4"/>
        <v>46172</v>
      </c>
      <c r="M97" s="98"/>
      <c r="N97" s="98"/>
      <c r="O97" s="132"/>
      <c r="P97" s="136"/>
      <c r="Q97" s="136"/>
      <c r="R97" s="137"/>
    </row>
    <row r="98" spans="1:18" ht="15" customHeight="1">
      <c r="A98" s="13" t="str">
        <f>scalars[[#This Row],[DOW]]</f>
        <v>Sunday</v>
      </c>
      <c r="B98" s="28">
        <f t="shared" si="4"/>
        <v>46173</v>
      </c>
      <c r="M98" s="98"/>
      <c r="N98" s="98"/>
      <c r="O98" s="132"/>
      <c r="P98" s="136"/>
      <c r="Q98" s="136"/>
      <c r="R98" s="137"/>
    </row>
    <row r="99" spans="1:18" ht="15" customHeight="1">
      <c r="A99" s="13" t="str">
        <f>scalars[[#This Row],[DOW]]</f>
        <v>Monday</v>
      </c>
      <c r="B99" s="28">
        <f t="shared" si="4"/>
        <v>46174</v>
      </c>
      <c r="C99" s="38">
        <f>ARKB!G98</f>
        <v>32827.631399999998</v>
      </c>
      <c r="D99" s="38">
        <f>BITB!H98</f>
        <v>36935.120000000003</v>
      </c>
      <c r="E99" s="98">
        <f>BRRR!G99</f>
        <v>5940.37</v>
      </c>
      <c r="F99" s="38">
        <f>BTC!J98</f>
        <v>52858.383999999998</v>
      </c>
      <c r="G99" s="38">
        <f>BTCW!H98</f>
        <v>2242</v>
      </c>
      <c r="H99" s="38">
        <f>EZBC!F98</f>
        <v>5809.64</v>
      </c>
      <c r="J99" s="38">
        <f>GBTC!K98</f>
        <v>146288.66750000001</v>
      </c>
      <c r="K99" s="38">
        <f>HODL!H98</f>
        <v>16651.096000000001</v>
      </c>
      <c r="L99" s="38">
        <f>IBIT!G98</f>
        <v>784910.53379999998</v>
      </c>
      <c r="M99" s="98">
        <f>SUM(btc_ratios3[[#This Row],[ARKB]:[IBIT]])</f>
        <v>1084463.4427</v>
      </c>
      <c r="N99" s="98">
        <f>btc_ratios3[[#This Row],[Sum]]-M96</f>
        <v>-6526.9102000000421</v>
      </c>
      <c r="O99" s="132">
        <f>btc_ratios3[[#This Row],[Sum]]/M96-1</f>
        <v>-5.9825553751695626E-3</v>
      </c>
      <c r="P99" s="136">
        <f>ARKB!H98</f>
        <v>71428.740000000005</v>
      </c>
      <c r="Q99" s="136">
        <f>btc_ratios3[[#This Row],[Price]]-P96</f>
        <v>-1969.3699999999953</v>
      </c>
      <c r="R99" s="137">
        <f>btc_ratios3[[#This Row],[Price]]/P96-1</f>
        <v>-2.683134483980576E-2</v>
      </c>
    </row>
    <row r="100" spans="1:18" ht="15" customHeight="1">
      <c r="A100" s="13" t="str">
        <f>scalars[[#This Row],[DOW]]</f>
        <v>Tuesday</v>
      </c>
      <c r="B100" s="28">
        <f t="shared" si="4"/>
        <v>46175</v>
      </c>
      <c r="C100" s="38">
        <f>ARKB!G99</f>
        <v>32578.838199999998</v>
      </c>
      <c r="D100" s="38">
        <f>BITB!H99</f>
        <v>36935.120000000003</v>
      </c>
      <c r="E100" s="98">
        <f>BRRR!G100</f>
        <v>5940.33</v>
      </c>
      <c r="F100" s="38">
        <f>BTC!J99</f>
        <v>52858.166799999999</v>
      </c>
      <c r="G100" s="38">
        <f>BTCW!H99</f>
        <v>2242</v>
      </c>
      <c r="H100" s="38">
        <f>EZBC!F99</f>
        <v>5809.64</v>
      </c>
      <c r="J100" s="38">
        <f>GBTC!K99</f>
        <v>146282.6557</v>
      </c>
      <c r="K100" s="38">
        <f>HODL!H99</f>
        <v>16651.095000000001</v>
      </c>
      <c r="L100" s="38">
        <f>IBIT!G99</f>
        <v>779109.02300000004</v>
      </c>
      <c r="M100" s="98">
        <f>SUM(btc_ratios3[[#This Row],[ARKB]:[IBIT]])</f>
        <v>1078406.8687</v>
      </c>
      <c r="N100" s="98">
        <f>btc_ratios3[[#This Row],[Sum]]-M99</f>
        <v>-6056.5740000000224</v>
      </c>
      <c r="O100" s="132">
        <f>btc_ratios3[[#This Row],[Sum]]/M99-1</f>
        <v>-5.5848576923173132E-3</v>
      </c>
      <c r="P100" s="136">
        <f>ARKB!H99</f>
        <v>66991.23</v>
      </c>
      <c r="Q100" s="136">
        <f>btc_ratios3[[#This Row],[Price]]-P99</f>
        <v>-4437.5100000000093</v>
      </c>
      <c r="R100" s="137">
        <f>btc_ratios3[[#This Row],[Price]]/P99-1</f>
        <v>-6.2124993385015759E-2</v>
      </c>
    </row>
    <row r="101" spans="1:18" ht="15" customHeight="1">
      <c r="A101" s="13" t="str">
        <f>scalars[[#This Row],[DOW]]</f>
        <v>Wednesday</v>
      </c>
      <c r="B101" s="28">
        <f t="shared" si="4"/>
        <v>46176</v>
      </c>
      <c r="C101" s="38">
        <f>ARKB!G100</f>
        <v>32578.838199999998</v>
      </c>
      <c r="D101" s="38">
        <f>BITB!H100</f>
        <v>36935.120000000003</v>
      </c>
      <c r="E101" s="98">
        <f>BRRR!G101</f>
        <v>5940.29</v>
      </c>
      <c r="F101" s="38">
        <f>BTC!J100</f>
        <v>52857.9496</v>
      </c>
      <c r="G101" s="38">
        <f>BTCW!H100</f>
        <v>2241</v>
      </c>
      <c r="H101" s="38">
        <f>EZBC!F100</f>
        <v>5809.64</v>
      </c>
      <c r="J101" s="38">
        <f>GBTC!K100</f>
        <v>145034.3143</v>
      </c>
      <c r="K101" s="38">
        <f>HODL!H100</f>
        <v>16651.094000000001</v>
      </c>
      <c r="L101" s="38">
        <f>IBIT!G100</f>
        <v>773896.82660000003</v>
      </c>
      <c r="M101" s="98">
        <f>SUM(btc_ratios3[[#This Row],[ARKB]:[IBIT]])</f>
        <v>1071945.0726999999</v>
      </c>
      <c r="N101" s="98">
        <f>btc_ratios3[[#This Row],[Sum]]-M100</f>
        <v>-6461.7960000000894</v>
      </c>
      <c r="O101" s="132">
        <f>btc_ratios3[[#This Row],[Sum]]/M100-1</f>
        <v>-5.9919833483531582E-3</v>
      </c>
      <c r="P101" s="136">
        <f>ARKB!H100</f>
        <v>65682.100000000006</v>
      </c>
      <c r="Q101" s="136">
        <f>btc_ratios3[[#This Row],[Price]]-P100</f>
        <v>-1309.1299999999901</v>
      </c>
      <c r="R101" s="137">
        <f>btc_ratios3[[#This Row],[Price]]/P100-1</f>
        <v>-1.954181166698965E-2</v>
      </c>
    </row>
    <row r="102" spans="1:18" ht="15" customHeight="1">
      <c r="A102" s="13" t="str">
        <f>scalars[[#This Row],[DOW]]</f>
        <v>Thursday</v>
      </c>
      <c r="B102" s="28">
        <f t="shared" si="4"/>
        <v>46177</v>
      </c>
      <c r="C102" s="38">
        <f>ARKB!G101</f>
        <v>32253.7523</v>
      </c>
      <c r="D102" s="38">
        <f>BITB!H101</f>
        <v>36690.81</v>
      </c>
      <c r="E102" s="98">
        <f>BRRR!G102</f>
        <v>5940.25</v>
      </c>
      <c r="F102" s="38">
        <f>BTC!J101</f>
        <v>52857.732400000001</v>
      </c>
      <c r="G102" s="38">
        <f>BTCW!H101</f>
        <v>2241</v>
      </c>
      <c r="H102" s="38">
        <f>EZBC!F101</f>
        <v>5809.64</v>
      </c>
      <c r="J102" s="38">
        <f>GBTC!K101</f>
        <v>145028.35389999999</v>
      </c>
      <c r="K102" s="38">
        <f>HODL!H101</f>
        <v>16651.095000000001</v>
      </c>
      <c r="L102" s="38">
        <f>IBIT!G101</f>
        <v>774434.1372</v>
      </c>
      <c r="M102" s="98">
        <f>SUM(btc_ratios3[[#This Row],[ARKB]:[IBIT]])</f>
        <v>1071906.7708000001</v>
      </c>
      <c r="N102" s="98">
        <f>btc_ratios3[[#This Row],[Sum]]-M101</f>
        <v>-38.301899999845773</v>
      </c>
      <c r="O102" s="132">
        <f>btc_ratios3[[#This Row],[Sum]]/M101-1</f>
        <v>-3.5731215129675142E-5</v>
      </c>
      <c r="P102" s="136">
        <f>ARKB!H101</f>
        <v>63732.67</v>
      </c>
      <c r="Q102" s="136">
        <f>btc_ratios3[[#This Row],[Price]]-P101</f>
        <v>-1949.4300000000076</v>
      </c>
      <c r="R102" s="137">
        <f>btc_ratios3[[#This Row],[Price]]/P101-1</f>
        <v>-2.9679775768436278E-2</v>
      </c>
    </row>
    <row r="103" spans="1:18" ht="15" customHeight="1">
      <c r="A103" s="13" t="str">
        <f>scalars[[#This Row],[DOW]]</f>
        <v>Friday</v>
      </c>
      <c r="B103" s="28">
        <f t="shared" si="4"/>
        <v>46178</v>
      </c>
      <c r="C103" s="38">
        <f>ARKB!G102</f>
        <v>32253.7523</v>
      </c>
      <c r="D103" s="38">
        <f>BITB!H102</f>
        <v>36690.81</v>
      </c>
      <c r="E103" s="98">
        <f>BRRR!G105</f>
        <v>5940.12</v>
      </c>
      <c r="F103" s="38">
        <f>BTC!J102</f>
        <v>52857.515099999997</v>
      </c>
      <c r="G103" s="38">
        <f>BTCW!H102</f>
        <v>2241</v>
      </c>
      <c r="H103" s="38">
        <f>EZBC!F102</f>
        <v>5809.64</v>
      </c>
      <c r="J103" s="38">
        <f>GBTC!K102</f>
        <v>145022.3939</v>
      </c>
      <c r="K103" s="38">
        <f>HODL!H102</f>
        <v>16651.101999999999</v>
      </c>
      <c r="L103" s="38">
        <f>IBIT!G102</f>
        <v>770853.68359999999</v>
      </c>
      <c r="M103" s="98">
        <f>SUM(btc_ratios3[[#This Row],[ARKB]:[IBIT]])</f>
        <v>1068320.0168999999</v>
      </c>
      <c r="N103" s="98">
        <f>btc_ratios3[[#This Row],[Sum]]-M102</f>
        <v>-3586.753900000127</v>
      </c>
      <c r="O103" s="132">
        <f>btc_ratios3[[#This Row],[Sum]]/M102-1</f>
        <v>-3.3461435245186744E-3</v>
      </c>
      <c r="P103" s="136">
        <f>ARKB!H102</f>
        <v>59673.45</v>
      </c>
      <c r="Q103" s="136">
        <f>btc_ratios3[[#This Row],[Price]]-P102</f>
        <v>-4059.2200000000012</v>
      </c>
      <c r="R103" s="137">
        <f>btc_ratios3[[#This Row],[Price]]/P102-1</f>
        <v>-6.3691353272976037E-2</v>
      </c>
    </row>
    <row r="104" spans="1:18" ht="15" customHeight="1">
      <c r="A104" s="13" t="str">
        <f>scalars[[#This Row],[DOW]]</f>
        <v>Saturday</v>
      </c>
      <c r="B104" s="28">
        <f t="shared" si="4"/>
        <v>46179</v>
      </c>
      <c r="M104" s="98"/>
      <c r="N104" s="98"/>
      <c r="O104" s="132"/>
      <c r="P104" s="136"/>
      <c r="Q104" s="136"/>
      <c r="R104" s="137"/>
    </row>
    <row r="105" spans="1:18" ht="15" customHeight="1">
      <c r="A105" s="13" t="str">
        <f>scalars[[#This Row],[DOW]]</f>
        <v>Sunday</v>
      </c>
      <c r="B105" s="28">
        <f t="shared" si="4"/>
        <v>46180</v>
      </c>
      <c r="M105" s="98"/>
      <c r="N105" s="98"/>
      <c r="O105" s="132"/>
      <c r="P105" s="136"/>
      <c r="Q105" s="136"/>
      <c r="R105" s="137"/>
    </row>
    <row r="106" spans="1:18" ht="15" customHeight="1">
      <c r="A106" s="13" t="str">
        <f>scalars[[#This Row],[DOW]]</f>
        <v>Monday</v>
      </c>
      <c r="B106" s="28">
        <f t="shared" si="4"/>
        <v>46181</v>
      </c>
      <c r="C106" s="38">
        <f>ARKB!G105</f>
        <v>33248.890299999999</v>
      </c>
      <c r="D106" s="38">
        <f>BITB!H105</f>
        <v>36913.4</v>
      </c>
      <c r="E106" s="98">
        <f>BRRR!G106</f>
        <v>5940.08</v>
      </c>
      <c r="F106" s="38">
        <f>BTC!J105</f>
        <v>52856.863499999999</v>
      </c>
      <c r="G106" s="38">
        <f>BTCW!H105</f>
        <v>2241</v>
      </c>
      <c r="H106" s="38">
        <f>EZBC!F105</f>
        <v>5809.64</v>
      </c>
      <c r="J106" s="38">
        <f>GBTC!K105</f>
        <v>143995.24660000001</v>
      </c>
      <c r="K106" s="38">
        <f>HODL!H105</f>
        <v>16721.804</v>
      </c>
      <c r="L106" s="38">
        <f>IBIT!G105</f>
        <v>767182.64839999995</v>
      </c>
      <c r="M106" s="98">
        <f>SUM(btc_ratios3[[#This Row],[ARKB]:[IBIT]])</f>
        <v>1064909.5728</v>
      </c>
      <c r="N106" s="98">
        <f>btc_ratios3[[#This Row],[Sum]]-M103</f>
        <v>-3410.4440999999642</v>
      </c>
      <c r="O106" s="132">
        <f>btc_ratios3[[#This Row],[Sum]]/M103-1</f>
        <v>-3.1923431612712605E-3</v>
      </c>
      <c r="P106" s="136">
        <f>ARKB!H105</f>
        <v>63449.74</v>
      </c>
      <c r="Q106" s="136">
        <f>btc_ratios3[[#This Row],[Price]]-P103</f>
        <v>3776.2900000000009</v>
      </c>
      <c r="R106" s="137">
        <f>btc_ratios3[[#This Row],[Price]]/P103-1</f>
        <v>6.3282582119853936E-2</v>
      </c>
    </row>
    <row r="107" spans="1:18" ht="15" customHeight="1">
      <c r="A107" s="13" t="str">
        <f>scalars[[#This Row],[DOW]]</f>
        <v>Tuesday</v>
      </c>
      <c r="B107" s="28">
        <f t="shared" si="4"/>
        <v>46182</v>
      </c>
      <c r="C107" s="38">
        <f>ARKB!G106</f>
        <v>33248.890299999999</v>
      </c>
      <c r="D107" s="38">
        <f>BITB!H106</f>
        <v>36913.4</v>
      </c>
      <c r="E107" s="98">
        <f>BRRR!G107</f>
        <v>5940.04</v>
      </c>
      <c r="F107" s="38">
        <f>BTC!J106</f>
        <v>52856.6463</v>
      </c>
      <c r="G107" s="38">
        <f>BTCW!H106</f>
        <v>2241</v>
      </c>
      <c r="H107" s="38">
        <f>EZBC!F106</f>
        <v>5809.64</v>
      </c>
      <c r="J107" s="38">
        <f>GBTC!K106</f>
        <v>143989.329</v>
      </c>
      <c r="K107" s="38">
        <f>HODL!H106</f>
        <v>16721.805</v>
      </c>
      <c r="L107" s="38">
        <f>IBIT!G106</f>
        <v>766185.60710000002</v>
      </c>
      <c r="M107" s="98">
        <f>SUM(btc_ratios3[[#This Row],[ARKB]:[IBIT]])</f>
        <v>1063906.3577000001</v>
      </c>
      <c r="N107" s="98">
        <f>btc_ratios3[[#This Row],[Sum]]-M106</f>
        <v>-1003.2150999999139</v>
      </c>
      <c r="O107" s="132">
        <f>btc_ratios3[[#This Row],[Sum]]/M106-1</f>
        <v>-9.4206599848856154E-4</v>
      </c>
      <c r="P107" s="136">
        <f>ARKB!H106</f>
        <v>61825.37</v>
      </c>
      <c r="Q107" s="136">
        <f>btc_ratios3[[#This Row],[Price]]-P106</f>
        <v>-1624.3699999999953</v>
      </c>
      <c r="R107" s="137">
        <f>btc_ratios3[[#This Row],[Price]]/P106-1</f>
        <v>-2.5600892927220786E-2</v>
      </c>
    </row>
    <row r="108" spans="1:18" ht="15" customHeight="1">
      <c r="A108" s="13" t="str">
        <f>scalars[[#This Row],[DOW]]</f>
        <v>Wednesday</v>
      </c>
      <c r="B108" s="28">
        <f t="shared" si="4"/>
        <v>46183</v>
      </c>
      <c r="C108" s="38">
        <f>ARKB!G107</f>
        <v>33248.890299999999</v>
      </c>
      <c r="D108" s="38">
        <f>BITB!H107</f>
        <v>36913.4</v>
      </c>
      <c r="E108" s="98">
        <f>BRRR!G108</f>
        <v>5940</v>
      </c>
      <c r="F108" s="38">
        <f>BTC!J107</f>
        <v>52927.187299999998</v>
      </c>
      <c r="G108" s="38">
        <f>BTCW!H107</f>
        <v>2241</v>
      </c>
      <c r="H108" s="38">
        <f>EZBC!F107</f>
        <v>5809.64</v>
      </c>
      <c r="J108" s="38">
        <f>GBTC!K107</f>
        <v>143983.4117</v>
      </c>
      <c r="K108" s="38">
        <f>HODL!H107</f>
        <v>16721.803</v>
      </c>
      <c r="L108" s="38">
        <f>IBIT!G107</f>
        <v>763783.60450000002</v>
      </c>
      <c r="M108" s="98">
        <f>SUM(btc_ratios3[[#This Row],[ARKB]:[IBIT]])</f>
        <v>1061568.9368</v>
      </c>
      <c r="N108" s="98">
        <f>btc_ratios3[[#This Row],[Sum]]-M107</f>
        <v>-2337.4209000000264</v>
      </c>
      <c r="O108" s="132">
        <f>btc_ratios3[[#This Row],[Sum]]/M107-1</f>
        <v>-2.1970175129446545E-3</v>
      </c>
      <c r="P108" s="136">
        <f>ARKB!H107</f>
        <v>61812.83</v>
      </c>
      <c r="Q108" s="136">
        <f>btc_ratios3[[#This Row],[Price]]-P107</f>
        <v>-12.540000000000873</v>
      </c>
      <c r="R108" s="137">
        <f>btc_ratios3[[#This Row],[Price]]/P107-1</f>
        <v>-2.0282935629822862E-4</v>
      </c>
    </row>
    <row r="109" spans="1:18" ht="15" customHeight="1">
      <c r="A109" s="13" t="str">
        <f>scalars[[#This Row],[DOW]]</f>
        <v>Thursday</v>
      </c>
      <c r="B109" s="28">
        <f t="shared" si="4"/>
        <v>46184</v>
      </c>
      <c r="C109" s="38">
        <f>ARKB!G108</f>
        <v>32820.988299999997</v>
      </c>
      <c r="D109" s="38">
        <f>BITB!H108</f>
        <v>36707.1</v>
      </c>
      <c r="E109" s="98">
        <f>BRRR!G109</f>
        <v>5939.96</v>
      </c>
      <c r="F109" s="38">
        <f>BTC!J108</f>
        <v>53210.001799999998</v>
      </c>
      <c r="G109" s="38">
        <f>BTCW!H108</f>
        <v>2257</v>
      </c>
      <c r="H109" s="38">
        <f>EZBC!F108</f>
        <v>5809.64</v>
      </c>
      <c r="J109" s="38">
        <f>GBTC!K108</f>
        <v>142557.0478</v>
      </c>
      <c r="K109" s="38">
        <f>HODL!H108</f>
        <v>16721.803</v>
      </c>
      <c r="L109" s="38">
        <f>IBIT!G108</f>
        <v>764259.45959999994</v>
      </c>
      <c r="M109" s="98">
        <f>SUM(btc_ratios3[[#This Row],[ARKB]:[IBIT]])</f>
        <v>1060283.0005000001</v>
      </c>
      <c r="N109" s="98">
        <f>btc_ratios3[[#This Row],[Sum]]-M108</f>
        <v>-1285.936299999943</v>
      </c>
      <c r="O109" s="132">
        <f>btc_ratios3[[#This Row],[Sum]]/M108-1</f>
        <v>-1.2113544918489483E-3</v>
      </c>
      <c r="P109" s="136">
        <f>ARKB!H108</f>
        <v>63585.11</v>
      </c>
      <c r="Q109" s="136">
        <f>btc_ratios3[[#This Row],[Price]]-P108</f>
        <v>1772.2799999999988</v>
      </c>
      <c r="R109" s="137">
        <f>btc_ratios3[[#This Row],[Price]]/P108-1</f>
        <v>2.8671717505896366E-2</v>
      </c>
    </row>
    <row r="110" spans="1:18" ht="15" customHeight="1">
      <c r="A110" s="13" t="str">
        <f>scalars[[#This Row],[DOW]]</f>
        <v>Friday</v>
      </c>
      <c r="B110" s="28">
        <f t="shared" si="4"/>
        <v>46185</v>
      </c>
      <c r="C110" s="38">
        <f>ARKB!G109</f>
        <v>32870.743499999997</v>
      </c>
      <c r="D110" s="38">
        <f>BITB!H109</f>
        <v>36788.54</v>
      </c>
      <c r="E110" s="98">
        <f>BRRR!G112</f>
        <v>5939.84</v>
      </c>
      <c r="F110" s="38">
        <f>BTC!J109</f>
        <v>53298.230300000003</v>
      </c>
      <c r="G110" s="38">
        <f>BTCW!H109</f>
        <v>2257</v>
      </c>
      <c r="H110" s="38">
        <f>EZBC!F109</f>
        <v>5809.64</v>
      </c>
      <c r="J110" s="38">
        <f>GBTC!K109</f>
        <v>142551.18919999999</v>
      </c>
      <c r="K110" s="38">
        <f>HODL!H109</f>
        <v>16488.471000000001</v>
      </c>
      <c r="L110" s="38">
        <f>IBIT!G109</f>
        <v>765165.82880000002</v>
      </c>
      <c r="M110" s="98">
        <f>SUM(btc_ratios3[[#This Row],[ARKB]:[IBIT]])</f>
        <v>1061169.4827999999</v>
      </c>
      <c r="N110" s="98">
        <f>btc_ratios3[[#This Row],[Sum]]-M109</f>
        <v>886.48229999979958</v>
      </c>
      <c r="O110" s="132">
        <f>btc_ratios3[[#This Row],[Sum]]/M109-1</f>
        <v>8.3608083840047698E-4</v>
      </c>
      <c r="P110" s="136">
        <f>ARKB!H109</f>
        <v>63654.16</v>
      </c>
      <c r="Q110" s="136">
        <f>btc_ratios3[[#This Row],[Price]]-P109</f>
        <v>69.05000000000291</v>
      </c>
      <c r="R110" s="137">
        <f>btc_ratios3[[#This Row],[Price]]/P109-1</f>
        <v>1.0859460650458619E-3</v>
      </c>
    </row>
    <row r="111" spans="1:18" ht="15" customHeight="1">
      <c r="A111" s="13" t="str">
        <f>scalars[[#This Row],[DOW]]</f>
        <v>Saturday</v>
      </c>
      <c r="B111" s="28">
        <f t="shared" si="4"/>
        <v>46186</v>
      </c>
      <c r="M111" s="98"/>
      <c r="N111" s="98"/>
      <c r="O111" s="132"/>
      <c r="P111" s="136"/>
      <c r="Q111" s="136"/>
      <c r="R111" s="137"/>
    </row>
    <row r="112" spans="1:18" ht="15" customHeight="1">
      <c r="A112" s="13" t="str">
        <f>scalars[[#This Row],[DOW]]</f>
        <v>Sunday</v>
      </c>
      <c r="B112" s="28">
        <f t="shared" si="4"/>
        <v>46187</v>
      </c>
      <c r="M112" s="98"/>
      <c r="N112" s="98"/>
      <c r="O112" s="132"/>
      <c r="P112" s="136"/>
      <c r="Q112" s="136"/>
      <c r="R112" s="137"/>
    </row>
    <row r="113" spans="1:18" ht="15" customHeight="1">
      <c r="A113" s="13" t="str">
        <f>scalars[[#This Row],[DOW]]</f>
        <v>Monday</v>
      </c>
      <c r="B113" s="28">
        <f t="shared" si="4"/>
        <v>46188</v>
      </c>
      <c r="C113" s="38">
        <f>ARKB!G112</f>
        <v>32771.233800000002</v>
      </c>
      <c r="D113" s="38">
        <f>BITB!H112</f>
        <v>36788.54</v>
      </c>
      <c r="E113" s="98">
        <f>BRRR!G113</f>
        <v>5939.8</v>
      </c>
      <c r="F113" s="38">
        <f>BTC!J112</f>
        <v>53297.573199999999</v>
      </c>
      <c r="G113" s="38">
        <f>BTCW!H112</f>
        <v>2257</v>
      </c>
      <c r="H113" s="38">
        <f>EZBC!F112</f>
        <v>5722.96</v>
      </c>
      <c r="J113" s="38">
        <f>GBTC!K112</f>
        <v>142533.6152</v>
      </c>
      <c r="K113" s="38">
        <f>HODL!H112</f>
        <v>16516.755000000001</v>
      </c>
      <c r="L113" s="38">
        <f>IBIT!G112</f>
        <v>766162.82590000005</v>
      </c>
      <c r="M113" s="98">
        <f>SUM(btc_ratios3[[#This Row],[ARKB]:[IBIT]])</f>
        <v>1061990.3031000001</v>
      </c>
      <c r="N113" s="98">
        <f>btc_ratios3[[#This Row],[Sum]]-M110</f>
        <v>820.82030000025406</v>
      </c>
      <c r="O113" s="132">
        <f>btc_ratios3[[#This Row],[Sum]]/M110-1</f>
        <v>7.7350537619547133E-4</v>
      </c>
      <c r="P113" s="136">
        <f>ARKB!H112</f>
        <v>66647.740000000005</v>
      </c>
      <c r="Q113" s="136">
        <f>btc_ratios3[[#This Row],[Price]]-P110</f>
        <v>2993.5800000000017</v>
      </c>
      <c r="R113" s="137">
        <f>btc_ratios3[[#This Row],[Price]]/P110-1</f>
        <v>4.7028819483282858E-2</v>
      </c>
    </row>
    <row r="114" spans="1:18" ht="15" customHeight="1">
      <c r="A114" s="13" t="str">
        <f>scalars[[#This Row],[DOW]]</f>
        <v>Tuesday</v>
      </c>
      <c r="B114" s="28">
        <f t="shared" si="4"/>
        <v>46189</v>
      </c>
      <c r="C114" s="38">
        <f>ARKB!G113</f>
        <v>32771.233800000002</v>
      </c>
      <c r="D114" s="38">
        <f>BITB!H113</f>
        <v>36788.54</v>
      </c>
      <c r="E114" s="98">
        <f>BRRR!G114</f>
        <v>5939.76</v>
      </c>
      <c r="F114" s="38">
        <f>BTC!J113</f>
        <v>53456.556400000001</v>
      </c>
      <c r="G114" s="38">
        <f>BTCW!H113</f>
        <v>2257</v>
      </c>
      <c r="H114" s="38">
        <f>EZBC!F113</f>
        <v>5721.8</v>
      </c>
      <c r="J114" s="38">
        <f>GBTC!K113</f>
        <v>140665.25930000001</v>
      </c>
      <c r="K114" s="38">
        <f>HODL!H113</f>
        <v>16424.844000000001</v>
      </c>
      <c r="L114" s="38">
        <f>IBIT!G113</f>
        <v>766412.07559999998</v>
      </c>
      <c r="M114" s="98">
        <f>SUM(btc_ratios3[[#This Row],[ARKB]:[IBIT]])</f>
        <v>1060437.0691</v>
      </c>
      <c r="N114" s="98">
        <f>btc_ratios3[[#This Row],[Sum]]-M113</f>
        <v>-1553.2340000001714</v>
      </c>
      <c r="O114" s="132">
        <f>btc_ratios3[[#This Row],[Sum]]/M113-1</f>
        <v>-1.462568909966655E-3</v>
      </c>
      <c r="P114" s="136">
        <f>ARKB!H113</f>
        <v>65607.990000000005</v>
      </c>
      <c r="Q114" s="136">
        <f>btc_ratios3[[#This Row],[Price]]-P113</f>
        <v>-1039.75</v>
      </c>
      <c r="R114" s="137">
        <f>btc_ratios3[[#This Row],[Price]]/P113-1</f>
        <v>-1.5600679032777398E-2</v>
      </c>
    </row>
    <row r="115" spans="1:18" ht="15" customHeight="1">
      <c r="A115" s="13" t="str">
        <f>scalars[[#This Row],[DOW]]</f>
        <v>Wednesday</v>
      </c>
      <c r="B115" s="28">
        <f t="shared" si="4"/>
        <v>46190</v>
      </c>
      <c r="C115" s="38">
        <f>ARKB!G114</f>
        <v>32097.8923</v>
      </c>
      <c r="D115" s="38">
        <f>BITB!H114</f>
        <v>36788.54</v>
      </c>
      <c r="E115" s="98">
        <f>BRRR!G115</f>
        <v>5939.72</v>
      </c>
      <c r="F115" s="38">
        <f>BTC!J114</f>
        <v>53522.670700000002</v>
      </c>
      <c r="G115" s="38">
        <f>BTCW!H114</f>
        <v>2257</v>
      </c>
      <c r="H115" s="38">
        <f>EZBC!F114</f>
        <v>5721.8</v>
      </c>
      <c r="J115" s="38">
        <f>GBTC!K114</f>
        <v>140403.39559999999</v>
      </c>
      <c r="K115" s="38">
        <f>HODL!H114</f>
        <v>16424.842000000001</v>
      </c>
      <c r="L115" s="38">
        <f>IBIT!G114</f>
        <v>765936.23939999996</v>
      </c>
      <c r="M115" s="98">
        <f>SUM(btc_ratios3[[#This Row],[ARKB]:[IBIT]])</f>
        <v>1059092.0999999999</v>
      </c>
      <c r="N115" s="98">
        <f>btc_ratios3[[#This Row],[Sum]]-M114</f>
        <v>-1344.9691000001039</v>
      </c>
      <c r="O115" s="132">
        <f>btc_ratios3[[#This Row],[Sum]]/M114-1</f>
        <v>-1.2683158097647196E-3</v>
      </c>
      <c r="P115" s="136">
        <f>ARKB!H114</f>
        <v>64648.65</v>
      </c>
      <c r="Q115" s="136">
        <f>btc_ratios3[[#This Row],[Price]]-P114</f>
        <v>-959.34000000000378</v>
      </c>
      <c r="R115" s="137">
        <f>btc_ratios3[[#This Row],[Price]]/P114-1</f>
        <v>-1.4622304387011509E-2</v>
      </c>
    </row>
    <row r="116" spans="1:18" ht="15" customHeight="1">
      <c r="A116" s="13" t="str">
        <f>scalars[[#This Row],[DOW]]</f>
        <v>Thursday</v>
      </c>
      <c r="B116" s="28">
        <f t="shared" si="4"/>
        <v>46191</v>
      </c>
      <c r="C116" s="168">
        <f>C115</f>
        <v>32097.8923</v>
      </c>
      <c r="D116" s="38">
        <f>BITB!H115</f>
        <v>36788.54</v>
      </c>
      <c r="E116" s="98">
        <f>BRRR!G119</f>
        <v>5939.55</v>
      </c>
      <c r="F116" s="38">
        <f>BTC!J115</f>
        <v>53522.450799999999</v>
      </c>
      <c r="G116" s="38">
        <f>BTCW!H115</f>
        <v>2257</v>
      </c>
      <c r="H116" s="38">
        <f>EZBC!F115</f>
        <v>5721.8</v>
      </c>
      <c r="J116" s="38">
        <f>GBTC!K115</f>
        <v>140157.07269999999</v>
      </c>
      <c r="K116" s="38">
        <f>HODL!H115</f>
        <v>16361.205</v>
      </c>
      <c r="L116" s="38">
        <f>IBIT!G115</f>
        <v>764395.42420000001</v>
      </c>
      <c r="M116" s="98">
        <f>SUM(btc_ratios3[[#This Row],[ARKB]:[IBIT]])</f>
        <v>1057240.9350000001</v>
      </c>
      <c r="N116" s="98">
        <f>btc_ratios3[[#This Row],[Sum]]-M115</f>
        <v>-1851.1649999998044</v>
      </c>
      <c r="O116" s="132">
        <f>btc_ratios3[[#This Row],[Sum]]/M115-1</f>
        <v>-1.7478791504532687E-3</v>
      </c>
      <c r="P116" s="136">
        <f>ARKB!H115</f>
        <v>62731.81</v>
      </c>
      <c r="Q116" s="136">
        <f>btc_ratios3[[#This Row],[Price]]-P115</f>
        <v>-1916.8400000000038</v>
      </c>
      <c r="R116" s="137">
        <f>btc_ratios3[[#This Row],[Price]]/P115-1</f>
        <v>-2.9650116437079599E-2</v>
      </c>
    </row>
    <row r="117" spans="1:18" ht="15" customHeight="1">
      <c r="A117" s="13" t="str">
        <f>scalars[[#This Row],[DOW]]</f>
        <v>Friday</v>
      </c>
      <c r="B117" s="28">
        <f t="shared" si="4"/>
        <v>46192</v>
      </c>
      <c r="M117" s="170" t="s">
        <v>73</v>
      </c>
      <c r="N117" s="98"/>
      <c r="O117" s="132"/>
      <c r="P117" s="136"/>
      <c r="Q117" s="136"/>
      <c r="R117" s="137"/>
    </row>
    <row r="118" spans="1:18" ht="15" customHeight="1">
      <c r="A118" s="13" t="str">
        <f>scalars[[#This Row],[DOW]]</f>
        <v>Saturday</v>
      </c>
      <c r="B118" s="28">
        <f t="shared" si="4"/>
        <v>46193</v>
      </c>
      <c r="M118" s="98"/>
      <c r="N118" s="98"/>
      <c r="O118" s="132"/>
      <c r="P118" s="136"/>
      <c r="Q118" s="136"/>
      <c r="R118" s="137"/>
    </row>
    <row r="119" spans="1:18" ht="15" customHeight="1">
      <c r="A119" s="13" t="str">
        <f>scalars[[#This Row],[DOW]]</f>
        <v>Sunday</v>
      </c>
      <c r="B119" s="28">
        <f t="shared" si="4"/>
        <v>46194</v>
      </c>
      <c r="M119" s="98"/>
      <c r="N119" s="98"/>
      <c r="O119" s="132"/>
      <c r="P119" s="136"/>
      <c r="Q119" s="136"/>
      <c r="R119" s="137"/>
    </row>
    <row r="120" spans="1:18" ht="15" customHeight="1">
      <c r="A120" s="13" t="str">
        <f>scalars[[#This Row],[DOW]]</f>
        <v>Monday</v>
      </c>
      <c r="B120" s="28">
        <f t="shared" si="4"/>
        <v>46195</v>
      </c>
      <c r="C120" s="38">
        <f>ARKB!G119</f>
        <v>33089.049200000001</v>
      </c>
      <c r="D120" s="38">
        <f>BITB!H119</f>
        <v>36788.54</v>
      </c>
      <c r="E120" s="98">
        <f>BRRR!G120</f>
        <v>5939.51</v>
      </c>
      <c r="F120" s="38">
        <f>BTC!J119</f>
        <v>53521.570899999999</v>
      </c>
      <c r="G120" s="38">
        <f>BTCW!H119</f>
        <v>2257</v>
      </c>
      <c r="H120" s="38">
        <f>EZBC!F119</f>
        <v>5779.59</v>
      </c>
      <c r="J120" s="38">
        <f>GBTC!K119</f>
        <v>140134.03460000001</v>
      </c>
      <c r="K120" s="38">
        <f>HODL!H119</f>
        <v>16290.498</v>
      </c>
      <c r="L120" s="38">
        <f>IBIT!G119</f>
        <v>761721.72349999996</v>
      </c>
      <c r="M120" s="98">
        <f>SUM(btc_ratios3[[#This Row],[ARKB]:[IBIT]])</f>
        <v>1055521.5162</v>
      </c>
      <c r="N120" s="98">
        <f>btc_ratios3[[#This Row],[Sum]]-M116</f>
        <v>-1719.4188000001013</v>
      </c>
      <c r="O120" s="132">
        <f>btc_ratios3[[#This Row],[Sum]]/M116-1</f>
        <v>-1.6263263586177024E-3</v>
      </c>
      <c r="P120" s="136">
        <f>ARKB!H119</f>
        <v>64317.06</v>
      </c>
      <c r="Q120" s="136">
        <f>btc_ratios3[[#This Row],[Price]]-P116</f>
        <v>1585.25</v>
      </c>
      <c r="R120" s="137">
        <f>btc_ratios3[[#This Row],[Price]]/P116-1</f>
        <v>2.5270273566154078E-2</v>
      </c>
    </row>
    <row r="121" spans="1:18" ht="15" customHeight="1">
      <c r="A121" s="13" t="str">
        <f>scalars[[#This Row],[DOW]]</f>
        <v>Tuesday</v>
      </c>
      <c r="B121" s="28">
        <f t="shared" si="4"/>
        <v>46196</v>
      </c>
      <c r="C121" s="38">
        <f>ARKB!G120</f>
        <v>33586.574699999997</v>
      </c>
      <c r="D121" s="38">
        <f>BITB!H120</f>
        <v>36788.54</v>
      </c>
      <c r="E121" s="98">
        <f>BRRR!G121</f>
        <v>5939.47</v>
      </c>
      <c r="F121" s="38">
        <f>BTC!J120</f>
        <v>54268.695500000002</v>
      </c>
      <c r="G121" s="38">
        <f>BTCW!H120</f>
        <v>2310</v>
      </c>
      <c r="H121" s="38">
        <f>EZBC!F120</f>
        <v>5779.59</v>
      </c>
      <c r="J121" s="38">
        <f>GBTC!K120</f>
        <v>138871.4509</v>
      </c>
      <c r="K121" s="38">
        <f>HODL!H120</f>
        <v>16375.346</v>
      </c>
      <c r="L121" s="38">
        <f>IBIT!G120</f>
        <v>758798.82380000001</v>
      </c>
      <c r="M121" s="98">
        <f>SUM(btc_ratios3[[#This Row],[ARKB]:[IBIT]])</f>
        <v>1052718.4909000001</v>
      </c>
      <c r="N121" s="98">
        <f>btc_ratios3[[#This Row],[Sum]]-M120</f>
        <v>-2803.0252999998629</v>
      </c>
      <c r="O121" s="132">
        <f>btc_ratios3[[#This Row],[Sum]]/M120-1</f>
        <v>-2.655583289378205E-3</v>
      </c>
      <c r="P121" s="136">
        <f>ARKB!H120</f>
        <v>62268.59</v>
      </c>
      <c r="Q121" s="136">
        <f>btc_ratios3[[#This Row],[Price]]-P120</f>
        <v>-2048.4700000000012</v>
      </c>
      <c r="R121" s="137">
        <f>btc_ratios3[[#This Row],[Price]]/P120-1</f>
        <v>-3.1849559043899078E-2</v>
      </c>
    </row>
    <row r="122" spans="1:18" ht="15" customHeight="1">
      <c r="A122" s="13" t="str">
        <f>scalars[[#This Row],[DOW]]</f>
        <v>Wednesday</v>
      </c>
      <c r="B122" s="28">
        <f t="shared" si="4"/>
        <v>46197</v>
      </c>
      <c r="C122" s="38">
        <f>ARKB!G121</f>
        <v>32737.469400000002</v>
      </c>
      <c r="D122" s="38">
        <f>BITB!H121</f>
        <v>36327.11</v>
      </c>
      <c r="E122" s="98">
        <f>BRRR!G122</f>
        <v>5939.43</v>
      </c>
      <c r="F122" s="38">
        <f>BTC!J121</f>
        <v>54268.472500000003</v>
      </c>
      <c r="G122" s="38">
        <f>BTCW!H121</f>
        <v>2310</v>
      </c>
      <c r="H122" s="38">
        <f>EZBC!F121</f>
        <v>5779.59</v>
      </c>
      <c r="J122" s="38">
        <f>GBTC!K121</f>
        <v>138865.7439</v>
      </c>
      <c r="K122" s="38">
        <f>HODL!H121</f>
        <v>16375.343000000001</v>
      </c>
      <c r="L122" s="38">
        <f>IBIT!G121</f>
        <v>754788.44759999996</v>
      </c>
      <c r="M122" s="98">
        <f>SUM(btc_ratios3[[#This Row],[ARKB]:[IBIT]])</f>
        <v>1047391.6063999999</v>
      </c>
      <c r="N122" s="98">
        <f>btc_ratios3[[#This Row],[Sum]]-M121</f>
        <v>-5326.8845000001602</v>
      </c>
      <c r="O122" s="132">
        <f>btc_ratios3[[#This Row],[Sum]]/M121-1</f>
        <v>-5.0601224791312349E-3</v>
      </c>
      <c r="P122" s="136">
        <f>ARKB!H121</f>
        <v>59667.59</v>
      </c>
      <c r="Q122" s="136">
        <f>btc_ratios3[[#This Row],[Price]]-P121</f>
        <v>-2601</v>
      </c>
      <c r="R122" s="137">
        <f>btc_ratios3[[#This Row],[Price]]/P121-1</f>
        <v>-4.1770658368850189E-2</v>
      </c>
    </row>
    <row r="123" spans="1:18" ht="15" customHeight="1">
      <c r="A123" s="13" t="str">
        <f>scalars[[#This Row],[DOW]]</f>
        <v>Thursday</v>
      </c>
      <c r="B123" s="28">
        <f t="shared" si="4"/>
        <v>46198</v>
      </c>
      <c r="C123" s="38">
        <f>ARKB!G122</f>
        <v>31351.0478</v>
      </c>
      <c r="D123" s="38">
        <f>BITB!H122</f>
        <v>36207.69</v>
      </c>
      <c r="E123" s="98">
        <f>BRRR!G123</f>
        <v>5863.26</v>
      </c>
      <c r="F123" s="38">
        <f>BTC!J122</f>
        <v>54661.818299999999</v>
      </c>
      <c r="G123" s="38">
        <f>BTCW!H122</f>
        <v>2310</v>
      </c>
      <c r="H123" s="38">
        <f>EZBC!F122</f>
        <v>5664.02</v>
      </c>
      <c r="J123" s="38">
        <f>GBTC!K122</f>
        <v>137952.40489999999</v>
      </c>
      <c r="K123" s="38">
        <f>HODL!H122</f>
        <v>16375.349</v>
      </c>
      <c r="L123" s="38">
        <f>IBIT!G122</f>
        <v>750302.30130000005</v>
      </c>
      <c r="M123" s="98">
        <f>SUM(btc_ratios3[[#This Row],[ARKB]:[IBIT]])</f>
        <v>1040687.8913</v>
      </c>
      <c r="N123" s="98">
        <f>btc_ratios3[[#This Row],[Sum]]-M122</f>
        <v>-6703.7150999999139</v>
      </c>
      <c r="O123" s="132">
        <f>btc_ratios3[[#This Row],[Sum]]/M122-1</f>
        <v>-6.4003903210961832E-3</v>
      </c>
      <c r="P123" s="136">
        <f>ARKB!H122</f>
        <v>59222.59</v>
      </c>
      <c r="Q123" s="136">
        <f>btc_ratios3[[#This Row],[Price]]-P122</f>
        <v>-445</v>
      </c>
      <c r="R123" s="137">
        <f>btc_ratios3[[#This Row],[Price]]/P122-1</f>
        <v>-7.457985147380719E-3</v>
      </c>
    </row>
    <row r="124" spans="1:18" ht="15" customHeight="1">
      <c r="A124" s="13" t="str">
        <f>scalars[[#This Row],[DOW]]</f>
        <v>Friday</v>
      </c>
      <c r="B124" s="28">
        <f t="shared" si="4"/>
        <v>46199</v>
      </c>
      <c r="C124" s="38">
        <f>ARKB!G123</f>
        <v>31349.0478</v>
      </c>
      <c r="D124" s="38">
        <f>BITB!H123</f>
        <v>36207.69</v>
      </c>
      <c r="E124" s="98">
        <f>BRRR!G126</f>
        <v>5863.14</v>
      </c>
      <c r="F124" s="38">
        <f>BTC!J123</f>
        <v>54661.5936</v>
      </c>
      <c r="G124" s="38">
        <f>BTCW!H123</f>
        <v>2310</v>
      </c>
      <c r="H124" s="38">
        <f>EZBC!F123</f>
        <v>5664.02</v>
      </c>
      <c r="J124" s="38">
        <f>GBTC!K123</f>
        <v>137946.73569999999</v>
      </c>
      <c r="K124" s="38">
        <f>HODL!H123</f>
        <v>16177.370999999999</v>
      </c>
      <c r="L124" s="38">
        <f>IBIT!G123</f>
        <v>742870.64679999999</v>
      </c>
      <c r="M124" s="98">
        <f>SUM(btc_ratios3[[#This Row],[ARKB]:[IBIT]])</f>
        <v>1033050.2449</v>
      </c>
      <c r="N124" s="98">
        <f>btc_ratios3[[#This Row],[Sum]]-M123</f>
        <v>-7637.6463999999687</v>
      </c>
      <c r="O124" s="132">
        <f>btc_ratios3[[#This Row],[Sum]]/M123-1</f>
        <v>-7.339036481398109E-3</v>
      </c>
      <c r="P124" s="136">
        <f>ARKB!H123</f>
        <v>59813.1</v>
      </c>
      <c r="Q124" s="136">
        <f>btc_ratios3[[#This Row],[Price]]-P123</f>
        <v>590.51000000000204</v>
      </c>
      <c r="R124" s="137">
        <f>btc_ratios3[[#This Row],[Price]]/P123-1</f>
        <v>9.9710262587300313E-3</v>
      </c>
    </row>
    <row r="125" spans="1:18" ht="15" customHeight="1">
      <c r="A125" s="13" t="str">
        <f>scalars[[#This Row],[DOW]]</f>
        <v>Saturday</v>
      </c>
      <c r="B125" s="28">
        <f t="shared" si="4"/>
        <v>46200</v>
      </c>
      <c r="M125" s="98"/>
      <c r="N125" s="98"/>
      <c r="O125" s="132"/>
      <c r="P125" s="136"/>
      <c r="Q125" s="136"/>
      <c r="R125" s="137"/>
    </row>
    <row r="126" spans="1:18" ht="15" customHeight="1">
      <c r="A126" s="13" t="str">
        <f>scalars[[#This Row],[DOW]]</f>
        <v>Sunday</v>
      </c>
      <c r="B126" s="28">
        <f t="shared" si="4"/>
        <v>46201</v>
      </c>
      <c r="M126" s="98"/>
      <c r="N126" s="98"/>
      <c r="O126" s="132"/>
      <c r="P126" s="136"/>
      <c r="Q126" s="136"/>
      <c r="R126" s="137"/>
    </row>
    <row r="127" spans="1:18" ht="15" customHeight="1">
      <c r="A127" s="13" t="str">
        <f>scalars[[#This Row],[DOW]]</f>
        <v>Monday</v>
      </c>
      <c r="B127" s="28">
        <f t="shared" si="4"/>
        <v>46202</v>
      </c>
      <c r="C127" s="38">
        <f>ARKB!G126</f>
        <v>32178.227999999999</v>
      </c>
      <c r="D127" s="38">
        <f>BITB!H126</f>
        <v>36207.69</v>
      </c>
      <c r="E127" s="98">
        <f>BRRR!G127</f>
        <v>5863.1</v>
      </c>
      <c r="F127" s="38">
        <f>BTC!J126</f>
        <v>54660.919699999999</v>
      </c>
      <c r="G127" s="38">
        <f>BTCW!H126</f>
        <v>2310</v>
      </c>
      <c r="H127" s="38">
        <f>EZBC!F126</f>
        <v>5664.02</v>
      </c>
      <c r="J127" s="38">
        <f>GBTC!K126</f>
        <v>137929.7292</v>
      </c>
      <c r="K127" s="38">
        <f>HODL!H126</f>
        <v>16177.368</v>
      </c>
      <c r="L127" s="38">
        <f>IBIT!G126</f>
        <v>737886.08700000006</v>
      </c>
      <c r="M127" s="98">
        <f>SUM(btc_ratios3[[#This Row],[ARKB]:[IBIT]])</f>
        <v>1028877.1419</v>
      </c>
      <c r="N127" s="98">
        <f>btc_ratios3[[#This Row],[Sum]]-M124</f>
        <v>-4173.1030000000028</v>
      </c>
      <c r="O127" s="132">
        <f>btc_ratios3[[#This Row],[Sum]]/M124-1</f>
        <v>-4.039593447271228E-3</v>
      </c>
      <c r="P127" s="136">
        <f>ARKB!H126</f>
        <v>60263.11</v>
      </c>
      <c r="Q127" s="136">
        <f>btc_ratios3[[#This Row],[Price]]-P124</f>
        <v>450.01000000000204</v>
      </c>
      <c r="R127" s="137">
        <f>btc_ratios3[[#This Row],[Price]]/P124-1</f>
        <v>7.523602689043063E-3</v>
      </c>
    </row>
    <row r="128" spans="1:18" ht="15" customHeight="1">
      <c r="A128" s="13" t="str">
        <f>scalars[[#This Row],[DOW]]</f>
        <v>Tuesday</v>
      </c>
      <c r="B128" s="28">
        <f t="shared" si="4"/>
        <v>46203</v>
      </c>
      <c r="C128" s="38">
        <f>ARKB!G127</f>
        <v>32178.227999999999</v>
      </c>
      <c r="D128" s="38">
        <f>BITB!H127</f>
        <v>36201.24</v>
      </c>
      <c r="E128" s="168">
        <f>E127</f>
        <v>5863.1</v>
      </c>
      <c r="F128" s="38">
        <f>BTC!J127</f>
        <v>54280.400500000003</v>
      </c>
      <c r="G128" s="38">
        <f>BTCW!H127</f>
        <v>2310</v>
      </c>
      <c r="H128" s="38">
        <f>EZBC!F127</f>
        <v>5664.02</v>
      </c>
      <c r="J128" s="38">
        <f>GBTC!K127</f>
        <v>138505.7568</v>
      </c>
      <c r="K128" s="38">
        <f>HODL!H127</f>
        <v>16241.008</v>
      </c>
      <c r="L128" s="38">
        <f>IBIT!G127</f>
        <v>734261.02650000004</v>
      </c>
      <c r="M128" s="98">
        <f>SUM(btc_ratios3[[#This Row],[ARKB]:[IBIT]])</f>
        <v>1025504.7798</v>
      </c>
      <c r="N128" s="98">
        <f>btc_ratios3[[#This Row],[Sum]]-M127</f>
        <v>-3372.3621000000276</v>
      </c>
      <c r="O128" s="132">
        <f>btc_ratios3[[#This Row],[Sum]]/M127-1</f>
        <v>-3.2777111694525241E-3</v>
      </c>
      <c r="P128" s="136">
        <f>ARKB!H127</f>
        <v>58605.41</v>
      </c>
      <c r="Q128" s="136">
        <f>btc_ratios3[[#This Row],[Price]]-P127</f>
        <v>-1657.6999999999971</v>
      </c>
      <c r="R128" s="137">
        <f>btc_ratios3[[#This Row],[Price]]/P127-1</f>
        <v>-2.7507707451540409E-2</v>
      </c>
    </row>
    <row r="129" spans="1:18" ht="15" customHeight="1">
      <c r="A129" s="13" t="str">
        <f>scalars[[#This Row],[DOW]]</f>
        <v>Wednesday</v>
      </c>
      <c r="B129" s="28">
        <f t="shared" si="4"/>
        <v>46204</v>
      </c>
      <c r="C129" s="38">
        <f>ARKB!G128</f>
        <v>31514.891599999999</v>
      </c>
      <c r="D129" s="38">
        <f>BITB!H128</f>
        <v>36201.24</v>
      </c>
      <c r="E129" s="98">
        <f>BRRR!G129</f>
        <v>5891.22</v>
      </c>
      <c r="F129" s="38">
        <f>BTC!J128</f>
        <v>54280.1774</v>
      </c>
      <c r="G129" s="38">
        <f>BTCW!H128</f>
        <v>2310</v>
      </c>
      <c r="H129" s="38">
        <f>EZBC!F128</f>
        <v>5721.8</v>
      </c>
      <c r="J129" s="38">
        <f>GBTC!K128</f>
        <v>138500.06479999999</v>
      </c>
      <c r="K129" s="38">
        <f>HODL!H128</f>
        <v>16241.009</v>
      </c>
      <c r="L129" s="38">
        <f>IBIT!G128</f>
        <v>730613.27800000005</v>
      </c>
      <c r="M129" s="98">
        <f>SUM(btc_ratios3[[#This Row],[ARKB]:[IBIT]])</f>
        <v>1021273.6808</v>
      </c>
      <c r="N129" s="98">
        <f>btc_ratios3[[#This Row],[Sum]]-M128</f>
        <v>-4231.0990000000456</v>
      </c>
      <c r="O129" s="132">
        <f>btc_ratios3[[#This Row],[Sum]]/M128-1</f>
        <v>-4.1258696042598686E-3</v>
      </c>
      <c r="P129" s="136">
        <f>ARKB!H128</f>
        <v>60145.9</v>
      </c>
      <c r="Q129" s="136">
        <f>btc_ratios3[[#This Row],[Price]]-P128</f>
        <v>1540.489999999998</v>
      </c>
      <c r="R129" s="137">
        <f>btc_ratios3[[#This Row],[Price]]/P128-1</f>
        <v>2.6285798529521287E-2</v>
      </c>
    </row>
    <row r="130" spans="1:18" ht="15" customHeight="1">
      <c r="A130" s="13" t="str">
        <f>scalars[[#This Row],[DOW]]</f>
        <v>Thursday</v>
      </c>
      <c r="B130" s="28">
        <f t="shared" si="4"/>
        <v>46205</v>
      </c>
      <c r="C130" s="38">
        <f>ARKB!G129</f>
        <v>33007.363400000002</v>
      </c>
      <c r="D130" s="38">
        <f>BITB!H129</f>
        <v>36201.24</v>
      </c>
      <c r="E130" s="98">
        <f>BRRR!G133</f>
        <v>5891.05</v>
      </c>
      <c r="F130" s="38">
        <f>BTC!J129</f>
        <v>54885.767500000002</v>
      </c>
      <c r="G130" s="38">
        <f>BTCW!H129</f>
        <v>2310</v>
      </c>
      <c r="H130" s="38">
        <f>EZBC!F129</f>
        <v>5721.8</v>
      </c>
      <c r="J130" s="38">
        <f>GBTC!K129</f>
        <v>137447.40640000001</v>
      </c>
      <c r="K130" s="38">
        <f>HODL!H129</f>
        <v>16276.361000000001</v>
      </c>
      <c r="L130" s="38">
        <f>IBIT!G129</f>
        <v>729956.19739999995</v>
      </c>
      <c r="M130" s="98">
        <f>SUM(btc_ratios3[[#This Row],[ARKB]:[IBIT]])</f>
        <v>1021697.1856999999</v>
      </c>
      <c r="N130" s="98">
        <f>btc_ratios3[[#This Row],[Sum]]-M129</f>
        <v>423.5048999999417</v>
      </c>
      <c r="O130" s="132">
        <f>btc_ratios3[[#This Row],[Sum]]/M129-1</f>
        <v>4.1468306484526707E-4</v>
      </c>
      <c r="P130" s="136">
        <f>ARKB!H129</f>
        <v>61534.49</v>
      </c>
      <c r="Q130" s="136">
        <f>btc_ratios3[[#This Row],[Price]]-P129</f>
        <v>1388.5899999999965</v>
      </c>
      <c r="R130" s="137">
        <f>btc_ratios3[[#This Row],[Price]]/P129-1</f>
        <v>2.3087026713375147E-2</v>
      </c>
    </row>
    <row r="131" spans="1:18" ht="15" customHeight="1">
      <c r="A131" s="13" t="str">
        <f>scalars[[#This Row],[DOW]]</f>
        <v>Friday</v>
      </c>
      <c r="B131" s="28">
        <f t="shared" si="4"/>
        <v>46206</v>
      </c>
      <c r="M131" s="170" t="s">
        <v>73</v>
      </c>
      <c r="N131" s="98"/>
      <c r="O131" s="132"/>
      <c r="P131" s="136"/>
      <c r="Q131" s="136"/>
      <c r="R131" s="137"/>
    </row>
    <row r="132" spans="1:18" ht="15" customHeight="1">
      <c r="A132" s="13" t="str">
        <f>scalars[[#This Row],[DOW]]</f>
        <v>Saturday</v>
      </c>
      <c r="B132" s="28">
        <f t="shared" si="4"/>
        <v>46207</v>
      </c>
      <c r="M132" s="98"/>
      <c r="N132" s="98"/>
      <c r="O132" s="132"/>
      <c r="P132" s="136"/>
      <c r="Q132" s="136"/>
      <c r="R132" s="137"/>
    </row>
    <row r="133" spans="1:18" ht="15" customHeight="1">
      <c r="A133" s="13" t="str">
        <f>scalars[[#This Row],[DOW]]</f>
        <v>Sunday</v>
      </c>
      <c r="B133" s="28">
        <f t="shared" si="4"/>
        <v>46208</v>
      </c>
      <c r="M133" s="98"/>
      <c r="N133" s="98"/>
      <c r="O133" s="132"/>
      <c r="P133" s="136"/>
      <c r="Q133" s="136"/>
      <c r="R133" s="137"/>
    </row>
    <row r="134" spans="1:18" ht="15" customHeight="1">
      <c r="A134" s="13" t="str">
        <f>scalars[[#This Row],[DOW]]</f>
        <v>Monday</v>
      </c>
      <c r="B134" s="28">
        <f t="shared" si="4"/>
        <v>46209</v>
      </c>
      <c r="C134" s="38">
        <f>ARKB!G133</f>
        <v>33524.750699999997</v>
      </c>
      <c r="D134" s="38">
        <f>BITB!H133</f>
        <v>36277.230000000003</v>
      </c>
      <c r="E134" s="98">
        <f>BRRR!G134</f>
        <v>5891.01</v>
      </c>
      <c r="F134" s="38">
        <f>BTC!J133</f>
        <v>54884.865299999998</v>
      </c>
      <c r="G134" s="38">
        <f>BTCW!H133</f>
        <v>2309</v>
      </c>
      <c r="H134" s="38">
        <f>EZBC!F133</f>
        <v>5721.8</v>
      </c>
      <c r="J134" s="38">
        <f>GBTC!K133</f>
        <v>137424.8137</v>
      </c>
      <c r="K134" s="38">
        <f>HODL!H133</f>
        <v>16347.067999999999</v>
      </c>
      <c r="L134" s="38">
        <f>IBIT!G133</f>
        <v>733241.3162</v>
      </c>
      <c r="M134" s="98">
        <f>SUM(btc_ratios3[[#This Row],[ARKB]:[IBIT]])</f>
        <v>1025621.8539</v>
      </c>
      <c r="N134" s="98">
        <f>btc_ratios3[[#This Row],[Sum]]-M130</f>
        <v>3924.6682000000728</v>
      </c>
      <c r="O134" s="132">
        <f>btc_ratios3[[#This Row],[Sum]]/M130-1</f>
        <v>3.8413223163682453E-3</v>
      </c>
      <c r="P134" s="136">
        <f>ARKB!H133</f>
        <v>63741.3</v>
      </c>
      <c r="Q134" s="136">
        <f>btc_ratios3[[#This Row],[Price]]-P130</f>
        <v>2206.8100000000049</v>
      </c>
      <c r="R134" s="137">
        <f>btc_ratios3[[#This Row],[Price]]/P130-1</f>
        <v>3.5862977006878571E-2</v>
      </c>
    </row>
    <row r="135" spans="1:18" ht="15" customHeight="1">
      <c r="A135" s="13" t="str">
        <f>scalars[[#This Row],[DOW]]</f>
        <v>Tuesday</v>
      </c>
      <c r="B135" s="28">
        <f t="shared" si="4"/>
        <v>46210</v>
      </c>
      <c r="C135" s="38">
        <f>ARKB!G134</f>
        <v>33392.088000000003</v>
      </c>
      <c r="D135" s="38">
        <f>BITB!H134</f>
        <v>36277.230000000003</v>
      </c>
      <c r="E135" s="98">
        <f>BRRR!G135</f>
        <v>5890.97</v>
      </c>
      <c r="F135" s="38">
        <f>BTC!J134</f>
        <v>55547.9251</v>
      </c>
      <c r="G135" s="38">
        <f>BTCW!H134</f>
        <v>2309</v>
      </c>
      <c r="H135" s="38">
        <f>EZBC!F134</f>
        <v>5721.8</v>
      </c>
      <c r="J135" s="38">
        <f>GBTC!K134</f>
        <v>136721.33180000001</v>
      </c>
      <c r="K135" s="38">
        <f>HODL!H134</f>
        <v>16347.067999999999</v>
      </c>
      <c r="L135" s="38">
        <f>IBIT!G134</f>
        <v>733946.60380000004</v>
      </c>
      <c r="M135" s="98">
        <f>SUM(btc_ratios3[[#This Row],[ARKB]:[IBIT]])</f>
        <v>1026154.0167</v>
      </c>
      <c r="N135" s="98">
        <f>btc_ratios3[[#This Row],[Sum]]-M134</f>
        <v>532.16280000004917</v>
      </c>
      <c r="O135" s="132">
        <f>btc_ratios3[[#This Row],[Sum]]/M134-1</f>
        <v>5.1886842892101548E-4</v>
      </c>
      <c r="P135" s="136">
        <f>ARKB!H134</f>
        <v>63651.13</v>
      </c>
      <c r="Q135" s="136">
        <f>btc_ratios3[[#This Row],[Price]]-P134</f>
        <v>-90.17000000000553</v>
      </c>
      <c r="R135" s="137">
        <f>btc_ratios3[[#This Row],[Price]]/P134-1</f>
        <v>-1.4146244271767694E-3</v>
      </c>
    </row>
    <row r="136" spans="1:18" ht="15" customHeight="1">
      <c r="A136" s="13" t="str">
        <f>scalars[[#This Row],[DOW]]</f>
        <v>Wednesday</v>
      </c>
      <c r="B136" s="28">
        <f t="shared" si="4"/>
        <v>46211</v>
      </c>
      <c r="C136" s="38">
        <f>ARKB!G135</f>
        <v>33392.088000000003</v>
      </c>
      <c r="D136" s="38">
        <f>BITB!H135</f>
        <v>36277.230000000003</v>
      </c>
      <c r="E136" s="98">
        <f>BRRR!G136</f>
        <v>5890.93</v>
      </c>
      <c r="F136" s="38">
        <f>BTC!J135</f>
        <v>55547.696799999998</v>
      </c>
      <c r="G136" s="38">
        <f>BTCW!H135</f>
        <v>2309</v>
      </c>
      <c r="H136" s="38">
        <f>EZBC!F135</f>
        <v>5721.8</v>
      </c>
      <c r="J136" s="38">
        <f>GBTC!K135</f>
        <v>136715.71309999999</v>
      </c>
      <c r="K136" s="38">
        <f>HODL!H135</f>
        <v>16347.066000000001</v>
      </c>
      <c r="L136" s="38">
        <f>IBIT!G135</f>
        <v>732995.06680000003</v>
      </c>
      <c r="M136" s="98">
        <f>SUM(btc_ratios3[[#This Row],[ARKB]:[IBIT]])</f>
        <v>1025196.5907000001</v>
      </c>
      <c r="N136" s="98">
        <f>btc_ratios3[[#This Row],[Sum]]-M135</f>
        <v>-957.42599999997765</v>
      </c>
      <c r="O136" s="132">
        <f>btc_ratios3[[#This Row],[Sum]]/M135-1</f>
        <v>-9.3302368301295679E-4</v>
      </c>
      <c r="P136" s="136">
        <f>ARKB!H135</f>
        <v>62140.83</v>
      </c>
      <c r="Q136" s="136">
        <f>btc_ratios3[[#This Row],[Price]]-P135</f>
        <v>-1510.2999999999956</v>
      </c>
      <c r="R136" s="137">
        <f>btc_ratios3[[#This Row],[Price]]/P135-1</f>
        <v>-2.3727779852455E-2</v>
      </c>
    </row>
    <row r="137" spans="1:18" ht="15" customHeight="1">
      <c r="A137" s="13" t="str">
        <f>scalars[[#This Row],[DOW]]</f>
        <v>Thursday</v>
      </c>
      <c r="B137" s="28">
        <f t="shared" ref="B137:B200" si="6">B136+1</f>
        <v>46212</v>
      </c>
      <c r="C137" s="38">
        <f>ARKB!G136</f>
        <v>32760.289799999999</v>
      </c>
      <c r="D137" s="38">
        <f>BITB!H136</f>
        <v>36282.660000000003</v>
      </c>
      <c r="E137" s="98">
        <f>BRRR!G137</f>
        <v>5890.89</v>
      </c>
      <c r="F137" s="38">
        <f>BTC!J136</f>
        <v>56396.466899999999</v>
      </c>
      <c r="G137" s="38">
        <f>BTCW!H136</f>
        <v>2309</v>
      </c>
      <c r="H137" s="38">
        <f>EZBC!F136</f>
        <v>5721.8</v>
      </c>
      <c r="J137" s="38">
        <f>GBTC!K136</f>
        <v>135686.68840000001</v>
      </c>
      <c r="K137" s="38">
        <f>HODL!H136</f>
        <v>16347.065000000001</v>
      </c>
      <c r="L137" s="38">
        <f>IBIT!G136</f>
        <v>732995.06680000003</v>
      </c>
      <c r="M137" s="98">
        <f>SUM(btc_ratios3[[#This Row],[ARKB]:[IBIT]])</f>
        <v>1024389.9269000001</v>
      </c>
      <c r="N137" s="98">
        <f>btc_ratios3[[#This Row],[Sum]]-M136</f>
        <v>-806.66379999998026</v>
      </c>
      <c r="O137" s="132">
        <f>btc_ratios3[[#This Row],[Sum]]/M136-1</f>
        <v>-7.8683816091229541E-4</v>
      </c>
      <c r="P137" s="136">
        <f>ARKB!H136</f>
        <v>63198.25</v>
      </c>
      <c r="Q137" s="136">
        <f>btc_ratios3[[#This Row],[Price]]-P136</f>
        <v>1057.4199999999983</v>
      </c>
      <c r="R137" s="137">
        <f>btc_ratios3[[#This Row],[Price]]/P136-1</f>
        <v>1.7016509113251255E-2</v>
      </c>
    </row>
    <row r="138" spans="1:18" ht="15" customHeight="1">
      <c r="A138" s="13" t="str">
        <f>scalars[[#This Row],[DOW]]</f>
        <v>Friday</v>
      </c>
      <c r="B138" s="28">
        <f t="shared" si="6"/>
        <v>46213</v>
      </c>
      <c r="C138" s="38">
        <f>ARKB!G137</f>
        <v>32760.289799999999</v>
      </c>
      <c r="D138" s="38">
        <f>BITB!H137</f>
        <v>36282.660000000003</v>
      </c>
      <c r="E138" s="98">
        <f>BRRR!G140</f>
        <v>5890.77</v>
      </c>
      <c r="F138" s="38">
        <f>BTC!J137</f>
        <v>56396.235099999998</v>
      </c>
      <c r="G138" s="38">
        <f>BTCW!H137</f>
        <v>2309</v>
      </c>
      <c r="H138" s="38">
        <f>EZBC!F137</f>
        <v>5721.8</v>
      </c>
      <c r="J138" s="38">
        <f>GBTC!K137</f>
        <v>135681.1122</v>
      </c>
      <c r="K138" s="38">
        <f>HODL!H137</f>
        <v>16431.913</v>
      </c>
      <c r="L138" s="38">
        <f>IBIT!G137</f>
        <v>734354.38899999997</v>
      </c>
      <c r="M138" s="98">
        <f>SUM(btc_ratios3[[#This Row],[ARKB]:[IBIT]])</f>
        <v>1025828.1691000001</v>
      </c>
      <c r="N138" s="98">
        <f>btc_ratios3[[#This Row],[Sum]]-M137</f>
        <v>1438.2421999999788</v>
      </c>
      <c r="O138" s="132">
        <f>btc_ratios3[[#This Row],[Sum]]/M137-1</f>
        <v>1.4039987725693592E-3</v>
      </c>
      <c r="P138" s="136">
        <f>ARKB!H137</f>
        <v>63874.94</v>
      </c>
      <c r="Q138" s="136">
        <f>btc_ratios3[[#This Row],[Price]]-P137</f>
        <v>676.69000000000233</v>
      </c>
      <c r="R138" s="137">
        <f>btc_ratios3[[#This Row],[Price]]/P137-1</f>
        <v>1.0707416740178832E-2</v>
      </c>
    </row>
    <row r="139" spans="1:18" ht="15" customHeight="1">
      <c r="A139" s="13" t="str">
        <f>scalars[[#This Row],[DOW]]</f>
        <v>Saturday</v>
      </c>
      <c r="B139" s="28">
        <f t="shared" si="6"/>
        <v>46214</v>
      </c>
      <c r="M139" s="98"/>
      <c r="N139" s="98"/>
      <c r="O139" s="132"/>
      <c r="P139" s="136"/>
      <c r="Q139" s="136"/>
      <c r="R139" s="137"/>
    </row>
    <row r="140" spans="1:18" ht="15" customHeight="1">
      <c r="A140" s="13" t="str">
        <f>scalars[[#This Row],[DOW]]</f>
        <v>Sunday</v>
      </c>
      <c r="B140" s="28">
        <f t="shared" si="6"/>
        <v>46215</v>
      </c>
      <c r="M140" s="98"/>
      <c r="N140" s="98"/>
      <c r="O140" s="132"/>
      <c r="P140" s="136"/>
      <c r="Q140" s="136"/>
      <c r="R140" s="137"/>
    </row>
    <row r="141" spans="1:18" ht="15" customHeight="1">
      <c r="A141" s="13" t="str">
        <f>scalars[[#This Row],[DOW]]</f>
        <v>Monday</v>
      </c>
      <c r="B141" s="28">
        <f t="shared" si="6"/>
        <v>46216</v>
      </c>
      <c r="C141" s="38">
        <f>ARKB!G140</f>
        <v>32757.789799999999</v>
      </c>
      <c r="D141" s="38">
        <f>BITB!H140</f>
        <v>36282.660000000003</v>
      </c>
      <c r="E141" s="98">
        <f>BRRR!G141</f>
        <v>5890.73</v>
      </c>
      <c r="F141" s="38">
        <f>BTC!J140</f>
        <v>56395.539799999999</v>
      </c>
      <c r="G141" s="38">
        <f>BTCW!H140</f>
        <v>2309</v>
      </c>
      <c r="H141" s="38">
        <f>EZBC!F140</f>
        <v>5720.89</v>
      </c>
      <c r="J141" s="38">
        <f>GBTC!K140</f>
        <v>135664.38510000001</v>
      </c>
      <c r="K141" s="38">
        <f>HODL!H140</f>
        <v>16488.478999999999</v>
      </c>
      <c r="L141" s="38">
        <f>IBIT!G140</f>
        <v>731363.94909999997</v>
      </c>
      <c r="M141" s="98">
        <f>SUM(btc_ratios3[[#This Row],[ARKB]:[IBIT]])</f>
        <v>1022873.4228000001</v>
      </c>
      <c r="N141" s="98">
        <f>btc_ratios3[[#This Row],[Sum]]-M138</f>
        <v>-2954.7462999999989</v>
      </c>
      <c r="O141" s="132">
        <f>btc_ratios3[[#This Row],[Sum]]/M138-1</f>
        <v>-2.8803520794250526E-3</v>
      </c>
      <c r="P141" s="136">
        <f>ARKB!H140</f>
        <v>62031.75</v>
      </c>
      <c r="Q141" s="136">
        <f>btc_ratios3[[#This Row],[Price]]-P138</f>
        <v>-1843.1900000000023</v>
      </c>
      <c r="R141" s="137">
        <f>btc_ratios3[[#This Row],[Price]]/P138-1</f>
        <v>-2.8856230628161894E-2</v>
      </c>
    </row>
    <row r="142" spans="1:18" ht="15" customHeight="1">
      <c r="A142" s="13" t="str">
        <f>scalars[[#This Row],[DOW]]</f>
        <v>Tuesday</v>
      </c>
      <c r="B142" s="28">
        <f t="shared" si="6"/>
        <v>46217</v>
      </c>
      <c r="C142" s="38">
        <f>ARKB!G141</f>
        <v>32814.169099999999</v>
      </c>
      <c r="D142" s="38">
        <f>BITB!H141</f>
        <v>36336.94</v>
      </c>
      <c r="E142" s="98">
        <f>BRRR!G142</f>
        <v>5890.69</v>
      </c>
      <c r="F142" s="38">
        <f>BTC!J141</f>
        <v>57253.1325</v>
      </c>
      <c r="G142" s="38">
        <f>BTCW!H141</f>
        <v>2309</v>
      </c>
      <c r="H142" s="38">
        <f>EZBC!F141</f>
        <v>5720.89</v>
      </c>
      <c r="J142" s="38">
        <f>GBTC!K141</f>
        <v>134806.1465</v>
      </c>
      <c r="K142" s="38">
        <f>HODL!H141</f>
        <v>16587.466</v>
      </c>
      <c r="L142" s="38">
        <f>IBIT!G141</f>
        <v>733516.15300000005</v>
      </c>
      <c r="M142" s="98">
        <f>SUM(btc_ratios3[[#This Row],[ARKB]:[IBIT]])</f>
        <v>1025234.5871000001</v>
      </c>
      <c r="N142" s="98">
        <f>btc_ratios3[[#This Row],[Sum]]-M141</f>
        <v>2361.1643000000622</v>
      </c>
      <c r="O142" s="132">
        <f>btc_ratios3[[#This Row],[Change]]/M141</f>
        <v>2.3083641116968729E-3</v>
      </c>
      <c r="P142" s="136">
        <f>ARKB!H141</f>
        <v>64544.87</v>
      </c>
      <c r="Q142" s="136">
        <f>btc_ratios3[[#This Row],[Price]]-P141</f>
        <v>2513.1200000000026</v>
      </c>
      <c r="R142" s="137">
        <f>btc_ratios3[[#This Row],[Price Change]]/P141</f>
        <v>4.0513446742998588E-2</v>
      </c>
    </row>
    <row r="143" spans="1:18" ht="15" customHeight="1">
      <c r="A143" s="13" t="str">
        <f>scalars[[#This Row],[DOW]]</f>
        <v>Wednesday</v>
      </c>
      <c r="B143" s="28">
        <f t="shared" si="6"/>
        <v>46218</v>
      </c>
      <c r="C143" s="38">
        <f>ARKB!G142</f>
        <v>32814.169099999999</v>
      </c>
      <c r="D143" s="38">
        <f>BITB!H142</f>
        <v>36336.94</v>
      </c>
      <c r="E143" s="98">
        <f>BRRR!G143</f>
        <v>5890.65</v>
      </c>
      <c r="F143" s="38">
        <f>BTC!J142</f>
        <v>57354.597600000001</v>
      </c>
      <c r="G143" s="38">
        <f>BTCW!H142</f>
        <v>2309</v>
      </c>
      <c r="H143" s="38">
        <f>EZBC!F142</f>
        <v>5720.89</v>
      </c>
      <c r="J143" s="38">
        <f>GBTC!K142</f>
        <v>134800.60649999999</v>
      </c>
      <c r="K143" s="38">
        <f>HODL!H142</f>
        <v>16587.46</v>
      </c>
      <c r="L143" s="38">
        <f>IBIT!G142</f>
        <v>734762.15099999995</v>
      </c>
      <c r="M143" s="98">
        <f>SUM(btc_ratios3[[#This Row],[ARKB]:[IBIT]])</f>
        <v>1026576.4642</v>
      </c>
      <c r="N143" s="98">
        <f>btc_ratios3[[#This Row],[Sum]]-M142</f>
        <v>1341.8770999999251</v>
      </c>
      <c r="O143" s="132">
        <f>btc_ratios3[[#This Row],[Change]]/M142</f>
        <v>1.308848839947535E-3</v>
      </c>
      <c r="P143" s="136">
        <f>ARKB!H142</f>
        <v>64862.14</v>
      </c>
      <c r="Q143" s="136">
        <f>btc_ratios3[[#This Row],[Price]]-P142</f>
        <v>317.2699999999968</v>
      </c>
      <c r="R143" s="137">
        <f>btc_ratios3[[#This Row],[Price Change]]/P142</f>
        <v>4.9154952206115956E-3</v>
      </c>
    </row>
    <row r="144" spans="1:18" ht="15" customHeight="1">
      <c r="A144" s="13" t="str">
        <f>scalars[[#This Row],[DOW]]</f>
        <v>Thursday</v>
      </c>
      <c r="B144" s="28">
        <f t="shared" si="6"/>
        <v>46219</v>
      </c>
      <c r="C144" s="38">
        <f>ARKB!G143</f>
        <v>32814.169099999999</v>
      </c>
      <c r="D144" s="38">
        <f>BITB!H143</f>
        <v>36570.33</v>
      </c>
      <c r="E144" s="98">
        <f>BRRR!G144</f>
        <v>5890.61</v>
      </c>
      <c r="F144" s="38">
        <f>BTC!J143</f>
        <v>57509.122799999997</v>
      </c>
      <c r="G144" s="38">
        <f>BTCW!H143</f>
        <v>2309</v>
      </c>
      <c r="H144" s="38">
        <f>EZBC!F143</f>
        <v>5720.89</v>
      </c>
      <c r="J144" s="38">
        <f>GBTC!K143</f>
        <v>134795.0668</v>
      </c>
      <c r="K144" s="38">
        <f>HODL!H143</f>
        <v>16587.458999999999</v>
      </c>
      <c r="L144" s="38">
        <f>IBIT!G143</f>
        <v>735283.19799999997</v>
      </c>
      <c r="M144" s="98">
        <f>SUM(btc_ratios3[[#This Row],[ARKB]:[IBIT]])</f>
        <v>1027479.8456999999</v>
      </c>
      <c r="N144" s="98">
        <f>btc_ratios3[[#This Row],[Sum]]-M143</f>
        <v>903.38149999990128</v>
      </c>
      <c r="O144" s="132">
        <f>btc_ratios3[[#This Row],[Change]]/M143</f>
        <v>8.7999436135904083E-4</v>
      </c>
      <c r="P144" s="136">
        <f>ARKB!H143</f>
        <v>64185.440000000002</v>
      </c>
      <c r="Q144" s="136">
        <f>btc_ratios3[[#This Row],[Price]]-P143</f>
        <v>-676.69999999999709</v>
      </c>
      <c r="R144" s="137">
        <f>btc_ratios3[[#This Row],[Price Change]]/P143</f>
        <v>-1.0432896601931375E-2</v>
      </c>
    </row>
    <row r="145" spans="1:18" ht="15" customHeight="1">
      <c r="A145" s="13" t="str">
        <f>scalars[[#This Row],[DOW]]</f>
        <v>Friday</v>
      </c>
      <c r="B145" s="28">
        <f t="shared" si="6"/>
        <v>46220</v>
      </c>
      <c r="C145" s="38">
        <f>ARKB!G144</f>
        <v>32814.169099999999</v>
      </c>
      <c r="D145" s="38">
        <f>BITB!H144</f>
        <v>36570.33</v>
      </c>
      <c r="E145" s="178">
        <f>BRRR!G147</f>
        <v>5890.49</v>
      </c>
      <c r="F145" s="38">
        <f>BTC!J144</f>
        <v>57508.886500000001</v>
      </c>
      <c r="G145" s="38">
        <f>BTCW!H144</f>
        <v>2309</v>
      </c>
      <c r="H145" s="38">
        <f>EZBC!F144</f>
        <v>5720.89</v>
      </c>
      <c r="J145" s="38">
        <f>GBTC!K144</f>
        <v>134789.52729999999</v>
      </c>
      <c r="K145" s="38">
        <f>HODL!H144</f>
        <v>16587.462</v>
      </c>
      <c r="L145" s="38">
        <f>IBIT!G144</f>
        <v>737412.70169999998</v>
      </c>
      <c r="M145" s="98">
        <f>SUM(btc_ratios3[[#This Row],[ARKB]:[IBIT]])</f>
        <v>1029603.4565999999</v>
      </c>
      <c r="N145" s="98">
        <f>btc_ratios3[[#This Row],[Sum]]-M144</f>
        <v>2123.6108999999706</v>
      </c>
      <c r="O145" s="132">
        <f>btc_ratios3[[#This Row],[Change]]/M144</f>
        <v>2.0668151388927732E-3</v>
      </c>
      <c r="P145" s="136">
        <f>ARKB!H144</f>
        <v>64090.69</v>
      </c>
      <c r="Q145" s="136">
        <f>btc_ratios3[[#This Row],[Price]]-P144</f>
        <v>-94.75</v>
      </c>
      <c r="R145" s="137">
        <f>btc_ratios3[[#This Row],[Price Change]]/P144</f>
        <v>-1.4761914851717148E-3</v>
      </c>
    </row>
    <row r="146" spans="1:18" ht="15" customHeight="1">
      <c r="A146" s="13" t="str">
        <f>scalars[[#This Row],[DOW]]</f>
        <v>Saturday</v>
      </c>
      <c r="B146" s="28">
        <f t="shared" si="6"/>
        <v>46221</v>
      </c>
      <c r="M146" s="98"/>
      <c r="N146" s="98"/>
      <c r="O146" s="132"/>
      <c r="P146" s="136"/>
      <c r="Q146" s="136"/>
      <c r="R146" s="137"/>
    </row>
    <row r="147" spans="1:18" ht="15" customHeight="1">
      <c r="A147" s="13" t="str">
        <f>scalars[[#This Row],[DOW]]</f>
        <v>Sunday</v>
      </c>
      <c r="B147" s="28">
        <f t="shared" si="6"/>
        <v>46222</v>
      </c>
      <c r="M147" s="98"/>
      <c r="N147" s="98"/>
      <c r="O147" s="132"/>
      <c r="P147" s="136"/>
      <c r="Q147" s="136"/>
      <c r="R147" s="137"/>
    </row>
    <row r="148" spans="1:18" ht="15" customHeight="1">
      <c r="A148" s="13" t="str">
        <f>scalars[[#This Row],[DOW]]</f>
        <v>Monday</v>
      </c>
      <c r="B148" s="28">
        <f t="shared" si="6"/>
        <v>46223</v>
      </c>
      <c r="C148" s="38">
        <f>ARKB!G147</f>
        <v>33931.766199999998</v>
      </c>
      <c r="D148" s="38">
        <f>BITB!H147</f>
        <v>36706.03</v>
      </c>
      <c r="E148" s="98">
        <f>BRRR!G148</f>
        <v>5890.45</v>
      </c>
      <c r="F148" s="38">
        <f>BTC!J147</f>
        <v>57508.1774</v>
      </c>
      <c r="G148" s="38">
        <f>BTCW!H147</f>
        <v>2309</v>
      </c>
      <c r="H148" s="38">
        <f>EZBC!F147</f>
        <v>5720.89</v>
      </c>
      <c r="J148" s="38">
        <f>GBTC!K147</f>
        <v>134772.91010000001</v>
      </c>
      <c r="K148" s="38">
        <f>HODL!H147</f>
        <v>16587.467000000001</v>
      </c>
      <c r="L148" s="38">
        <f>IBIT!G147</f>
        <v>739202.35800000001</v>
      </c>
      <c r="M148" s="98">
        <f>SUM(btc_ratios3[[#This Row],[ARKB]:[IBIT]])</f>
        <v>1032629.0486999999</v>
      </c>
      <c r="N148" s="98">
        <f>btc_ratios3[[#This Row],[Sum]]-M145</f>
        <v>3025.5921000000089</v>
      </c>
      <c r="O148" s="132">
        <f>btc_ratios3[[#This Row],[Sum]]/M145-1</f>
        <v>2.9385994001915883E-3</v>
      </c>
      <c r="P148" s="136">
        <f>ARKB!H147</f>
        <v>65088.03</v>
      </c>
      <c r="Q148" s="136">
        <f>btc_ratios3[[#This Row],[Price]]-P145</f>
        <v>997.33999999999651</v>
      </c>
      <c r="R148" s="137">
        <f>btc_ratios3[[#This Row],[Price]]/P145-1</f>
        <v>1.5561386528994969E-2</v>
      </c>
    </row>
    <row r="149" spans="1:18" ht="15" customHeight="1">
      <c r="A149" s="13" t="str">
        <f>scalars[[#This Row],[DOW]]</f>
        <v>Tuesday</v>
      </c>
      <c r="B149" s="28">
        <f t="shared" si="6"/>
        <v>46224</v>
      </c>
      <c r="C149" s="38">
        <f>ARKB!G148</f>
        <v>34075.683100000002</v>
      </c>
      <c r="D149" s="38">
        <f>BITB!H148</f>
        <v>36706.03</v>
      </c>
      <c r="E149" s="98">
        <f>BRRR!G149</f>
        <v>5890.41</v>
      </c>
      <c r="F149" s="38">
        <f>BTC!J148</f>
        <v>58144.658499999998</v>
      </c>
      <c r="G149" s="38">
        <f>BTCW!H148</f>
        <v>2309</v>
      </c>
      <c r="H149" s="38">
        <f>EZBC!F148</f>
        <v>5720.89</v>
      </c>
      <c r="J149" s="38">
        <f>GBTC!K148</f>
        <v>134069.93849999999</v>
      </c>
      <c r="K149" s="38">
        <f>HODL!H148</f>
        <v>16615.742999999999</v>
      </c>
      <c r="L149" s="38">
        <f>IBIT!G148</f>
        <v>741671.60789999994</v>
      </c>
      <c r="M149" s="98">
        <f>SUM(btc_ratios3[[#This Row],[ARKB]:[IBIT]])</f>
        <v>1035203.9609999999</v>
      </c>
      <c r="N149" s="98">
        <f>btc_ratios3[[#This Row],[Sum]]-M148</f>
        <v>2574.9122999999672</v>
      </c>
      <c r="O149" s="132">
        <f>btc_ratios3[[#This Row],[Change]]/M148</f>
        <v>2.493550131328944E-3</v>
      </c>
      <c r="P149" s="136">
        <f>ARKB!H148</f>
        <v>66373.679999999993</v>
      </c>
      <c r="Q149" s="136">
        <f>btc_ratios3[[#This Row],[Price]]-P148</f>
        <v>1285.6499999999942</v>
      </c>
      <c r="R149" s="137">
        <f>btc_ratios3[[#This Row],[Price Change]]/P148</f>
        <v>1.9752479833849545E-2</v>
      </c>
    </row>
    <row r="150" spans="1:18" ht="15" customHeight="1">
      <c r="A150" s="13" t="str">
        <f>scalars[[#This Row],[DOW]]</f>
        <v>Wednesday</v>
      </c>
      <c r="B150" s="28">
        <f t="shared" si="6"/>
        <v>46225</v>
      </c>
      <c r="C150" s="38">
        <f>ARKB!G149</f>
        <v>34075.683100000002</v>
      </c>
      <c r="D150" s="38">
        <f>BITB!H149</f>
        <v>36787.440000000002</v>
      </c>
      <c r="E150" s="98">
        <f>BRRR!G150</f>
        <v>5890.37</v>
      </c>
      <c r="F150" s="38">
        <f>BTC!J149</f>
        <v>58241.695399999997</v>
      </c>
      <c r="G150" s="38">
        <f>BTCW!H149</f>
        <v>2309</v>
      </c>
      <c r="H150" s="38">
        <f>EZBC!F149</f>
        <v>5720.89</v>
      </c>
      <c r="J150" s="38">
        <f>GBTC!K149</f>
        <v>134064.42879999999</v>
      </c>
      <c r="K150" s="38">
        <f>HODL!H149</f>
        <v>16615.748</v>
      </c>
      <c r="L150" s="38">
        <f>IBIT!G149</f>
        <v>742260.59730000002</v>
      </c>
      <c r="M150" s="98">
        <f>SUM(btc_ratios3[[#This Row],[ARKB]:[IBIT]])</f>
        <v>1035965.8526000001</v>
      </c>
      <c r="N150" s="98">
        <f>btc_ratios3[[#This Row],[Sum]]-M149</f>
        <v>761.89160000020638</v>
      </c>
      <c r="O150" s="132">
        <f>btc_ratios3[[#This Row],[Change]]/M149</f>
        <v>7.3598211434993386E-4</v>
      </c>
      <c r="P150" s="136">
        <f>ARKB!H149</f>
        <v>65839.839999999997</v>
      </c>
      <c r="Q150" s="136">
        <f>btc_ratios3[[#This Row],[Price]]-P149</f>
        <v>-533.83999999999651</v>
      </c>
      <c r="R150" s="137">
        <f>btc_ratios3[[#This Row],[Price Change]]/P149</f>
        <v>-8.0429471441088776E-3</v>
      </c>
    </row>
    <row r="151" spans="1:18" ht="15" customHeight="1">
      <c r="A151" s="13" t="str">
        <f>scalars[[#This Row],[DOW]]</f>
        <v>Thursday</v>
      </c>
      <c r="B151" s="28">
        <f t="shared" si="6"/>
        <v>46226</v>
      </c>
      <c r="C151" s="38">
        <f>ARKB!G150</f>
        <v>34009.358</v>
      </c>
      <c r="D151" s="38">
        <f>BITB!H150</f>
        <v>36678.89</v>
      </c>
      <c r="E151" s="98">
        <f>BRRR!G151</f>
        <v>5890.33</v>
      </c>
      <c r="F151" s="38">
        <f>BTC!J150</f>
        <v>58816.265599999999</v>
      </c>
      <c r="G151" s="38">
        <f>BTCW!H150</f>
        <v>2309</v>
      </c>
      <c r="H151" s="38">
        <f>EZBC!F150</f>
        <v>5634.22</v>
      </c>
      <c r="J151" s="38">
        <f>GBTC!K150</f>
        <v>133477.77290000001</v>
      </c>
      <c r="K151" s="38">
        <f>HODL!H150</f>
        <v>16615.745999999999</v>
      </c>
      <c r="L151" s="38">
        <f>IBIT!G150</f>
        <v>739134.42920000001</v>
      </c>
      <c r="M151" s="98">
        <f>SUM(btc_ratios3[[#This Row],[ARKB]:[IBIT]])</f>
        <v>1032566.0116999999</v>
      </c>
      <c r="N151" s="98">
        <f>btc_ratios3[[#This Row],[Sum]]-M150</f>
        <v>-3399.8409000001848</v>
      </c>
      <c r="O151" s="132">
        <f>btc_ratios3[[#This Row],[Change]]/M150</f>
        <v>-3.2818078814735871E-3</v>
      </c>
      <c r="P151" s="136">
        <f>ARKB!H150</f>
        <v>64768.94</v>
      </c>
      <c r="Q151" s="136">
        <f>btc_ratios3[[#This Row],[Price]]-P150</f>
        <v>-1070.8999999999942</v>
      </c>
      <c r="R151" s="137">
        <f>btc_ratios3[[#This Row],[Price Change]]/P150</f>
        <v>-1.626522786203603E-2</v>
      </c>
    </row>
    <row r="152" spans="1:18" ht="15" customHeight="1">
      <c r="A152" s="13" t="str">
        <f>scalars[[#This Row],[DOW]]</f>
        <v>Friday</v>
      </c>
      <c r="B152" s="28">
        <f t="shared" si="6"/>
        <v>46227</v>
      </c>
      <c r="C152" s="38">
        <f>ARKB!G151</f>
        <v>34009.358</v>
      </c>
      <c r="D152" s="38">
        <f>BITB!H151</f>
        <v>36678.89</v>
      </c>
      <c r="E152" s="98">
        <f>BRRR!G154</f>
        <v>5890.21</v>
      </c>
      <c r="F152" s="38">
        <f>BTC!J151</f>
        <v>58816.0239</v>
      </c>
      <c r="G152" s="38">
        <f>BTCW!H151</f>
        <v>2230</v>
      </c>
      <c r="H152" s="38">
        <f>EZBC!F151</f>
        <v>5634.22</v>
      </c>
      <c r="J152" s="38">
        <f>GBTC!K151</f>
        <v>133472.28750000001</v>
      </c>
      <c r="K152" s="38">
        <f>HODL!H151</f>
        <v>16615.746999999999</v>
      </c>
      <c r="L152" s="38">
        <f>IBIT!G151</f>
        <v>735827.06200000003</v>
      </c>
      <c r="M152" s="98">
        <f>SUM(btc_ratios3[[#This Row],[ARKB]:[IBIT]])</f>
        <v>1029173.7984</v>
      </c>
      <c r="N152" s="98">
        <f>btc_ratios3[[#This Row],[Sum]]-M151</f>
        <v>-3392.2132999999449</v>
      </c>
      <c r="O152" s="132">
        <f>btc_ratios3[[#This Row],[Change]]/M151</f>
        <v>-3.2852265729869027E-3</v>
      </c>
      <c r="P152" s="136">
        <f>ARKB!H151</f>
        <v>64152</v>
      </c>
      <c r="Q152" s="136">
        <f>btc_ratios3[[#This Row],[Price]]-P151</f>
        <v>-616.94000000000233</v>
      </c>
      <c r="R152" s="137">
        <f>btc_ratios3[[#This Row],[Price Change]]/P151</f>
        <v>-9.5252446620247653E-3</v>
      </c>
    </row>
    <row r="153" spans="1:18" ht="15" customHeight="1">
      <c r="A153" s="13" t="str">
        <f>scalars[[#This Row],[DOW]]</f>
        <v>Saturday</v>
      </c>
      <c r="B153" s="28">
        <f t="shared" si="6"/>
        <v>46228</v>
      </c>
      <c r="M153" s="98"/>
      <c r="N153" s="98"/>
      <c r="O153" s="132"/>
      <c r="P153" s="136"/>
      <c r="Q153" s="136"/>
      <c r="R153" s="137"/>
    </row>
    <row r="154" spans="1:18" ht="15" customHeight="1">
      <c r="A154" s="13" t="str">
        <f>scalars[[#This Row],[DOW]]</f>
        <v>Sunday</v>
      </c>
      <c r="B154" s="28">
        <f t="shared" si="6"/>
        <v>46229</v>
      </c>
      <c r="M154" s="98"/>
      <c r="N154" s="98"/>
      <c r="O154" s="132"/>
      <c r="P154" s="136"/>
      <c r="Q154" s="136"/>
      <c r="R154" s="137"/>
    </row>
    <row r="155" spans="1:18" ht="15" customHeight="1">
      <c r="A155" s="13" t="str">
        <f>scalars[[#This Row],[DOW]]</f>
        <v>Monday</v>
      </c>
      <c r="B155" s="28">
        <f t="shared" si="6"/>
        <v>46230</v>
      </c>
      <c r="C155" s="38">
        <f>ARKB!G154</f>
        <v>34009.358</v>
      </c>
      <c r="D155" s="168">
        <f>D152</f>
        <v>36678.89</v>
      </c>
      <c r="E155" s="98">
        <f>BRRR!G155</f>
        <v>5890.17</v>
      </c>
      <c r="F155" s="38">
        <f>BTC!J154</f>
        <v>58815.298699999999</v>
      </c>
      <c r="G155" s="168">
        <f>G152</f>
        <v>2230</v>
      </c>
      <c r="H155" s="38">
        <f>EZBC!F154</f>
        <v>5634.22</v>
      </c>
      <c r="J155" s="38">
        <f>GBTC!K154</f>
        <v>133455.8327</v>
      </c>
      <c r="K155" s="38">
        <f>HODL!H154</f>
        <v>16615.744999999999</v>
      </c>
      <c r="L155" s="38">
        <f>IBIT!G154</f>
        <v>735691.14529999997</v>
      </c>
      <c r="M155" s="98">
        <f>SUM(btc_ratios3[[#This Row],[ARKB]:[IBIT]])</f>
        <v>1029020.6597</v>
      </c>
      <c r="N155" s="98">
        <f>btc_ratios3[[#This Row],[Sum]]-M152</f>
        <v>-153.13870000001043</v>
      </c>
      <c r="O155" s="132">
        <f>btc_ratios3[[#This Row],[Sum]]/M152-1</f>
        <v>-1.487977057306189E-4</v>
      </c>
      <c r="P155" s="136">
        <f>ARKB!H154</f>
        <v>64894.12</v>
      </c>
      <c r="Q155" s="136">
        <f>btc_ratios3[[#This Row],[Price]]-P152</f>
        <v>742.12000000000262</v>
      </c>
      <c r="R155" s="137">
        <f>btc_ratios3[[#This Row],[Price]]/P152-1</f>
        <v>1.1568150642224717E-2</v>
      </c>
    </row>
    <row r="156" spans="1:18" ht="15" customHeight="1">
      <c r="A156" s="13" t="str">
        <f>scalars[[#This Row],[DOW]]</f>
        <v>Tuesday</v>
      </c>
      <c r="B156" s="28">
        <f t="shared" si="6"/>
        <v>46231</v>
      </c>
      <c r="C156" s="38">
        <f>ARKB!G155</f>
        <v>34009.358</v>
      </c>
      <c r="D156" s="38">
        <f>BITB!H155</f>
        <v>36678.89</v>
      </c>
      <c r="E156" s="98">
        <f>BRRR!G156</f>
        <v>5890.13</v>
      </c>
      <c r="F156" s="38">
        <f>BTC!J155</f>
        <v>58815.057000000001</v>
      </c>
      <c r="G156" s="38">
        <f>BTCW!H155</f>
        <v>2230</v>
      </c>
      <c r="H156" s="38">
        <f>EZBC!F155</f>
        <v>5634.22</v>
      </c>
      <c r="J156" s="38">
        <f>GBTC!K155</f>
        <v>133450.34820000001</v>
      </c>
      <c r="K156" s="38">
        <f>HODL!H155</f>
        <v>16615.749</v>
      </c>
      <c r="L156" s="38">
        <f>IBIT!G155</f>
        <v>734830.34849999996</v>
      </c>
      <c r="M156" s="98">
        <f>SUM(btc_ratios3[[#This Row],[ARKB]:[IBIT]])</f>
        <v>1028154.1007000001</v>
      </c>
      <c r="N156" s="98">
        <f>btc_ratios3[[#This Row],[Sum]]-M155</f>
        <v>-866.55899999989197</v>
      </c>
      <c r="O156" s="132">
        <f>btc_ratios3[[#This Row],[Change]]/M155</f>
        <v>-8.4212011861115401E-4</v>
      </c>
      <c r="P156" s="136">
        <f>ARKB!H155</f>
        <v>63702</v>
      </c>
      <c r="Q156" s="136">
        <f>btc_ratios3[[#This Row],[Price]]-P155</f>
        <v>-1192.1200000000026</v>
      </c>
      <c r="R156" s="137">
        <f>btc_ratios3[[#This Row],[Price Change]]/P155</f>
        <v>-1.8370231386141033E-2</v>
      </c>
    </row>
    <row r="157" spans="1:18" ht="15" customHeight="1">
      <c r="A157" s="13" t="str">
        <f>scalars[[#This Row],[DOW]]</f>
        <v>Wednesday</v>
      </c>
      <c r="B157" s="28">
        <f t="shared" si="6"/>
        <v>46232</v>
      </c>
      <c r="C157" s="38">
        <f>ARKB!G156</f>
        <v>33780.544500000004</v>
      </c>
      <c r="D157" s="38">
        <f>BITB!H156</f>
        <v>36678.89</v>
      </c>
      <c r="E157" s="98">
        <f>BRRR!G157</f>
        <v>5890.09</v>
      </c>
      <c r="F157" s="38">
        <f>BTC!J156</f>
        <v>58894.402399999999</v>
      </c>
      <c r="G157" s="38">
        <f>BTCW!H156</f>
        <v>2230</v>
      </c>
      <c r="H157" s="38">
        <f>EZBC!F156</f>
        <v>5634.22</v>
      </c>
      <c r="J157" s="38">
        <f>GBTC!K156</f>
        <v>133444.864</v>
      </c>
      <c r="K157" s="38">
        <f>HODL!H156</f>
        <v>16615.744999999999</v>
      </c>
      <c r="L157" s="38">
        <f>IBIT!G156</f>
        <v>734261.02650000004</v>
      </c>
      <c r="M157" s="98">
        <f>SUM(btc_ratios3[[#This Row],[ARKB]:[IBIT]])</f>
        <v>1027429.7824</v>
      </c>
      <c r="N157" s="98">
        <f>btc_ratios3[[#This Row],[Sum]]-M156</f>
        <v>-724.31830000004265</v>
      </c>
      <c r="O157" s="132">
        <f>btc_ratios3[[#This Row],[Change]]/M156</f>
        <v>-7.0448418141492964E-4</v>
      </c>
      <c r="P157" s="136">
        <f>ARKB!H156</f>
        <v>63960.47</v>
      </c>
      <c r="Q157" s="136">
        <f>btc_ratios3[[#This Row],[Price]]-P156</f>
        <v>258.47000000000116</v>
      </c>
      <c r="R157" s="137">
        <f>btc_ratios3[[#This Row],[Price Change]]/P156</f>
        <v>4.057486421148491E-3</v>
      </c>
    </row>
    <row r="158" spans="1:18" ht="15" customHeight="1">
      <c r="A158" s="13" t="str">
        <f>scalars[[#This Row],[DOW]]</f>
        <v>Thursday</v>
      </c>
      <c r="B158" s="28">
        <f t="shared" si="6"/>
        <v>46233</v>
      </c>
      <c r="C158" s="38">
        <f>ARKB!G157</f>
        <v>0</v>
      </c>
      <c r="D158" s="38">
        <f>BITB!H157</f>
        <v>0</v>
      </c>
      <c r="E158" s="98">
        <f>BRRR!G158</f>
        <v>0</v>
      </c>
      <c r="F158" s="38">
        <f>BTC!J157</f>
        <v>0</v>
      </c>
      <c r="G158" s="38">
        <f>BTCW!H157</f>
        <v>0</v>
      </c>
      <c r="H158" s="38">
        <f>EZBC!F157</f>
        <v>0</v>
      </c>
      <c r="J158" s="38">
        <f>GBTC!K157</f>
        <v>0</v>
      </c>
      <c r="K158" s="38">
        <f>HODL!H157</f>
        <v>0</v>
      </c>
      <c r="L158" s="38">
        <f>IBIT!G157</f>
        <v>0</v>
      </c>
      <c r="M158" s="98">
        <f>SUM(btc_ratios3[[#This Row],[ARKB]:[IBIT]])</f>
        <v>0</v>
      </c>
      <c r="N158" s="98"/>
      <c r="O158" s="132"/>
      <c r="P158" s="136">
        <f>ARKB!H157</f>
        <v>0</v>
      </c>
      <c r="Q158" s="136"/>
      <c r="R158" s="137"/>
    </row>
    <row r="159" spans="1:18" ht="15" customHeight="1">
      <c r="A159" s="13" t="str">
        <f>scalars[[#This Row],[DOW]]</f>
        <v>Friday</v>
      </c>
      <c r="B159" s="28">
        <f t="shared" si="6"/>
        <v>46234</v>
      </c>
      <c r="C159" s="38">
        <f>ARKB!G158</f>
        <v>0</v>
      </c>
      <c r="D159" s="38">
        <f>BITB!H158</f>
        <v>0</v>
      </c>
      <c r="E159" s="98">
        <f>BRRR!G159</f>
        <v>0</v>
      </c>
      <c r="F159" s="38">
        <f>BTC!J158</f>
        <v>0</v>
      </c>
      <c r="G159" s="38">
        <f>BTCW!H158</f>
        <v>0</v>
      </c>
      <c r="H159" s="38">
        <f>EZBC!F158</f>
        <v>0</v>
      </c>
      <c r="J159" s="38">
        <f>GBTC!K158</f>
        <v>0</v>
      </c>
      <c r="K159" s="38">
        <f>HODL!H158</f>
        <v>0</v>
      </c>
      <c r="L159" s="38">
        <f>IBIT!G158</f>
        <v>0</v>
      </c>
      <c r="M159" s="98">
        <f>SUM(btc_ratios3[[#This Row],[ARKB]:[IBIT]])</f>
        <v>0</v>
      </c>
      <c r="N159" s="98"/>
      <c r="O159" s="132"/>
      <c r="P159" s="136">
        <f>ARKB!H158</f>
        <v>0</v>
      </c>
      <c r="Q159" s="136"/>
      <c r="R159" s="137"/>
    </row>
    <row r="160" spans="1:18" ht="15" customHeight="1">
      <c r="A160" s="13" t="str">
        <f>scalars[[#This Row],[DOW]]</f>
        <v>Saturday</v>
      </c>
      <c r="B160" s="28">
        <f t="shared" si="6"/>
        <v>46235</v>
      </c>
      <c r="C160" s="38">
        <f>ARKB!G159</f>
        <v>0</v>
      </c>
      <c r="D160" s="38">
        <f>BITB!H159</f>
        <v>0</v>
      </c>
      <c r="E160" s="98">
        <f>BRRR!G160</f>
        <v>0</v>
      </c>
      <c r="F160" s="38">
        <f>BTC!J159</f>
        <v>0</v>
      </c>
      <c r="G160" s="38">
        <f>BTCW!H159</f>
        <v>0</v>
      </c>
      <c r="H160" s="38">
        <f>EZBC!F159</f>
        <v>0</v>
      </c>
      <c r="J160" s="38">
        <f>GBTC!K159</f>
        <v>0</v>
      </c>
      <c r="K160" s="38">
        <f>HODL!H159</f>
        <v>0</v>
      </c>
      <c r="L160" s="38">
        <f>IBIT!G159</f>
        <v>0</v>
      </c>
      <c r="M160" s="98">
        <f>SUM(btc_ratios3[[#This Row],[ARKB]:[IBIT]])</f>
        <v>0</v>
      </c>
      <c r="N160" s="98"/>
      <c r="O160" s="132"/>
      <c r="P160" s="136">
        <f>ARKB!H159</f>
        <v>0</v>
      </c>
      <c r="Q160" s="136"/>
      <c r="R160" s="137"/>
    </row>
    <row r="161" spans="1:18" ht="15" customHeight="1">
      <c r="A161" s="13" t="str">
        <f>scalars[[#This Row],[DOW]]</f>
        <v>Sunday</v>
      </c>
      <c r="B161" s="28">
        <f t="shared" si="6"/>
        <v>46236</v>
      </c>
      <c r="C161" s="38">
        <f>ARKB!G160</f>
        <v>0</v>
      </c>
      <c r="D161" s="38">
        <f>BITB!H160</f>
        <v>0</v>
      </c>
      <c r="E161" s="98">
        <f>BRRR!G161</f>
        <v>0</v>
      </c>
      <c r="F161" s="38">
        <f>BTC!J160</f>
        <v>0</v>
      </c>
      <c r="G161" s="38">
        <f>BTCW!H160</f>
        <v>0</v>
      </c>
      <c r="H161" s="38">
        <f>EZBC!F160</f>
        <v>0</v>
      </c>
      <c r="J161" s="38">
        <f>GBTC!K160</f>
        <v>0</v>
      </c>
      <c r="K161" s="38">
        <f>HODL!H160</f>
        <v>0</v>
      </c>
      <c r="L161" s="38">
        <f>IBIT!G160</f>
        <v>0</v>
      </c>
      <c r="M161" s="98">
        <f>SUM(btc_ratios3[[#This Row],[ARKB]:[IBIT]])</f>
        <v>0</v>
      </c>
      <c r="N161" s="98"/>
      <c r="O161" s="132"/>
      <c r="P161" s="136">
        <f>ARKB!H160</f>
        <v>0</v>
      </c>
      <c r="Q161" s="136"/>
      <c r="R161" s="137"/>
    </row>
    <row r="162" spans="1:18" ht="15" customHeight="1">
      <c r="A162" s="13" t="str">
        <f>scalars[[#This Row],[DOW]]</f>
        <v>Monday</v>
      </c>
      <c r="B162" s="28">
        <f t="shared" si="6"/>
        <v>46237</v>
      </c>
      <c r="C162" s="38">
        <f>ARKB!G161</f>
        <v>0</v>
      </c>
      <c r="D162" s="38">
        <f>BITB!H161</f>
        <v>0</v>
      </c>
      <c r="E162" s="98">
        <f>BRRR!G162</f>
        <v>0</v>
      </c>
      <c r="F162" s="38">
        <f>BTC!J161</f>
        <v>0</v>
      </c>
      <c r="G162" s="38">
        <f>BTCW!H161</f>
        <v>0</v>
      </c>
      <c r="H162" s="38">
        <f>EZBC!F161</f>
        <v>0</v>
      </c>
      <c r="J162" s="38">
        <f>GBTC!K161</f>
        <v>0</v>
      </c>
      <c r="K162" s="38">
        <f>HODL!H161</f>
        <v>0</v>
      </c>
      <c r="L162" s="38">
        <f>IBIT!G161</f>
        <v>0</v>
      </c>
      <c r="M162" s="98">
        <f>SUM(btc_ratios3[[#This Row],[ARKB]:[IBIT]])</f>
        <v>0</v>
      </c>
      <c r="N162" s="98"/>
      <c r="O162" s="132"/>
      <c r="P162" s="136">
        <f>ARKB!H161</f>
        <v>0</v>
      </c>
      <c r="Q162" s="136"/>
      <c r="R162" s="137"/>
    </row>
    <row r="163" spans="1:18" ht="15" customHeight="1">
      <c r="A163" s="13" t="str">
        <f>scalars[[#This Row],[DOW]]</f>
        <v>Tuesday</v>
      </c>
      <c r="B163" s="28">
        <f t="shared" si="6"/>
        <v>46238</v>
      </c>
      <c r="C163" s="38">
        <f>ARKB!G162</f>
        <v>0</v>
      </c>
      <c r="D163" s="38">
        <f>BITB!H162</f>
        <v>0</v>
      </c>
      <c r="E163" s="98">
        <f>BRRR!G163</f>
        <v>0</v>
      </c>
      <c r="F163" s="38">
        <f>BTC!J162</f>
        <v>0</v>
      </c>
      <c r="G163" s="38">
        <f>BTCW!H162</f>
        <v>0</v>
      </c>
      <c r="H163" s="38">
        <f>EZBC!F162</f>
        <v>0</v>
      </c>
      <c r="J163" s="38">
        <f>GBTC!K162</f>
        <v>0</v>
      </c>
      <c r="K163" s="38">
        <f>HODL!H162</f>
        <v>0</v>
      </c>
      <c r="L163" s="38">
        <f>IBIT!G162</f>
        <v>0</v>
      </c>
      <c r="M163" s="98">
        <f>SUM(btc_ratios3[[#This Row],[ARKB]:[IBIT]])</f>
        <v>0</v>
      </c>
      <c r="N163" s="98"/>
      <c r="O163" s="132"/>
      <c r="P163" s="136">
        <f>ARKB!H162</f>
        <v>0</v>
      </c>
      <c r="Q163" s="136"/>
      <c r="R163" s="137"/>
    </row>
    <row r="164" spans="1:18" ht="15" customHeight="1">
      <c r="A164" s="13" t="str">
        <f>scalars[[#This Row],[DOW]]</f>
        <v>Wednesday</v>
      </c>
      <c r="B164" s="28">
        <f t="shared" si="6"/>
        <v>46239</v>
      </c>
      <c r="C164" s="38">
        <f>ARKB!G163</f>
        <v>0</v>
      </c>
      <c r="D164" s="38">
        <f>BITB!H163</f>
        <v>0</v>
      </c>
      <c r="E164" s="98">
        <f>BRRR!G164</f>
        <v>0</v>
      </c>
      <c r="F164" s="38">
        <f>BTC!J163</f>
        <v>0</v>
      </c>
      <c r="G164" s="38">
        <f>BTCW!H163</f>
        <v>0</v>
      </c>
      <c r="H164" s="38">
        <f>EZBC!F163</f>
        <v>0</v>
      </c>
      <c r="J164" s="38">
        <f>GBTC!K163</f>
        <v>0</v>
      </c>
      <c r="K164" s="38">
        <f>HODL!H163</f>
        <v>0</v>
      </c>
      <c r="L164" s="38">
        <f>IBIT!G163</f>
        <v>0</v>
      </c>
      <c r="M164" s="98">
        <f>SUM(btc_ratios3[[#This Row],[ARKB]:[IBIT]])</f>
        <v>0</v>
      </c>
      <c r="N164" s="98"/>
      <c r="O164" s="132"/>
      <c r="P164" s="136">
        <f>ARKB!H163</f>
        <v>0</v>
      </c>
      <c r="Q164" s="136"/>
      <c r="R164" s="137"/>
    </row>
    <row r="165" spans="1:18" ht="15" customHeight="1">
      <c r="A165" s="13" t="str">
        <f>scalars[[#This Row],[DOW]]</f>
        <v>Thursday</v>
      </c>
      <c r="B165" s="28">
        <f t="shared" si="6"/>
        <v>46240</v>
      </c>
      <c r="C165" s="38">
        <f>ARKB!G164</f>
        <v>0</v>
      </c>
      <c r="D165" s="38">
        <f>BITB!H164</f>
        <v>0</v>
      </c>
      <c r="E165" s="98">
        <f>BRRR!G165</f>
        <v>0</v>
      </c>
      <c r="F165" s="38">
        <f>BTC!J164</f>
        <v>0</v>
      </c>
      <c r="G165" s="38">
        <f>BTCW!H164</f>
        <v>0</v>
      </c>
      <c r="H165" s="38">
        <f>EZBC!F164</f>
        <v>0</v>
      </c>
      <c r="J165" s="38">
        <f>GBTC!K164</f>
        <v>0</v>
      </c>
      <c r="K165" s="38">
        <f>HODL!H164</f>
        <v>0</v>
      </c>
      <c r="L165" s="38">
        <f>IBIT!G164</f>
        <v>0</v>
      </c>
      <c r="M165" s="98">
        <f>SUM(btc_ratios3[[#This Row],[ARKB]:[IBIT]])</f>
        <v>0</v>
      </c>
      <c r="N165" s="98"/>
      <c r="O165" s="132"/>
      <c r="P165" s="136">
        <f>ARKB!H164</f>
        <v>0</v>
      </c>
      <c r="Q165" s="136"/>
      <c r="R165" s="137"/>
    </row>
    <row r="166" spans="1:18" ht="15" customHeight="1">
      <c r="A166" s="13" t="str">
        <f>scalars[[#This Row],[DOW]]</f>
        <v>Friday</v>
      </c>
      <c r="B166" s="28">
        <f t="shared" si="6"/>
        <v>46241</v>
      </c>
      <c r="C166" s="38">
        <f>ARKB!G165</f>
        <v>0</v>
      </c>
      <c r="D166" s="38">
        <f>BITB!H165</f>
        <v>0</v>
      </c>
      <c r="E166" s="98">
        <f>BRRR!G166</f>
        <v>0</v>
      </c>
      <c r="F166" s="38">
        <f>BTC!J165</f>
        <v>0</v>
      </c>
      <c r="G166" s="38">
        <f>BTCW!H165</f>
        <v>0</v>
      </c>
      <c r="H166" s="38">
        <f>EZBC!F165</f>
        <v>0</v>
      </c>
      <c r="J166" s="38">
        <f>GBTC!K165</f>
        <v>0</v>
      </c>
      <c r="K166" s="38">
        <f>HODL!H165</f>
        <v>0</v>
      </c>
      <c r="L166" s="38">
        <f>IBIT!G165</f>
        <v>0</v>
      </c>
      <c r="M166" s="98">
        <f>SUM(btc_ratios3[[#This Row],[ARKB]:[IBIT]])</f>
        <v>0</v>
      </c>
      <c r="N166" s="98"/>
      <c r="O166" s="132"/>
      <c r="P166" s="136">
        <f>ARKB!H165</f>
        <v>0</v>
      </c>
      <c r="Q166" s="136"/>
      <c r="R166" s="137"/>
    </row>
    <row r="167" spans="1:18" ht="15" customHeight="1">
      <c r="A167" s="13" t="str">
        <f>scalars[[#This Row],[DOW]]</f>
        <v>Saturday</v>
      </c>
      <c r="B167" s="28">
        <f t="shared" si="6"/>
        <v>46242</v>
      </c>
      <c r="C167" s="38">
        <f>ARKB!G166</f>
        <v>0</v>
      </c>
      <c r="D167" s="38">
        <f>BITB!H166</f>
        <v>0</v>
      </c>
      <c r="E167" s="98">
        <f>BRRR!G167</f>
        <v>0</v>
      </c>
      <c r="F167" s="38">
        <f>BTC!J166</f>
        <v>0</v>
      </c>
      <c r="G167" s="38">
        <f>BTCW!H166</f>
        <v>0</v>
      </c>
      <c r="H167" s="38">
        <f>EZBC!F166</f>
        <v>0</v>
      </c>
      <c r="J167" s="38">
        <f>GBTC!K166</f>
        <v>0</v>
      </c>
      <c r="K167" s="38">
        <f>HODL!H166</f>
        <v>0</v>
      </c>
      <c r="L167" s="38">
        <f>IBIT!G166</f>
        <v>0</v>
      </c>
      <c r="M167" s="98">
        <f>SUM(btc_ratios3[[#This Row],[ARKB]:[IBIT]])</f>
        <v>0</v>
      </c>
      <c r="N167" s="98"/>
      <c r="O167" s="132"/>
      <c r="P167" s="136">
        <f>ARKB!H166</f>
        <v>0</v>
      </c>
      <c r="Q167" s="136"/>
      <c r="R167" s="137"/>
    </row>
    <row r="168" spans="1:18" ht="15" customHeight="1">
      <c r="A168" s="13" t="str">
        <f>scalars[[#This Row],[DOW]]</f>
        <v>Sunday</v>
      </c>
      <c r="B168" s="28">
        <f t="shared" si="6"/>
        <v>46243</v>
      </c>
      <c r="C168" s="38">
        <f>ARKB!G167</f>
        <v>0</v>
      </c>
      <c r="D168" s="38">
        <f>BITB!H167</f>
        <v>0</v>
      </c>
      <c r="E168" s="98">
        <f>BRRR!G168</f>
        <v>0</v>
      </c>
      <c r="F168" s="38">
        <f>BTC!J167</f>
        <v>0</v>
      </c>
      <c r="G168" s="38">
        <f>BTCW!H167</f>
        <v>0</v>
      </c>
      <c r="H168" s="38">
        <f>EZBC!F167</f>
        <v>0</v>
      </c>
      <c r="J168" s="38">
        <f>GBTC!K167</f>
        <v>0</v>
      </c>
      <c r="K168" s="38">
        <f>HODL!H167</f>
        <v>0</v>
      </c>
      <c r="L168" s="38">
        <f>IBIT!G167</f>
        <v>0</v>
      </c>
      <c r="M168" s="98">
        <f>SUM(btc_ratios3[[#This Row],[ARKB]:[IBIT]])</f>
        <v>0</v>
      </c>
      <c r="N168" s="98"/>
      <c r="O168" s="132"/>
      <c r="P168" s="136">
        <f>ARKB!H167</f>
        <v>0</v>
      </c>
      <c r="Q168" s="136"/>
      <c r="R168" s="137"/>
    </row>
    <row r="169" spans="1:18" ht="15" customHeight="1">
      <c r="A169" s="13" t="str">
        <f>scalars[[#This Row],[DOW]]</f>
        <v>Monday</v>
      </c>
      <c r="B169" s="28">
        <f t="shared" si="6"/>
        <v>46244</v>
      </c>
      <c r="C169" s="38">
        <f>ARKB!G168</f>
        <v>0</v>
      </c>
      <c r="D169" s="38">
        <f>BITB!H168</f>
        <v>0</v>
      </c>
      <c r="E169" s="98">
        <f>BRRR!G169</f>
        <v>0</v>
      </c>
      <c r="F169" s="38">
        <f>BTC!J168</f>
        <v>0</v>
      </c>
      <c r="G169" s="38">
        <f>BTCW!H168</f>
        <v>0</v>
      </c>
      <c r="H169" s="38">
        <f>EZBC!F168</f>
        <v>0</v>
      </c>
      <c r="J169" s="38">
        <f>GBTC!K168</f>
        <v>0</v>
      </c>
      <c r="K169" s="38">
        <f>HODL!H168</f>
        <v>0</v>
      </c>
      <c r="L169" s="38">
        <f>IBIT!G168</f>
        <v>0</v>
      </c>
      <c r="M169" s="98">
        <f>SUM(btc_ratios3[[#This Row],[ARKB]:[IBIT]])</f>
        <v>0</v>
      </c>
      <c r="N169" s="98"/>
      <c r="O169" s="132"/>
      <c r="P169" s="136">
        <f>ARKB!H168</f>
        <v>0</v>
      </c>
      <c r="Q169" s="136"/>
      <c r="R169" s="137"/>
    </row>
    <row r="170" spans="1:18" ht="15" customHeight="1">
      <c r="A170" s="13" t="str">
        <f>scalars[[#This Row],[DOW]]</f>
        <v>Tuesday</v>
      </c>
      <c r="B170" s="28">
        <f t="shared" si="6"/>
        <v>46245</v>
      </c>
      <c r="C170" s="38">
        <f>ARKB!G169</f>
        <v>0</v>
      </c>
      <c r="D170" s="38">
        <f>BITB!H169</f>
        <v>0</v>
      </c>
      <c r="E170" s="98">
        <f>BRRR!G170</f>
        <v>0</v>
      </c>
      <c r="F170" s="38">
        <f>BTC!J169</f>
        <v>0</v>
      </c>
      <c r="G170" s="38">
        <f>BTCW!H169</f>
        <v>0</v>
      </c>
      <c r="H170" s="38">
        <f>EZBC!F169</f>
        <v>0</v>
      </c>
      <c r="J170" s="38">
        <f>GBTC!K169</f>
        <v>0</v>
      </c>
      <c r="K170" s="38">
        <f>HODL!H169</f>
        <v>0</v>
      </c>
      <c r="L170" s="38">
        <f>IBIT!G169</f>
        <v>0</v>
      </c>
      <c r="M170" s="98">
        <f>SUM(btc_ratios3[[#This Row],[ARKB]:[IBIT]])</f>
        <v>0</v>
      </c>
      <c r="N170" s="98"/>
      <c r="O170" s="132"/>
      <c r="P170" s="136">
        <f>ARKB!H169</f>
        <v>0</v>
      </c>
      <c r="Q170" s="136"/>
      <c r="R170" s="137"/>
    </row>
    <row r="171" spans="1:18" ht="15" customHeight="1">
      <c r="A171" s="13" t="str">
        <f>scalars[[#This Row],[DOW]]</f>
        <v>Wednesday</v>
      </c>
      <c r="B171" s="28">
        <f t="shared" si="6"/>
        <v>46246</v>
      </c>
      <c r="C171" s="38">
        <f>ARKB!G170</f>
        <v>0</v>
      </c>
      <c r="D171" s="38">
        <f>BITB!H170</f>
        <v>0</v>
      </c>
      <c r="E171" s="98">
        <f>BRRR!G171</f>
        <v>0</v>
      </c>
      <c r="F171" s="38">
        <f>BTC!J170</f>
        <v>0</v>
      </c>
      <c r="G171" s="38">
        <f>BTCW!H170</f>
        <v>0</v>
      </c>
      <c r="H171" s="38">
        <f>EZBC!F170</f>
        <v>0</v>
      </c>
      <c r="J171" s="38">
        <f>GBTC!K170</f>
        <v>0</v>
      </c>
      <c r="K171" s="38">
        <f>HODL!H170</f>
        <v>0</v>
      </c>
      <c r="L171" s="38">
        <f>IBIT!G170</f>
        <v>0</v>
      </c>
      <c r="M171" s="98">
        <f>SUM(btc_ratios3[[#This Row],[ARKB]:[IBIT]])</f>
        <v>0</v>
      </c>
      <c r="N171" s="98"/>
      <c r="O171" s="132"/>
      <c r="P171" s="136">
        <f>ARKB!H170</f>
        <v>0</v>
      </c>
      <c r="Q171" s="136"/>
      <c r="R171" s="137"/>
    </row>
    <row r="172" spans="1:18" ht="15" customHeight="1">
      <c r="A172" s="13" t="str">
        <f>scalars[[#This Row],[DOW]]</f>
        <v>Thursday</v>
      </c>
      <c r="B172" s="28">
        <f t="shared" si="6"/>
        <v>46247</v>
      </c>
      <c r="C172" s="38">
        <f>ARKB!G171</f>
        <v>0</v>
      </c>
      <c r="D172" s="38">
        <f>BITB!H171</f>
        <v>0</v>
      </c>
      <c r="E172" s="98">
        <f>BRRR!G172</f>
        <v>0</v>
      </c>
      <c r="F172" s="38">
        <f>BTC!J171</f>
        <v>0</v>
      </c>
      <c r="G172" s="38">
        <f>BTCW!H171</f>
        <v>0</v>
      </c>
      <c r="H172" s="38">
        <f>EZBC!F171</f>
        <v>0</v>
      </c>
      <c r="J172" s="38">
        <f>GBTC!K171</f>
        <v>0</v>
      </c>
      <c r="K172" s="38">
        <f>HODL!H171</f>
        <v>0</v>
      </c>
      <c r="L172" s="38">
        <f>IBIT!G171</f>
        <v>0</v>
      </c>
      <c r="M172" s="98">
        <f>SUM(btc_ratios3[[#This Row],[ARKB]:[IBIT]])</f>
        <v>0</v>
      </c>
      <c r="N172" s="98"/>
      <c r="O172" s="132"/>
      <c r="P172" s="136">
        <f>ARKB!H171</f>
        <v>0</v>
      </c>
      <c r="Q172" s="136"/>
      <c r="R172" s="137"/>
    </row>
    <row r="173" spans="1:18" ht="15" customHeight="1">
      <c r="A173" s="13" t="str">
        <f>scalars[[#This Row],[DOW]]</f>
        <v>Friday</v>
      </c>
      <c r="B173" s="28">
        <f t="shared" si="6"/>
        <v>46248</v>
      </c>
      <c r="C173" s="38">
        <f>ARKB!G172</f>
        <v>0</v>
      </c>
      <c r="D173" s="38">
        <f>BITB!H172</f>
        <v>0</v>
      </c>
      <c r="E173" s="98">
        <f>BRRR!G173</f>
        <v>0</v>
      </c>
      <c r="F173" s="38">
        <f>BTC!J172</f>
        <v>0</v>
      </c>
      <c r="G173" s="38">
        <f>BTCW!H172</f>
        <v>0</v>
      </c>
      <c r="H173" s="38">
        <f>EZBC!F172</f>
        <v>0</v>
      </c>
      <c r="J173" s="38">
        <f>GBTC!K172</f>
        <v>0</v>
      </c>
      <c r="K173" s="38">
        <f>HODL!H172</f>
        <v>0</v>
      </c>
      <c r="L173" s="38">
        <f>IBIT!G172</f>
        <v>0</v>
      </c>
      <c r="M173" s="98">
        <f>SUM(btc_ratios3[[#This Row],[ARKB]:[IBIT]])</f>
        <v>0</v>
      </c>
      <c r="N173" s="98"/>
      <c r="O173" s="132"/>
      <c r="P173" s="136">
        <f>ARKB!H172</f>
        <v>0</v>
      </c>
      <c r="Q173" s="136"/>
      <c r="R173" s="137"/>
    </row>
    <row r="174" spans="1:18" ht="15" customHeight="1">
      <c r="A174" s="13" t="str">
        <f>scalars[[#This Row],[DOW]]</f>
        <v>Saturday</v>
      </c>
      <c r="B174" s="28">
        <f t="shared" si="6"/>
        <v>46249</v>
      </c>
      <c r="C174" s="38">
        <f>ARKB!G173</f>
        <v>0</v>
      </c>
      <c r="D174" s="38">
        <f>BITB!H173</f>
        <v>0</v>
      </c>
      <c r="E174" s="98">
        <f>BRRR!G174</f>
        <v>0</v>
      </c>
      <c r="F174" s="38">
        <f>BTC!J173</f>
        <v>0</v>
      </c>
      <c r="G174" s="38">
        <f>BTCW!H173</f>
        <v>0</v>
      </c>
      <c r="H174" s="38">
        <f>EZBC!F173</f>
        <v>0</v>
      </c>
      <c r="J174" s="38">
        <f>GBTC!K173</f>
        <v>0</v>
      </c>
      <c r="K174" s="38">
        <f>HODL!H173</f>
        <v>0</v>
      </c>
      <c r="L174" s="38">
        <f>IBIT!G173</f>
        <v>0</v>
      </c>
      <c r="M174" s="98">
        <f>SUM(btc_ratios3[[#This Row],[ARKB]:[IBIT]])</f>
        <v>0</v>
      </c>
      <c r="N174" s="98"/>
      <c r="O174" s="132"/>
      <c r="P174" s="136">
        <f>ARKB!H173</f>
        <v>0</v>
      </c>
      <c r="Q174" s="136"/>
      <c r="R174" s="137"/>
    </row>
    <row r="175" spans="1:18" ht="15" customHeight="1">
      <c r="A175" s="13" t="str">
        <f>scalars[[#This Row],[DOW]]</f>
        <v>Sunday</v>
      </c>
      <c r="B175" s="28">
        <f t="shared" si="6"/>
        <v>46250</v>
      </c>
      <c r="C175" s="38">
        <f>ARKB!G174</f>
        <v>0</v>
      </c>
      <c r="D175" s="38">
        <f>BITB!H174</f>
        <v>0</v>
      </c>
      <c r="E175" s="98">
        <f>BRRR!G175</f>
        <v>0</v>
      </c>
      <c r="F175" s="38">
        <f>BTC!J174</f>
        <v>0</v>
      </c>
      <c r="G175" s="38">
        <f>BTCW!H174</f>
        <v>0</v>
      </c>
      <c r="H175" s="38">
        <f>EZBC!F174</f>
        <v>0</v>
      </c>
      <c r="J175" s="38">
        <f>GBTC!K174</f>
        <v>0</v>
      </c>
      <c r="K175" s="38">
        <f>HODL!H174</f>
        <v>0</v>
      </c>
      <c r="L175" s="38">
        <f>IBIT!G174</f>
        <v>0</v>
      </c>
      <c r="M175" s="98">
        <f>SUM(btc_ratios3[[#This Row],[ARKB]:[IBIT]])</f>
        <v>0</v>
      </c>
      <c r="N175" s="98"/>
      <c r="O175" s="132"/>
      <c r="P175" s="136">
        <f>ARKB!H174</f>
        <v>0</v>
      </c>
      <c r="Q175" s="136"/>
      <c r="R175" s="137"/>
    </row>
    <row r="176" spans="1:18" ht="15" customHeight="1">
      <c r="A176" s="13" t="str">
        <f>scalars[[#This Row],[DOW]]</f>
        <v>Monday</v>
      </c>
      <c r="B176" s="28">
        <f t="shared" si="6"/>
        <v>46251</v>
      </c>
      <c r="C176" s="38">
        <f>ARKB!G175</f>
        <v>0</v>
      </c>
      <c r="D176" s="38">
        <f>BITB!H175</f>
        <v>0</v>
      </c>
      <c r="E176" s="98">
        <f>BRRR!G176</f>
        <v>0</v>
      </c>
      <c r="F176" s="38">
        <f>BTC!J175</f>
        <v>0</v>
      </c>
      <c r="G176" s="38">
        <f>BTCW!H175</f>
        <v>0</v>
      </c>
      <c r="H176" s="38">
        <f>EZBC!F175</f>
        <v>0</v>
      </c>
      <c r="J176" s="38">
        <f>GBTC!K175</f>
        <v>0</v>
      </c>
      <c r="K176" s="38">
        <f>HODL!H175</f>
        <v>0</v>
      </c>
      <c r="L176" s="38">
        <f>IBIT!G175</f>
        <v>0</v>
      </c>
      <c r="M176" s="98">
        <f>SUM(btc_ratios3[[#This Row],[ARKB]:[IBIT]])</f>
        <v>0</v>
      </c>
      <c r="N176" s="98"/>
      <c r="O176" s="132"/>
      <c r="P176" s="136">
        <f>ARKB!H175</f>
        <v>0</v>
      </c>
      <c r="Q176" s="136"/>
      <c r="R176" s="137"/>
    </row>
    <row r="177" spans="1:18" ht="15" customHeight="1">
      <c r="A177" s="13" t="str">
        <f>scalars[[#This Row],[DOW]]</f>
        <v>Tuesday</v>
      </c>
      <c r="B177" s="28">
        <f t="shared" si="6"/>
        <v>46252</v>
      </c>
      <c r="C177" s="38">
        <f>ARKB!G176</f>
        <v>0</v>
      </c>
      <c r="D177" s="38">
        <f>BITB!H176</f>
        <v>0</v>
      </c>
      <c r="E177" s="98">
        <f>BRRR!G177</f>
        <v>0</v>
      </c>
      <c r="F177" s="38">
        <f>BTC!J176</f>
        <v>0</v>
      </c>
      <c r="G177" s="38">
        <f>BTCW!H176</f>
        <v>0</v>
      </c>
      <c r="H177" s="38">
        <f>EZBC!F176</f>
        <v>0</v>
      </c>
      <c r="J177" s="38">
        <f>GBTC!K176</f>
        <v>0</v>
      </c>
      <c r="K177" s="38">
        <f>HODL!H176</f>
        <v>0</v>
      </c>
      <c r="L177" s="38">
        <f>IBIT!G176</f>
        <v>0</v>
      </c>
      <c r="M177" s="98">
        <f>SUM(btc_ratios3[[#This Row],[ARKB]:[IBIT]])</f>
        <v>0</v>
      </c>
      <c r="N177" s="98"/>
      <c r="O177" s="132"/>
      <c r="P177" s="136">
        <f>ARKB!H176</f>
        <v>0</v>
      </c>
      <c r="Q177" s="136"/>
      <c r="R177" s="137"/>
    </row>
    <row r="178" spans="1:18" ht="15" customHeight="1">
      <c r="A178" s="13" t="str">
        <f>scalars[[#This Row],[DOW]]</f>
        <v>Wednesday</v>
      </c>
      <c r="B178" s="28">
        <f t="shared" si="6"/>
        <v>46253</v>
      </c>
      <c r="C178" s="38">
        <f>ARKB!G177</f>
        <v>0</v>
      </c>
      <c r="D178" s="38">
        <f>BITB!H177</f>
        <v>0</v>
      </c>
      <c r="E178" s="98">
        <f>BRRR!G178</f>
        <v>0</v>
      </c>
      <c r="F178" s="38">
        <f>BTC!J177</f>
        <v>0</v>
      </c>
      <c r="G178" s="38">
        <f>BTCW!H177</f>
        <v>0</v>
      </c>
      <c r="H178" s="38">
        <f>EZBC!F177</f>
        <v>0</v>
      </c>
      <c r="J178" s="38">
        <f>GBTC!K177</f>
        <v>0</v>
      </c>
      <c r="K178" s="38">
        <f>HODL!H177</f>
        <v>0</v>
      </c>
      <c r="L178" s="38">
        <f>IBIT!G177</f>
        <v>0</v>
      </c>
      <c r="M178" s="98">
        <f>SUM(btc_ratios3[[#This Row],[ARKB]:[IBIT]])</f>
        <v>0</v>
      </c>
      <c r="N178" s="98"/>
      <c r="O178" s="132"/>
      <c r="P178" s="136">
        <f>ARKB!H177</f>
        <v>0</v>
      </c>
      <c r="Q178" s="136"/>
      <c r="R178" s="137"/>
    </row>
    <row r="179" spans="1:18" ht="15" customHeight="1">
      <c r="A179" s="13" t="str">
        <f>scalars[[#This Row],[DOW]]</f>
        <v>Thursday</v>
      </c>
      <c r="B179" s="28">
        <f t="shared" si="6"/>
        <v>46254</v>
      </c>
      <c r="C179" s="38">
        <f>ARKB!G178</f>
        <v>0</v>
      </c>
      <c r="D179" s="38">
        <f>BITB!H178</f>
        <v>0</v>
      </c>
      <c r="E179" s="98">
        <f>BRRR!G179</f>
        <v>0</v>
      </c>
      <c r="F179" s="38">
        <f>BTC!J178</f>
        <v>0</v>
      </c>
      <c r="G179" s="38">
        <f>BTCW!H178</f>
        <v>0</v>
      </c>
      <c r="H179" s="38">
        <f>EZBC!F178</f>
        <v>0</v>
      </c>
      <c r="J179" s="38">
        <f>GBTC!K178</f>
        <v>0</v>
      </c>
      <c r="K179" s="38">
        <f>HODL!H178</f>
        <v>0</v>
      </c>
      <c r="L179" s="38">
        <f>IBIT!G178</f>
        <v>0</v>
      </c>
      <c r="M179" s="98">
        <f>SUM(btc_ratios3[[#This Row],[ARKB]:[IBIT]])</f>
        <v>0</v>
      </c>
      <c r="N179" s="98"/>
      <c r="O179" s="132"/>
      <c r="P179" s="136">
        <f>ARKB!H178</f>
        <v>0</v>
      </c>
      <c r="Q179" s="136"/>
      <c r="R179" s="137"/>
    </row>
    <row r="180" spans="1:18" ht="15" customHeight="1">
      <c r="A180" s="13" t="str">
        <f>scalars[[#This Row],[DOW]]</f>
        <v>Friday</v>
      </c>
      <c r="B180" s="28">
        <f t="shared" si="6"/>
        <v>46255</v>
      </c>
      <c r="C180" s="38">
        <f>ARKB!G179</f>
        <v>0</v>
      </c>
      <c r="D180" s="38">
        <f>BITB!H179</f>
        <v>0</v>
      </c>
      <c r="E180" s="98">
        <f>BRRR!G180</f>
        <v>0</v>
      </c>
      <c r="F180" s="38">
        <f>BTC!J179</f>
        <v>0</v>
      </c>
      <c r="G180" s="38">
        <f>BTCW!H179</f>
        <v>0</v>
      </c>
      <c r="H180" s="38">
        <f>EZBC!F179</f>
        <v>0</v>
      </c>
      <c r="J180" s="38">
        <f>GBTC!K179</f>
        <v>0</v>
      </c>
      <c r="K180" s="38">
        <f>HODL!H179</f>
        <v>0</v>
      </c>
      <c r="L180" s="38">
        <f>IBIT!G179</f>
        <v>0</v>
      </c>
      <c r="M180" s="98">
        <f>SUM(btc_ratios3[[#This Row],[ARKB]:[IBIT]])</f>
        <v>0</v>
      </c>
      <c r="N180" s="98"/>
      <c r="O180" s="132"/>
      <c r="P180" s="136">
        <f>ARKB!H179</f>
        <v>0</v>
      </c>
      <c r="Q180" s="136"/>
      <c r="R180" s="137"/>
    </row>
    <row r="181" spans="1:18" ht="15" customHeight="1">
      <c r="A181" s="13" t="str">
        <f>scalars[[#This Row],[DOW]]</f>
        <v>Saturday</v>
      </c>
      <c r="B181" s="28">
        <f t="shared" si="6"/>
        <v>46256</v>
      </c>
      <c r="C181" s="38">
        <f>ARKB!G180</f>
        <v>0</v>
      </c>
      <c r="D181" s="38">
        <f>BITB!H180</f>
        <v>0</v>
      </c>
      <c r="E181" s="98">
        <f>BRRR!G181</f>
        <v>0</v>
      </c>
      <c r="F181" s="38">
        <f>BTC!J180</f>
        <v>0</v>
      </c>
      <c r="G181" s="38">
        <f>BTCW!H180</f>
        <v>0</v>
      </c>
      <c r="H181" s="38">
        <f>EZBC!F180</f>
        <v>0</v>
      </c>
      <c r="J181" s="38">
        <f>GBTC!K180</f>
        <v>0</v>
      </c>
      <c r="K181" s="38">
        <f>HODL!H180</f>
        <v>0</v>
      </c>
      <c r="L181" s="38">
        <f>IBIT!G180</f>
        <v>0</v>
      </c>
      <c r="M181" s="98">
        <f>SUM(btc_ratios3[[#This Row],[ARKB]:[IBIT]])</f>
        <v>0</v>
      </c>
      <c r="N181" s="98"/>
      <c r="O181" s="132"/>
      <c r="P181" s="136">
        <f>ARKB!H180</f>
        <v>0</v>
      </c>
      <c r="Q181" s="136"/>
      <c r="R181" s="137"/>
    </row>
    <row r="182" spans="1:18" ht="15" customHeight="1">
      <c r="A182" s="13" t="str">
        <f>scalars[[#This Row],[DOW]]</f>
        <v>Sunday</v>
      </c>
      <c r="B182" s="28">
        <f t="shared" si="6"/>
        <v>46257</v>
      </c>
      <c r="C182" s="38">
        <f>ARKB!G181</f>
        <v>0</v>
      </c>
      <c r="D182" s="38">
        <f>BITB!H181</f>
        <v>0</v>
      </c>
      <c r="E182" s="98">
        <f>BRRR!G182</f>
        <v>0</v>
      </c>
      <c r="F182" s="38">
        <f>BTC!J181</f>
        <v>0</v>
      </c>
      <c r="G182" s="38">
        <f>BTCW!H181</f>
        <v>0</v>
      </c>
      <c r="H182" s="38">
        <f>EZBC!F181</f>
        <v>0</v>
      </c>
      <c r="J182" s="38">
        <f>GBTC!K181</f>
        <v>0</v>
      </c>
      <c r="K182" s="38">
        <f>HODL!H181</f>
        <v>0</v>
      </c>
      <c r="L182" s="38">
        <f>IBIT!G181</f>
        <v>0</v>
      </c>
      <c r="M182" s="98">
        <f>SUM(btc_ratios3[[#This Row],[ARKB]:[IBIT]])</f>
        <v>0</v>
      </c>
      <c r="N182" s="98"/>
      <c r="O182" s="132"/>
      <c r="P182" s="136">
        <f>ARKB!H181</f>
        <v>0</v>
      </c>
      <c r="Q182" s="136"/>
      <c r="R182" s="137"/>
    </row>
    <row r="183" spans="1:18" ht="15" customHeight="1">
      <c r="A183" s="13" t="str">
        <f>scalars[[#This Row],[DOW]]</f>
        <v>Monday</v>
      </c>
      <c r="B183" s="28">
        <f t="shared" si="6"/>
        <v>46258</v>
      </c>
      <c r="C183" s="38">
        <f>ARKB!G182</f>
        <v>0</v>
      </c>
      <c r="D183" s="38">
        <f>BITB!H182</f>
        <v>0</v>
      </c>
      <c r="E183" s="98">
        <f>BRRR!G183</f>
        <v>0</v>
      </c>
      <c r="F183" s="38">
        <f>BTC!J182</f>
        <v>0</v>
      </c>
      <c r="G183" s="38">
        <f>BTCW!H182</f>
        <v>0</v>
      </c>
      <c r="H183" s="38">
        <f>EZBC!F182</f>
        <v>0</v>
      </c>
      <c r="J183" s="38">
        <f>GBTC!K182</f>
        <v>0</v>
      </c>
      <c r="K183" s="38">
        <f>HODL!H182</f>
        <v>0</v>
      </c>
      <c r="L183" s="38">
        <f>IBIT!G182</f>
        <v>0</v>
      </c>
      <c r="M183" s="98">
        <f>SUM(btc_ratios3[[#This Row],[ARKB]:[IBIT]])</f>
        <v>0</v>
      </c>
      <c r="N183" s="98"/>
      <c r="O183" s="132"/>
      <c r="P183" s="136">
        <f>ARKB!H182</f>
        <v>0</v>
      </c>
      <c r="Q183" s="136"/>
      <c r="R183" s="137"/>
    </row>
    <row r="184" spans="1:18" ht="15" customHeight="1">
      <c r="A184" s="13" t="str">
        <f>scalars[[#This Row],[DOW]]</f>
        <v>Tuesday</v>
      </c>
      <c r="B184" s="28">
        <f t="shared" si="6"/>
        <v>46259</v>
      </c>
      <c r="C184" s="38">
        <f>ARKB!G183</f>
        <v>0</v>
      </c>
      <c r="D184" s="38">
        <f>BITB!H183</f>
        <v>0</v>
      </c>
      <c r="E184" s="98">
        <f>BRRR!G184</f>
        <v>0</v>
      </c>
      <c r="F184" s="38">
        <f>BTC!J183</f>
        <v>0</v>
      </c>
      <c r="G184" s="38">
        <f>BTCW!H183</f>
        <v>0</v>
      </c>
      <c r="H184" s="38">
        <f>EZBC!F183</f>
        <v>0</v>
      </c>
      <c r="J184" s="38">
        <f>GBTC!K183</f>
        <v>0</v>
      </c>
      <c r="K184" s="38">
        <f>HODL!H183</f>
        <v>0</v>
      </c>
      <c r="L184" s="38">
        <f>IBIT!G183</f>
        <v>0</v>
      </c>
      <c r="M184" s="98">
        <f>SUM(btc_ratios3[[#This Row],[ARKB]:[IBIT]])</f>
        <v>0</v>
      </c>
      <c r="N184" s="98"/>
      <c r="O184" s="132"/>
      <c r="P184" s="136">
        <f>ARKB!H183</f>
        <v>0</v>
      </c>
      <c r="Q184" s="136"/>
      <c r="R184" s="137"/>
    </row>
    <row r="185" spans="1:18" ht="15" customHeight="1">
      <c r="A185" s="13" t="str">
        <f>scalars[[#This Row],[DOW]]</f>
        <v>Wednesday</v>
      </c>
      <c r="B185" s="28">
        <f t="shared" si="6"/>
        <v>46260</v>
      </c>
      <c r="C185" s="38">
        <f>ARKB!G184</f>
        <v>0</v>
      </c>
      <c r="D185" s="38">
        <f>BITB!H184</f>
        <v>0</v>
      </c>
      <c r="E185" s="98">
        <f>BRRR!G185</f>
        <v>0</v>
      </c>
      <c r="F185" s="38">
        <f>BTC!J184</f>
        <v>0</v>
      </c>
      <c r="G185" s="38">
        <f>BTCW!H184</f>
        <v>0</v>
      </c>
      <c r="H185" s="38">
        <f>EZBC!F184</f>
        <v>0</v>
      </c>
      <c r="J185" s="38">
        <f>GBTC!K184</f>
        <v>0</v>
      </c>
      <c r="K185" s="38">
        <f>HODL!H184</f>
        <v>0</v>
      </c>
      <c r="L185" s="38">
        <f>IBIT!G184</f>
        <v>0</v>
      </c>
      <c r="M185" s="98">
        <f>SUM(btc_ratios3[[#This Row],[ARKB]:[IBIT]])</f>
        <v>0</v>
      </c>
      <c r="N185" s="98"/>
      <c r="O185" s="132"/>
      <c r="P185" s="136">
        <f>ARKB!H184</f>
        <v>0</v>
      </c>
      <c r="Q185" s="136"/>
      <c r="R185" s="137"/>
    </row>
    <row r="186" spans="1:18" ht="15" customHeight="1">
      <c r="A186" s="13" t="str">
        <f>scalars[[#This Row],[DOW]]</f>
        <v>Thursday</v>
      </c>
      <c r="B186" s="28">
        <f t="shared" si="6"/>
        <v>46261</v>
      </c>
      <c r="C186" s="38">
        <f>ARKB!G185</f>
        <v>0</v>
      </c>
      <c r="D186" s="38">
        <f>BITB!H185</f>
        <v>0</v>
      </c>
      <c r="E186" s="98">
        <f>BRRR!G186</f>
        <v>0</v>
      </c>
      <c r="F186" s="38">
        <f>BTC!J185</f>
        <v>0</v>
      </c>
      <c r="G186" s="38">
        <f>BTCW!H185</f>
        <v>0</v>
      </c>
      <c r="H186" s="38">
        <f>EZBC!F185</f>
        <v>0</v>
      </c>
      <c r="J186" s="38">
        <f>GBTC!K185</f>
        <v>0</v>
      </c>
      <c r="K186" s="38">
        <f>HODL!H185</f>
        <v>0</v>
      </c>
      <c r="L186" s="38">
        <f>IBIT!G185</f>
        <v>0</v>
      </c>
      <c r="M186" s="98">
        <f>SUM(btc_ratios3[[#This Row],[ARKB]:[IBIT]])</f>
        <v>0</v>
      </c>
      <c r="N186" s="98"/>
      <c r="O186" s="132"/>
      <c r="P186" s="136">
        <f>ARKB!H185</f>
        <v>0</v>
      </c>
      <c r="Q186" s="136"/>
      <c r="R186" s="137"/>
    </row>
    <row r="187" spans="1:18" ht="15" customHeight="1">
      <c r="A187" s="13" t="str">
        <f>scalars[[#This Row],[DOW]]</f>
        <v>Friday</v>
      </c>
      <c r="B187" s="28">
        <f t="shared" si="6"/>
        <v>46262</v>
      </c>
      <c r="C187" s="38">
        <f>ARKB!G186</f>
        <v>0</v>
      </c>
      <c r="D187" s="38">
        <f>BITB!H186</f>
        <v>0</v>
      </c>
      <c r="E187" s="98">
        <f>BRRR!G187</f>
        <v>0</v>
      </c>
      <c r="F187" s="38">
        <f>BTC!J186</f>
        <v>0</v>
      </c>
      <c r="G187" s="38">
        <f>BTCW!H186</f>
        <v>0</v>
      </c>
      <c r="H187" s="38">
        <f>EZBC!F186</f>
        <v>0</v>
      </c>
      <c r="J187" s="38">
        <f>GBTC!K186</f>
        <v>0</v>
      </c>
      <c r="K187" s="38">
        <f>HODL!H186</f>
        <v>0</v>
      </c>
      <c r="L187" s="38">
        <f>IBIT!G186</f>
        <v>0</v>
      </c>
      <c r="M187" s="98">
        <f>SUM(btc_ratios3[[#This Row],[ARKB]:[IBIT]])</f>
        <v>0</v>
      </c>
      <c r="N187" s="98"/>
      <c r="O187" s="132"/>
      <c r="P187" s="136">
        <f>ARKB!H186</f>
        <v>0</v>
      </c>
      <c r="Q187" s="136"/>
      <c r="R187" s="137"/>
    </row>
    <row r="188" spans="1:18" ht="15" customHeight="1">
      <c r="A188" s="13" t="str">
        <f>scalars[[#This Row],[DOW]]</f>
        <v>Saturday</v>
      </c>
      <c r="B188" s="28">
        <f t="shared" si="6"/>
        <v>46263</v>
      </c>
      <c r="C188" s="38">
        <f>ARKB!G187</f>
        <v>0</v>
      </c>
      <c r="D188" s="38">
        <f>BITB!H187</f>
        <v>0</v>
      </c>
      <c r="E188" s="98">
        <f>BRRR!G188</f>
        <v>0</v>
      </c>
      <c r="F188" s="38">
        <f>BTC!J187</f>
        <v>0</v>
      </c>
      <c r="G188" s="38">
        <f>BTCW!H187</f>
        <v>0</v>
      </c>
      <c r="H188" s="38">
        <f>EZBC!F187</f>
        <v>0</v>
      </c>
      <c r="J188" s="38">
        <f>GBTC!K187</f>
        <v>0</v>
      </c>
      <c r="K188" s="38">
        <f>HODL!H187</f>
        <v>0</v>
      </c>
      <c r="L188" s="38">
        <f>IBIT!G187</f>
        <v>0</v>
      </c>
      <c r="M188" s="98">
        <f>SUM(btc_ratios3[[#This Row],[ARKB]:[IBIT]])</f>
        <v>0</v>
      </c>
      <c r="N188" s="98"/>
      <c r="O188" s="132"/>
      <c r="P188" s="136">
        <f>ARKB!H187</f>
        <v>0</v>
      </c>
      <c r="Q188" s="136"/>
      <c r="R188" s="137"/>
    </row>
    <row r="189" spans="1:18" ht="15" customHeight="1">
      <c r="A189" s="13" t="str">
        <f>scalars[[#This Row],[DOW]]</f>
        <v>Sunday</v>
      </c>
      <c r="B189" s="28">
        <f t="shared" si="6"/>
        <v>46264</v>
      </c>
      <c r="C189" s="38">
        <f>ARKB!G188</f>
        <v>0</v>
      </c>
      <c r="D189" s="38">
        <f>BITB!H188</f>
        <v>0</v>
      </c>
      <c r="E189" s="98">
        <f>BRRR!G189</f>
        <v>0</v>
      </c>
      <c r="F189" s="38">
        <f>BTC!J188</f>
        <v>0</v>
      </c>
      <c r="G189" s="38">
        <f>BTCW!H188</f>
        <v>0</v>
      </c>
      <c r="H189" s="38">
        <f>EZBC!F188</f>
        <v>0</v>
      </c>
      <c r="J189" s="38">
        <f>GBTC!K188</f>
        <v>0</v>
      </c>
      <c r="K189" s="38">
        <f>HODL!H188</f>
        <v>0</v>
      </c>
      <c r="L189" s="38">
        <f>IBIT!G188</f>
        <v>0</v>
      </c>
      <c r="M189" s="98">
        <f>SUM(btc_ratios3[[#This Row],[ARKB]:[IBIT]])</f>
        <v>0</v>
      </c>
      <c r="N189" s="98"/>
      <c r="O189" s="132"/>
      <c r="P189" s="136">
        <f>ARKB!H188</f>
        <v>0</v>
      </c>
      <c r="Q189" s="136"/>
      <c r="R189" s="137"/>
    </row>
    <row r="190" spans="1:18" ht="15" customHeight="1">
      <c r="A190" s="13" t="str">
        <f>scalars[[#This Row],[DOW]]</f>
        <v>Monday</v>
      </c>
      <c r="B190" s="28">
        <f t="shared" si="6"/>
        <v>46265</v>
      </c>
      <c r="C190" s="38">
        <f>ARKB!G189</f>
        <v>0</v>
      </c>
      <c r="D190" s="38">
        <f>BITB!H189</f>
        <v>0</v>
      </c>
      <c r="E190" s="98">
        <f>BRRR!G190</f>
        <v>0</v>
      </c>
      <c r="F190" s="38">
        <f>BTC!J189</f>
        <v>0</v>
      </c>
      <c r="G190" s="38">
        <f>BTCW!H189</f>
        <v>0</v>
      </c>
      <c r="H190" s="38">
        <f>EZBC!F189</f>
        <v>0</v>
      </c>
      <c r="J190" s="38">
        <f>GBTC!K189</f>
        <v>0</v>
      </c>
      <c r="K190" s="38">
        <f>HODL!H189</f>
        <v>0</v>
      </c>
      <c r="L190" s="38">
        <f>IBIT!G189</f>
        <v>0</v>
      </c>
      <c r="M190" s="98">
        <f>SUM(btc_ratios3[[#This Row],[ARKB]:[IBIT]])</f>
        <v>0</v>
      </c>
      <c r="N190" s="98"/>
      <c r="O190" s="132"/>
      <c r="P190" s="136">
        <f>ARKB!H189</f>
        <v>0</v>
      </c>
      <c r="Q190" s="136"/>
      <c r="R190" s="137"/>
    </row>
    <row r="191" spans="1:18" ht="15" customHeight="1">
      <c r="A191" s="13" t="str">
        <f>scalars[[#This Row],[DOW]]</f>
        <v>Tuesday</v>
      </c>
      <c r="B191" s="28">
        <f t="shared" si="6"/>
        <v>46266</v>
      </c>
      <c r="C191" s="38">
        <f>ARKB!G190</f>
        <v>0</v>
      </c>
      <c r="D191" s="38">
        <f>BITB!H190</f>
        <v>0</v>
      </c>
      <c r="E191" s="98">
        <f>BRRR!G191</f>
        <v>0</v>
      </c>
      <c r="F191" s="38">
        <f>BTC!J190</f>
        <v>0</v>
      </c>
      <c r="G191" s="38">
        <f>BTCW!H190</f>
        <v>0</v>
      </c>
      <c r="H191" s="38">
        <f>EZBC!F190</f>
        <v>0</v>
      </c>
      <c r="J191" s="38">
        <f>GBTC!K190</f>
        <v>0</v>
      </c>
      <c r="K191" s="38">
        <f>HODL!H190</f>
        <v>0</v>
      </c>
      <c r="L191" s="38">
        <f>IBIT!G190</f>
        <v>0</v>
      </c>
      <c r="M191" s="98">
        <f>SUM(btc_ratios3[[#This Row],[ARKB]:[IBIT]])</f>
        <v>0</v>
      </c>
      <c r="N191" s="98"/>
      <c r="O191" s="132"/>
      <c r="P191" s="136">
        <f>ARKB!H190</f>
        <v>0</v>
      </c>
      <c r="Q191" s="136"/>
      <c r="R191" s="137"/>
    </row>
    <row r="192" spans="1:18" ht="15" customHeight="1">
      <c r="A192" s="13" t="str">
        <f>scalars[[#This Row],[DOW]]</f>
        <v>Wednesday</v>
      </c>
      <c r="B192" s="28">
        <f t="shared" si="6"/>
        <v>46267</v>
      </c>
      <c r="C192" s="38">
        <f>ARKB!G191</f>
        <v>0</v>
      </c>
      <c r="D192" s="38">
        <f>BITB!H191</f>
        <v>0</v>
      </c>
      <c r="E192" s="98">
        <f>BRRR!G192</f>
        <v>0</v>
      </c>
      <c r="F192" s="38">
        <f>BTC!J191</f>
        <v>0</v>
      </c>
      <c r="G192" s="38">
        <f>BTCW!H191</f>
        <v>0</v>
      </c>
      <c r="H192" s="38">
        <f>EZBC!F191</f>
        <v>0</v>
      </c>
      <c r="J192" s="38">
        <f>GBTC!K191</f>
        <v>0</v>
      </c>
      <c r="K192" s="38">
        <f>HODL!H191</f>
        <v>0</v>
      </c>
      <c r="L192" s="38">
        <f>IBIT!G191</f>
        <v>0</v>
      </c>
      <c r="M192" s="98">
        <f>SUM(btc_ratios3[[#This Row],[ARKB]:[IBIT]])</f>
        <v>0</v>
      </c>
      <c r="N192" s="98"/>
      <c r="O192" s="132"/>
      <c r="P192" s="136">
        <f>ARKB!H191</f>
        <v>0</v>
      </c>
      <c r="Q192" s="136"/>
      <c r="R192" s="137"/>
    </row>
    <row r="193" spans="1:18" ht="15" customHeight="1">
      <c r="A193" s="13" t="str">
        <f>scalars[[#This Row],[DOW]]</f>
        <v>Thursday</v>
      </c>
      <c r="B193" s="28">
        <f t="shared" si="6"/>
        <v>46268</v>
      </c>
      <c r="C193" s="38">
        <f>ARKB!G192</f>
        <v>0</v>
      </c>
      <c r="D193" s="38">
        <f>BITB!H192</f>
        <v>0</v>
      </c>
      <c r="E193" s="98">
        <f>BRRR!G193</f>
        <v>0</v>
      </c>
      <c r="F193" s="38">
        <f>BTC!J192</f>
        <v>0</v>
      </c>
      <c r="G193" s="38">
        <f>BTCW!H192</f>
        <v>0</v>
      </c>
      <c r="H193" s="38">
        <f>EZBC!F192</f>
        <v>0</v>
      </c>
      <c r="J193" s="38">
        <f>GBTC!K192</f>
        <v>0</v>
      </c>
      <c r="K193" s="38">
        <f>HODL!H192</f>
        <v>0</v>
      </c>
      <c r="L193" s="38">
        <f>IBIT!G192</f>
        <v>0</v>
      </c>
      <c r="M193" s="98">
        <f>SUM(btc_ratios3[[#This Row],[ARKB]:[IBIT]])</f>
        <v>0</v>
      </c>
      <c r="N193" s="98"/>
      <c r="O193" s="132"/>
      <c r="P193" s="136">
        <f>ARKB!H192</f>
        <v>0</v>
      </c>
      <c r="Q193" s="136"/>
      <c r="R193" s="137"/>
    </row>
    <row r="194" spans="1:18" ht="15" customHeight="1">
      <c r="A194" s="13" t="str">
        <f>scalars[[#This Row],[DOW]]</f>
        <v>Friday</v>
      </c>
      <c r="B194" s="28">
        <f t="shared" si="6"/>
        <v>46269</v>
      </c>
      <c r="C194" s="38">
        <f>ARKB!G193</f>
        <v>0</v>
      </c>
      <c r="D194" s="38">
        <f>BITB!H193</f>
        <v>0</v>
      </c>
      <c r="E194" s="98">
        <f>BRRR!G194</f>
        <v>0</v>
      </c>
      <c r="F194" s="38">
        <f>BTC!J193</f>
        <v>0</v>
      </c>
      <c r="G194" s="38">
        <f>BTCW!H193</f>
        <v>0</v>
      </c>
      <c r="H194" s="38">
        <f>EZBC!F193</f>
        <v>0</v>
      </c>
      <c r="J194" s="38">
        <f>GBTC!K193</f>
        <v>0</v>
      </c>
      <c r="K194" s="38">
        <f>HODL!H193</f>
        <v>0</v>
      </c>
      <c r="L194" s="38">
        <f>IBIT!G193</f>
        <v>0</v>
      </c>
      <c r="M194" s="98">
        <f>SUM(btc_ratios3[[#This Row],[ARKB]:[IBIT]])</f>
        <v>0</v>
      </c>
      <c r="N194" s="98"/>
      <c r="O194" s="132"/>
      <c r="P194" s="136">
        <f>ARKB!H193</f>
        <v>0</v>
      </c>
      <c r="Q194" s="136"/>
      <c r="R194" s="137"/>
    </row>
    <row r="195" spans="1:18" ht="15" customHeight="1">
      <c r="A195" s="13" t="str">
        <f>scalars[[#This Row],[DOW]]</f>
        <v>Saturday</v>
      </c>
      <c r="B195" s="28">
        <f t="shared" si="6"/>
        <v>46270</v>
      </c>
      <c r="C195" s="38">
        <f>ARKB!G194</f>
        <v>0</v>
      </c>
      <c r="D195" s="38">
        <f>BITB!H194</f>
        <v>0</v>
      </c>
      <c r="E195" s="98">
        <f>BRRR!G195</f>
        <v>0</v>
      </c>
      <c r="F195" s="38">
        <f>BTC!J194</f>
        <v>0</v>
      </c>
      <c r="G195" s="38">
        <f>BTCW!H194</f>
        <v>0</v>
      </c>
      <c r="H195" s="38">
        <f>EZBC!F194</f>
        <v>0</v>
      </c>
      <c r="J195" s="38">
        <f>GBTC!K194</f>
        <v>0</v>
      </c>
      <c r="K195" s="38">
        <f>HODL!H194</f>
        <v>0</v>
      </c>
      <c r="L195" s="38">
        <f>IBIT!G194</f>
        <v>0</v>
      </c>
      <c r="M195" s="98">
        <f>SUM(btc_ratios3[[#This Row],[ARKB]:[IBIT]])</f>
        <v>0</v>
      </c>
      <c r="N195" s="98"/>
      <c r="O195" s="132"/>
      <c r="P195" s="136">
        <f>ARKB!H194</f>
        <v>0</v>
      </c>
      <c r="Q195" s="136"/>
      <c r="R195" s="137"/>
    </row>
    <row r="196" spans="1:18" ht="15" customHeight="1">
      <c r="A196" s="13" t="str">
        <f>scalars[[#This Row],[DOW]]</f>
        <v>Sunday</v>
      </c>
      <c r="B196" s="28">
        <f t="shared" si="6"/>
        <v>46271</v>
      </c>
      <c r="C196" s="38">
        <f>ARKB!G195</f>
        <v>0</v>
      </c>
      <c r="D196" s="38">
        <f>BITB!H195</f>
        <v>0</v>
      </c>
      <c r="E196" s="98">
        <f>BRRR!G196</f>
        <v>0</v>
      </c>
      <c r="F196" s="38">
        <f>BTC!J195</f>
        <v>0</v>
      </c>
      <c r="G196" s="38">
        <f>BTCW!H195</f>
        <v>0</v>
      </c>
      <c r="H196" s="38">
        <f>EZBC!F195</f>
        <v>0</v>
      </c>
      <c r="J196" s="38">
        <f>GBTC!K195</f>
        <v>0</v>
      </c>
      <c r="K196" s="38">
        <f>HODL!H195</f>
        <v>0</v>
      </c>
      <c r="L196" s="38">
        <f>IBIT!G195</f>
        <v>0</v>
      </c>
      <c r="M196" s="98">
        <f>SUM(btc_ratios3[[#This Row],[ARKB]:[IBIT]])</f>
        <v>0</v>
      </c>
      <c r="N196" s="98"/>
      <c r="O196" s="132"/>
      <c r="P196" s="136">
        <f>ARKB!H195</f>
        <v>0</v>
      </c>
      <c r="Q196" s="136"/>
      <c r="R196" s="137"/>
    </row>
    <row r="197" spans="1:18" ht="15" customHeight="1">
      <c r="A197" s="13" t="str">
        <f>scalars[[#This Row],[DOW]]</f>
        <v>Monday</v>
      </c>
      <c r="B197" s="28">
        <f t="shared" si="6"/>
        <v>46272</v>
      </c>
      <c r="C197" s="38">
        <f>ARKB!G196</f>
        <v>0</v>
      </c>
      <c r="D197" s="38">
        <f>BITB!H196</f>
        <v>0</v>
      </c>
      <c r="E197" s="98">
        <f>BRRR!G197</f>
        <v>0</v>
      </c>
      <c r="F197" s="38">
        <f>BTC!J196</f>
        <v>0</v>
      </c>
      <c r="G197" s="38">
        <f>BTCW!H196</f>
        <v>0</v>
      </c>
      <c r="H197" s="38">
        <f>EZBC!F196</f>
        <v>0</v>
      </c>
      <c r="J197" s="38">
        <f>GBTC!K196</f>
        <v>0</v>
      </c>
      <c r="K197" s="38">
        <f>HODL!H196</f>
        <v>0</v>
      </c>
      <c r="L197" s="38">
        <f>IBIT!G196</f>
        <v>0</v>
      </c>
      <c r="M197" s="98">
        <f>SUM(btc_ratios3[[#This Row],[ARKB]:[IBIT]])</f>
        <v>0</v>
      </c>
      <c r="N197" s="98"/>
      <c r="O197" s="132"/>
      <c r="P197" s="136">
        <f>ARKB!H196</f>
        <v>0</v>
      </c>
      <c r="Q197" s="136"/>
      <c r="R197" s="137"/>
    </row>
    <row r="198" spans="1:18" ht="15" customHeight="1">
      <c r="A198" s="13" t="str">
        <f>scalars[[#This Row],[DOW]]</f>
        <v>Tuesday</v>
      </c>
      <c r="B198" s="28">
        <f t="shared" si="6"/>
        <v>46273</v>
      </c>
      <c r="C198" s="38">
        <f>ARKB!G197</f>
        <v>0</v>
      </c>
      <c r="D198" s="38">
        <f>BITB!H197</f>
        <v>0</v>
      </c>
      <c r="E198" s="98">
        <f>BRRR!G198</f>
        <v>0</v>
      </c>
      <c r="F198" s="38">
        <f>BTC!J197</f>
        <v>0</v>
      </c>
      <c r="G198" s="38">
        <f>BTCW!H197</f>
        <v>0</v>
      </c>
      <c r="H198" s="38">
        <f>EZBC!F197</f>
        <v>0</v>
      </c>
      <c r="J198" s="38">
        <f>GBTC!K197</f>
        <v>0</v>
      </c>
      <c r="K198" s="38">
        <f>HODL!H197</f>
        <v>0</v>
      </c>
      <c r="L198" s="38">
        <f>IBIT!G197</f>
        <v>0</v>
      </c>
      <c r="M198" s="98">
        <f>SUM(btc_ratios3[[#This Row],[ARKB]:[IBIT]])</f>
        <v>0</v>
      </c>
      <c r="N198" s="98"/>
      <c r="O198" s="132"/>
      <c r="P198" s="136">
        <f>ARKB!H197</f>
        <v>0</v>
      </c>
      <c r="Q198" s="136"/>
      <c r="R198" s="137"/>
    </row>
    <row r="199" spans="1:18" ht="15" customHeight="1">
      <c r="A199" s="13" t="str">
        <f>scalars[[#This Row],[DOW]]</f>
        <v>Wednesday</v>
      </c>
      <c r="B199" s="28">
        <f t="shared" si="6"/>
        <v>46274</v>
      </c>
      <c r="C199" s="38">
        <f>ARKB!G198</f>
        <v>0</v>
      </c>
      <c r="D199" s="38">
        <f>BITB!H198</f>
        <v>0</v>
      </c>
      <c r="E199" s="98">
        <f>BRRR!G199</f>
        <v>0</v>
      </c>
      <c r="F199" s="38">
        <f>BTC!J198</f>
        <v>0</v>
      </c>
      <c r="G199" s="38">
        <f>BTCW!H198</f>
        <v>0</v>
      </c>
      <c r="H199" s="38">
        <f>EZBC!F198</f>
        <v>0</v>
      </c>
      <c r="J199" s="38">
        <f>GBTC!K198</f>
        <v>0</v>
      </c>
      <c r="K199" s="38">
        <f>HODL!H198</f>
        <v>0</v>
      </c>
      <c r="L199" s="38">
        <f>IBIT!G198</f>
        <v>0</v>
      </c>
      <c r="M199" s="98">
        <f>SUM(btc_ratios3[[#This Row],[ARKB]:[IBIT]])</f>
        <v>0</v>
      </c>
      <c r="N199" s="98"/>
      <c r="O199" s="132"/>
      <c r="P199" s="136">
        <f>ARKB!H198</f>
        <v>0</v>
      </c>
      <c r="Q199" s="136"/>
      <c r="R199" s="137"/>
    </row>
    <row r="200" spans="1:18" ht="15" customHeight="1">
      <c r="A200" s="13" t="str">
        <f>scalars[[#This Row],[DOW]]</f>
        <v>Thursday</v>
      </c>
      <c r="B200" s="28">
        <f t="shared" si="6"/>
        <v>46275</v>
      </c>
      <c r="C200" s="38">
        <f>ARKB!G199</f>
        <v>0</v>
      </c>
      <c r="D200" s="38">
        <f>BITB!H199</f>
        <v>0</v>
      </c>
      <c r="E200" s="98">
        <f>BRRR!G200</f>
        <v>0</v>
      </c>
      <c r="F200" s="38">
        <f>BTC!J199</f>
        <v>0</v>
      </c>
      <c r="G200" s="38">
        <f>BTCW!H199</f>
        <v>0</v>
      </c>
      <c r="H200" s="38">
        <f>EZBC!F199</f>
        <v>0</v>
      </c>
      <c r="J200" s="38">
        <f>GBTC!K199</f>
        <v>0</v>
      </c>
      <c r="K200" s="38">
        <f>HODL!H199</f>
        <v>0</v>
      </c>
      <c r="L200" s="38">
        <f>IBIT!G199</f>
        <v>0</v>
      </c>
      <c r="M200" s="98">
        <f>SUM(btc_ratios3[[#This Row],[ARKB]:[IBIT]])</f>
        <v>0</v>
      </c>
      <c r="N200" s="98"/>
      <c r="O200" s="132"/>
      <c r="P200" s="136">
        <f>ARKB!H199</f>
        <v>0</v>
      </c>
      <c r="Q200" s="136"/>
      <c r="R200" s="137"/>
    </row>
    <row r="201" spans="1:18" ht="15" customHeight="1">
      <c r="A201" s="13" t="str">
        <f>scalars[[#This Row],[DOW]]</f>
        <v>Friday</v>
      </c>
      <c r="B201" s="28">
        <f t="shared" ref="B201:B264" si="7">B200+1</f>
        <v>46276</v>
      </c>
      <c r="C201" s="38">
        <f>ARKB!G200</f>
        <v>0</v>
      </c>
      <c r="D201" s="38">
        <f>BITB!H200</f>
        <v>0</v>
      </c>
      <c r="E201" s="98">
        <f>BRRR!G201</f>
        <v>0</v>
      </c>
      <c r="F201" s="38">
        <f>BTC!J200</f>
        <v>0</v>
      </c>
      <c r="G201" s="38">
        <f>BTCW!H200</f>
        <v>0</v>
      </c>
      <c r="H201" s="38">
        <f>EZBC!F200</f>
        <v>0</v>
      </c>
      <c r="J201" s="38">
        <f>GBTC!K200</f>
        <v>0</v>
      </c>
      <c r="K201" s="38">
        <f>HODL!H200</f>
        <v>0</v>
      </c>
      <c r="L201" s="38">
        <f>IBIT!G200</f>
        <v>0</v>
      </c>
      <c r="M201" s="98">
        <f>SUM(btc_ratios3[[#This Row],[ARKB]:[IBIT]])</f>
        <v>0</v>
      </c>
      <c r="N201" s="98"/>
      <c r="O201" s="132"/>
      <c r="P201" s="136">
        <f>ARKB!H200</f>
        <v>0</v>
      </c>
      <c r="Q201" s="136"/>
      <c r="R201" s="137"/>
    </row>
    <row r="202" spans="1:18" ht="15" customHeight="1">
      <c r="A202" s="13" t="str">
        <f>scalars[[#This Row],[DOW]]</f>
        <v>Saturday</v>
      </c>
      <c r="B202" s="28">
        <f t="shared" si="7"/>
        <v>46277</v>
      </c>
      <c r="C202" s="38">
        <f>ARKB!G201</f>
        <v>0</v>
      </c>
      <c r="D202" s="38">
        <f>BITB!H201</f>
        <v>0</v>
      </c>
      <c r="E202" s="98">
        <f>BRRR!G202</f>
        <v>0</v>
      </c>
      <c r="F202" s="38">
        <f>BTC!J201</f>
        <v>0</v>
      </c>
      <c r="G202" s="38">
        <f>BTCW!H201</f>
        <v>0</v>
      </c>
      <c r="H202" s="38">
        <f>EZBC!F201</f>
        <v>0</v>
      </c>
      <c r="J202" s="38">
        <f>GBTC!K201</f>
        <v>0</v>
      </c>
      <c r="K202" s="38">
        <f>HODL!H201</f>
        <v>0</v>
      </c>
      <c r="L202" s="38">
        <f>IBIT!G201</f>
        <v>0</v>
      </c>
      <c r="M202" s="98">
        <f>SUM(btc_ratios3[[#This Row],[ARKB]:[IBIT]])</f>
        <v>0</v>
      </c>
      <c r="N202" s="98"/>
      <c r="O202" s="132"/>
      <c r="P202" s="136">
        <f>ARKB!H201</f>
        <v>0</v>
      </c>
      <c r="Q202" s="136"/>
      <c r="R202" s="137"/>
    </row>
    <row r="203" spans="1:18" ht="15" customHeight="1">
      <c r="A203" s="13" t="str">
        <f>scalars[[#This Row],[DOW]]</f>
        <v>Sunday</v>
      </c>
      <c r="B203" s="28">
        <f t="shared" si="7"/>
        <v>46278</v>
      </c>
      <c r="C203" s="38">
        <f>ARKB!G202</f>
        <v>0</v>
      </c>
      <c r="D203" s="38">
        <f>BITB!H202</f>
        <v>0</v>
      </c>
      <c r="E203" s="98">
        <f>BRRR!G203</f>
        <v>0</v>
      </c>
      <c r="F203" s="38">
        <f>BTC!J202</f>
        <v>0</v>
      </c>
      <c r="G203" s="38">
        <f>BTCW!H202</f>
        <v>0</v>
      </c>
      <c r="H203" s="38">
        <f>EZBC!F202</f>
        <v>0</v>
      </c>
      <c r="J203" s="38">
        <f>GBTC!K202</f>
        <v>0</v>
      </c>
      <c r="K203" s="38">
        <f>HODL!H202</f>
        <v>0</v>
      </c>
      <c r="L203" s="38">
        <f>IBIT!G202</f>
        <v>0</v>
      </c>
      <c r="M203" s="98">
        <f>SUM(btc_ratios3[[#This Row],[ARKB]:[IBIT]])</f>
        <v>0</v>
      </c>
      <c r="N203" s="98"/>
      <c r="O203" s="132"/>
      <c r="P203" s="136">
        <f>ARKB!H202</f>
        <v>0</v>
      </c>
      <c r="Q203" s="136"/>
      <c r="R203" s="137"/>
    </row>
    <row r="204" spans="1:18" ht="15" customHeight="1">
      <c r="A204" s="13" t="str">
        <f>scalars[[#This Row],[DOW]]</f>
        <v>Monday</v>
      </c>
      <c r="B204" s="28">
        <f t="shared" si="7"/>
        <v>46279</v>
      </c>
      <c r="C204" s="38">
        <f>ARKB!G203</f>
        <v>0</v>
      </c>
      <c r="D204" s="38">
        <f>BITB!H203</f>
        <v>0</v>
      </c>
      <c r="E204" s="98">
        <f>BRRR!G204</f>
        <v>0</v>
      </c>
      <c r="F204" s="38">
        <f>BTC!J203</f>
        <v>0</v>
      </c>
      <c r="G204" s="38">
        <f>BTCW!H203</f>
        <v>0</v>
      </c>
      <c r="H204" s="38">
        <f>EZBC!F203</f>
        <v>0</v>
      </c>
      <c r="J204" s="38">
        <f>GBTC!K203</f>
        <v>0</v>
      </c>
      <c r="K204" s="38">
        <f>HODL!H203</f>
        <v>0</v>
      </c>
      <c r="L204" s="38">
        <f>IBIT!G203</f>
        <v>0</v>
      </c>
      <c r="M204" s="98">
        <f>SUM(btc_ratios3[[#This Row],[ARKB]:[IBIT]])</f>
        <v>0</v>
      </c>
      <c r="N204" s="98"/>
      <c r="O204" s="132"/>
      <c r="P204" s="136">
        <f>ARKB!H203</f>
        <v>0</v>
      </c>
      <c r="Q204" s="136"/>
      <c r="R204" s="137"/>
    </row>
    <row r="205" spans="1:18" ht="15" customHeight="1">
      <c r="A205" s="13" t="str">
        <f>scalars[[#This Row],[DOW]]</f>
        <v>Tuesday</v>
      </c>
      <c r="B205" s="28">
        <f t="shared" si="7"/>
        <v>46280</v>
      </c>
      <c r="C205" s="38">
        <f>ARKB!G204</f>
        <v>0</v>
      </c>
      <c r="D205" s="38">
        <f>BITB!H204</f>
        <v>0</v>
      </c>
      <c r="E205" s="98">
        <f>BRRR!G205</f>
        <v>0</v>
      </c>
      <c r="F205" s="38">
        <f>BTC!J204</f>
        <v>0</v>
      </c>
      <c r="G205" s="38">
        <f>BTCW!H204</f>
        <v>0</v>
      </c>
      <c r="H205" s="38">
        <f>EZBC!F204</f>
        <v>0</v>
      </c>
      <c r="J205" s="38">
        <f>GBTC!K204</f>
        <v>0</v>
      </c>
      <c r="K205" s="38">
        <f>HODL!H204</f>
        <v>0</v>
      </c>
      <c r="L205" s="38">
        <f>IBIT!G204</f>
        <v>0</v>
      </c>
      <c r="M205" s="98">
        <f>SUM(btc_ratios3[[#This Row],[ARKB]:[IBIT]])</f>
        <v>0</v>
      </c>
      <c r="N205" s="98"/>
      <c r="O205" s="132"/>
      <c r="P205" s="136">
        <f>ARKB!H204</f>
        <v>0</v>
      </c>
      <c r="Q205" s="136"/>
      <c r="R205" s="137"/>
    </row>
    <row r="206" spans="1:18" ht="15" customHeight="1">
      <c r="A206" s="13" t="str">
        <f>scalars[[#This Row],[DOW]]</f>
        <v>Wednesday</v>
      </c>
      <c r="B206" s="28">
        <f t="shared" si="7"/>
        <v>46281</v>
      </c>
      <c r="C206" s="38">
        <f>ARKB!G205</f>
        <v>0</v>
      </c>
      <c r="D206" s="38">
        <f>BITB!H205</f>
        <v>0</v>
      </c>
      <c r="E206" s="98">
        <f>BRRR!G206</f>
        <v>0</v>
      </c>
      <c r="F206" s="38">
        <f>BTC!J205</f>
        <v>0</v>
      </c>
      <c r="G206" s="38">
        <f>BTCW!H205</f>
        <v>0</v>
      </c>
      <c r="H206" s="38">
        <f>EZBC!F205</f>
        <v>0</v>
      </c>
      <c r="J206" s="38">
        <f>GBTC!K205</f>
        <v>0</v>
      </c>
      <c r="K206" s="38">
        <f>HODL!H205</f>
        <v>0</v>
      </c>
      <c r="L206" s="38">
        <f>IBIT!G205</f>
        <v>0</v>
      </c>
      <c r="M206" s="98">
        <f>SUM(btc_ratios3[[#This Row],[ARKB]:[IBIT]])</f>
        <v>0</v>
      </c>
      <c r="N206" s="98"/>
      <c r="O206" s="132"/>
      <c r="P206" s="136">
        <f>ARKB!H205</f>
        <v>0</v>
      </c>
      <c r="Q206" s="136"/>
      <c r="R206" s="137"/>
    </row>
    <row r="207" spans="1:18" ht="15" customHeight="1">
      <c r="A207" s="13" t="str">
        <f>scalars[[#This Row],[DOW]]</f>
        <v>Thursday</v>
      </c>
      <c r="B207" s="28">
        <f t="shared" si="7"/>
        <v>46282</v>
      </c>
      <c r="C207" s="38">
        <f>ARKB!G206</f>
        <v>0</v>
      </c>
      <c r="D207" s="38">
        <f>BITB!H206</f>
        <v>0</v>
      </c>
      <c r="E207" s="98">
        <f>BRRR!G207</f>
        <v>0</v>
      </c>
      <c r="F207" s="38">
        <f>BTC!J206</f>
        <v>0</v>
      </c>
      <c r="G207" s="38">
        <f>BTCW!H206</f>
        <v>0</v>
      </c>
      <c r="H207" s="38">
        <f>EZBC!F206</f>
        <v>0</v>
      </c>
      <c r="J207" s="38">
        <f>GBTC!K206</f>
        <v>0</v>
      </c>
      <c r="K207" s="38">
        <f>HODL!H206</f>
        <v>0</v>
      </c>
      <c r="L207" s="38">
        <f>IBIT!G206</f>
        <v>0</v>
      </c>
      <c r="M207" s="98">
        <f>SUM(btc_ratios3[[#This Row],[ARKB]:[IBIT]])</f>
        <v>0</v>
      </c>
      <c r="N207" s="98"/>
      <c r="O207" s="132"/>
      <c r="P207" s="136">
        <f>ARKB!H206</f>
        <v>0</v>
      </c>
      <c r="Q207" s="136"/>
      <c r="R207" s="137"/>
    </row>
    <row r="208" spans="1:18" ht="15" customHeight="1">
      <c r="A208" s="13" t="str">
        <f>scalars[[#This Row],[DOW]]</f>
        <v>Friday</v>
      </c>
      <c r="B208" s="28">
        <f t="shared" si="7"/>
        <v>46283</v>
      </c>
      <c r="C208" s="38">
        <f>ARKB!G207</f>
        <v>0</v>
      </c>
      <c r="D208" s="38">
        <f>BITB!H207</f>
        <v>0</v>
      </c>
      <c r="E208" s="98">
        <f>BRRR!G208</f>
        <v>0</v>
      </c>
      <c r="F208" s="38">
        <f>BTC!J207</f>
        <v>0</v>
      </c>
      <c r="G208" s="38">
        <f>BTCW!H207</f>
        <v>0</v>
      </c>
      <c r="H208" s="38">
        <f>EZBC!F207</f>
        <v>0</v>
      </c>
      <c r="J208" s="38">
        <f>GBTC!K207</f>
        <v>0</v>
      </c>
      <c r="K208" s="38">
        <f>HODL!H207</f>
        <v>0</v>
      </c>
      <c r="L208" s="38">
        <f>IBIT!G207</f>
        <v>0</v>
      </c>
      <c r="M208" s="98">
        <f>SUM(btc_ratios3[[#This Row],[ARKB]:[IBIT]])</f>
        <v>0</v>
      </c>
      <c r="N208" s="98"/>
      <c r="O208" s="132"/>
      <c r="P208" s="136">
        <f>ARKB!H207</f>
        <v>0</v>
      </c>
      <c r="Q208" s="136"/>
      <c r="R208" s="137"/>
    </row>
    <row r="209" spans="1:18" ht="15" customHeight="1">
      <c r="A209" s="13" t="str">
        <f>scalars[[#This Row],[DOW]]</f>
        <v>Saturday</v>
      </c>
      <c r="B209" s="28">
        <f t="shared" si="7"/>
        <v>46284</v>
      </c>
      <c r="C209" s="38">
        <f>ARKB!G208</f>
        <v>0</v>
      </c>
      <c r="D209" s="38">
        <f>BITB!H208</f>
        <v>0</v>
      </c>
      <c r="E209" s="98">
        <f>BRRR!G209</f>
        <v>0</v>
      </c>
      <c r="F209" s="38">
        <f>BTC!J208</f>
        <v>0</v>
      </c>
      <c r="G209" s="38">
        <f>BTCW!H208</f>
        <v>0</v>
      </c>
      <c r="H209" s="38">
        <f>EZBC!F208</f>
        <v>0</v>
      </c>
      <c r="J209" s="38">
        <f>GBTC!K208</f>
        <v>0</v>
      </c>
      <c r="K209" s="38">
        <f>HODL!H208</f>
        <v>0</v>
      </c>
      <c r="L209" s="38">
        <f>IBIT!G208</f>
        <v>0</v>
      </c>
      <c r="M209" s="98">
        <f>SUM(btc_ratios3[[#This Row],[ARKB]:[IBIT]])</f>
        <v>0</v>
      </c>
      <c r="N209" s="98"/>
      <c r="O209" s="132"/>
      <c r="P209" s="136">
        <f>ARKB!H208</f>
        <v>0</v>
      </c>
      <c r="Q209" s="136"/>
      <c r="R209" s="137"/>
    </row>
    <row r="210" spans="1:18" ht="15" customHeight="1">
      <c r="A210" s="13" t="str">
        <f>scalars[[#This Row],[DOW]]</f>
        <v>Sunday</v>
      </c>
      <c r="B210" s="28">
        <f t="shared" si="7"/>
        <v>46285</v>
      </c>
      <c r="C210" s="38">
        <f>ARKB!G209</f>
        <v>0</v>
      </c>
      <c r="D210" s="38">
        <f>BITB!H209</f>
        <v>0</v>
      </c>
      <c r="E210" s="98">
        <f>BRRR!G210</f>
        <v>0</v>
      </c>
      <c r="F210" s="38">
        <f>BTC!J209</f>
        <v>0</v>
      </c>
      <c r="G210" s="38">
        <f>BTCW!H209</f>
        <v>0</v>
      </c>
      <c r="H210" s="38">
        <f>EZBC!F209</f>
        <v>0</v>
      </c>
      <c r="J210" s="38">
        <f>GBTC!K209</f>
        <v>0</v>
      </c>
      <c r="K210" s="38">
        <f>HODL!H209</f>
        <v>0</v>
      </c>
      <c r="L210" s="38">
        <f>IBIT!G209</f>
        <v>0</v>
      </c>
      <c r="M210" s="98">
        <f>SUM(btc_ratios3[[#This Row],[ARKB]:[IBIT]])</f>
        <v>0</v>
      </c>
      <c r="N210" s="98"/>
      <c r="O210" s="132"/>
      <c r="P210" s="136">
        <f>ARKB!H209</f>
        <v>0</v>
      </c>
      <c r="Q210" s="136"/>
      <c r="R210" s="137"/>
    </row>
    <row r="211" spans="1:18" ht="15" customHeight="1">
      <c r="A211" s="13" t="str">
        <f>scalars[[#This Row],[DOW]]</f>
        <v>Monday</v>
      </c>
      <c r="B211" s="28">
        <f t="shared" si="7"/>
        <v>46286</v>
      </c>
      <c r="C211" s="38">
        <f>ARKB!G210</f>
        <v>0</v>
      </c>
      <c r="D211" s="38">
        <f>BITB!H210</f>
        <v>0</v>
      </c>
      <c r="E211" s="98">
        <f>BRRR!G211</f>
        <v>0</v>
      </c>
      <c r="F211" s="38">
        <f>BTC!J210</f>
        <v>0</v>
      </c>
      <c r="G211" s="38">
        <f>BTCW!H210</f>
        <v>0</v>
      </c>
      <c r="H211" s="38">
        <f>EZBC!F210</f>
        <v>0</v>
      </c>
      <c r="J211" s="38">
        <f>GBTC!K210</f>
        <v>0</v>
      </c>
      <c r="K211" s="38">
        <f>HODL!H210</f>
        <v>0</v>
      </c>
      <c r="L211" s="38">
        <f>IBIT!G210</f>
        <v>0</v>
      </c>
      <c r="M211" s="98">
        <f>SUM(btc_ratios3[[#This Row],[ARKB]:[IBIT]])</f>
        <v>0</v>
      </c>
      <c r="N211" s="98"/>
      <c r="O211" s="132"/>
      <c r="P211" s="136">
        <f>ARKB!H210</f>
        <v>0</v>
      </c>
      <c r="Q211" s="136"/>
      <c r="R211" s="137"/>
    </row>
    <row r="212" spans="1:18" ht="15" customHeight="1">
      <c r="A212" s="13" t="str">
        <f>scalars[[#This Row],[DOW]]</f>
        <v>Tuesday</v>
      </c>
      <c r="B212" s="28">
        <f t="shared" si="7"/>
        <v>46287</v>
      </c>
      <c r="C212" s="38">
        <f>ARKB!G211</f>
        <v>0</v>
      </c>
      <c r="D212" s="38">
        <f>BITB!H211</f>
        <v>0</v>
      </c>
      <c r="E212" s="98">
        <f>BRRR!G212</f>
        <v>0</v>
      </c>
      <c r="F212" s="38">
        <f>BTC!J211</f>
        <v>0</v>
      </c>
      <c r="G212" s="38">
        <f>BTCW!H211</f>
        <v>0</v>
      </c>
      <c r="H212" s="38">
        <f>EZBC!F211</f>
        <v>0</v>
      </c>
      <c r="J212" s="38">
        <f>GBTC!K211</f>
        <v>0</v>
      </c>
      <c r="K212" s="38">
        <f>HODL!H211</f>
        <v>0</v>
      </c>
      <c r="L212" s="38">
        <f>IBIT!G211</f>
        <v>0</v>
      </c>
      <c r="M212" s="98">
        <f>SUM(btc_ratios3[[#This Row],[ARKB]:[IBIT]])</f>
        <v>0</v>
      </c>
      <c r="N212" s="98"/>
      <c r="O212" s="132"/>
      <c r="P212" s="136">
        <f>ARKB!H211</f>
        <v>0</v>
      </c>
      <c r="Q212" s="136"/>
      <c r="R212" s="137"/>
    </row>
    <row r="213" spans="1:18" ht="15" customHeight="1">
      <c r="A213" s="13" t="str">
        <f>scalars[[#This Row],[DOW]]</f>
        <v>Wednesday</v>
      </c>
      <c r="B213" s="28">
        <f t="shared" si="7"/>
        <v>46288</v>
      </c>
      <c r="C213" s="38">
        <f>ARKB!G212</f>
        <v>0</v>
      </c>
      <c r="D213" s="38">
        <f>BITB!H212</f>
        <v>0</v>
      </c>
      <c r="E213" s="98">
        <f>BRRR!G213</f>
        <v>0</v>
      </c>
      <c r="F213" s="38">
        <f>BTC!J212</f>
        <v>0</v>
      </c>
      <c r="G213" s="38">
        <f>BTCW!H212</f>
        <v>0</v>
      </c>
      <c r="H213" s="38">
        <f>EZBC!F212</f>
        <v>0</v>
      </c>
      <c r="J213" s="38">
        <f>GBTC!K212</f>
        <v>0</v>
      </c>
      <c r="K213" s="38">
        <f>HODL!H212</f>
        <v>0</v>
      </c>
      <c r="L213" s="38">
        <f>IBIT!G212</f>
        <v>0</v>
      </c>
      <c r="M213" s="98">
        <f>SUM(btc_ratios3[[#This Row],[ARKB]:[IBIT]])</f>
        <v>0</v>
      </c>
      <c r="N213" s="98"/>
      <c r="O213" s="132"/>
      <c r="P213" s="136">
        <f>ARKB!H212</f>
        <v>0</v>
      </c>
      <c r="Q213" s="136"/>
      <c r="R213" s="137"/>
    </row>
    <row r="214" spans="1:18" ht="15" customHeight="1">
      <c r="A214" s="13" t="str">
        <f>scalars[[#This Row],[DOW]]</f>
        <v>Thursday</v>
      </c>
      <c r="B214" s="28">
        <f t="shared" si="7"/>
        <v>46289</v>
      </c>
      <c r="C214" s="38">
        <f>ARKB!G213</f>
        <v>0</v>
      </c>
      <c r="D214" s="38">
        <f>BITB!H213</f>
        <v>0</v>
      </c>
      <c r="E214" s="98">
        <f>BRRR!G214</f>
        <v>0</v>
      </c>
      <c r="F214" s="38">
        <f>BTC!J213</f>
        <v>0</v>
      </c>
      <c r="G214" s="38">
        <f>BTCW!H213</f>
        <v>0</v>
      </c>
      <c r="H214" s="38">
        <f>EZBC!F213</f>
        <v>0</v>
      </c>
      <c r="J214" s="38">
        <f>GBTC!K213</f>
        <v>0</v>
      </c>
      <c r="K214" s="38">
        <f>HODL!H213</f>
        <v>0</v>
      </c>
      <c r="L214" s="38">
        <f>IBIT!G213</f>
        <v>0</v>
      </c>
      <c r="M214" s="98">
        <f>SUM(btc_ratios3[[#This Row],[ARKB]:[IBIT]])</f>
        <v>0</v>
      </c>
      <c r="N214" s="98"/>
      <c r="O214" s="132"/>
      <c r="P214" s="136">
        <f>ARKB!H213</f>
        <v>0</v>
      </c>
      <c r="Q214" s="136"/>
      <c r="R214" s="137"/>
    </row>
    <row r="215" spans="1:18" ht="15" customHeight="1">
      <c r="A215" s="13" t="str">
        <f>scalars[[#This Row],[DOW]]</f>
        <v>Friday</v>
      </c>
      <c r="B215" s="28">
        <f t="shared" si="7"/>
        <v>46290</v>
      </c>
      <c r="C215" s="38">
        <f>ARKB!G214</f>
        <v>0</v>
      </c>
      <c r="D215" s="38">
        <f>BITB!H214</f>
        <v>0</v>
      </c>
      <c r="E215" s="98">
        <f>BRRR!G215</f>
        <v>0</v>
      </c>
      <c r="F215" s="38">
        <f>BTC!J214</f>
        <v>0</v>
      </c>
      <c r="G215" s="38">
        <f>BTCW!H214</f>
        <v>0</v>
      </c>
      <c r="H215" s="38">
        <f>EZBC!F214</f>
        <v>0</v>
      </c>
      <c r="J215" s="38">
        <f>GBTC!K214</f>
        <v>0</v>
      </c>
      <c r="K215" s="38">
        <f>HODL!H214</f>
        <v>0</v>
      </c>
      <c r="L215" s="38">
        <f>IBIT!G214</f>
        <v>0</v>
      </c>
      <c r="M215" s="98">
        <f>SUM(btc_ratios3[[#This Row],[ARKB]:[IBIT]])</f>
        <v>0</v>
      </c>
      <c r="N215" s="98"/>
      <c r="O215" s="132"/>
      <c r="P215" s="136">
        <f>ARKB!H214</f>
        <v>0</v>
      </c>
      <c r="Q215" s="136"/>
      <c r="R215" s="137"/>
    </row>
    <row r="216" spans="1:18" ht="15" customHeight="1">
      <c r="A216" s="13" t="str">
        <f>scalars[[#This Row],[DOW]]</f>
        <v>Saturday</v>
      </c>
      <c r="B216" s="28">
        <f t="shared" si="7"/>
        <v>46291</v>
      </c>
      <c r="C216" s="38">
        <f>ARKB!G215</f>
        <v>0</v>
      </c>
      <c r="D216" s="38">
        <f>BITB!H215</f>
        <v>0</v>
      </c>
      <c r="E216" s="98">
        <f>BRRR!G216</f>
        <v>0</v>
      </c>
      <c r="F216" s="38">
        <f>BTC!J215</f>
        <v>0</v>
      </c>
      <c r="G216" s="38">
        <f>BTCW!H215</f>
        <v>0</v>
      </c>
      <c r="H216" s="38">
        <f>EZBC!F215</f>
        <v>0</v>
      </c>
      <c r="J216" s="38">
        <f>GBTC!K215</f>
        <v>0</v>
      </c>
      <c r="K216" s="38">
        <f>HODL!H215</f>
        <v>0</v>
      </c>
      <c r="L216" s="38">
        <f>IBIT!G215</f>
        <v>0</v>
      </c>
      <c r="M216" s="98">
        <f>SUM(btc_ratios3[[#This Row],[ARKB]:[IBIT]])</f>
        <v>0</v>
      </c>
      <c r="N216" s="98"/>
      <c r="O216" s="132"/>
      <c r="P216" s="136">
        <f>ARKB!H215</f>
        <v>0</v>
      </c>
      <c r="Q216" s="136"/>
      <c r="R216" s="137"/>
    </row>
    <row r="217" spans="1:18" ht="15" customHeight="1">
      <c r="A217" s="13" t="str">
        <f>scalars[[#This Row],[DOW]]</f>
        <v>Sunday</v>
      </c>
      <c r="B217" s="28">
        <f t="shared" si="7"/>
        <v>46292</v>
      </c>
      <c r="C217" s="38">
        <f>ARKB!G216</f>
        <v>0</v>
      </c>
      <c r="D217" s="38">
        <f>BITB!H216</f>
        <v>0</v>
      </c>
      <c r="E217" s="98">
        <f>BRRR!G217</f>
        <v>0</v>
      </c>
      <c r="F217" s="38">
        <f>BTC!J216</f>
        <v>0</v>
      </c>
      <c r="G217" s="38">
        <f>BTCW!H216</f>
        <v>0</v>
      </c>
      <c r="H217" s="38">
        <f>EZBC!F216</f>
        <v>0</v>
      </c>
      <c r="J217" s="38">
        <f>GBTC!K216</f>
        <v>0</v>
      </c>
      <c r="K217" s="38">
        <f>HODL!H216</f>
        <v>0</v>
      </c>
      <c r="L217" s="38">
        <f>IBIT!G216</f>
        <v>0</v>
      </c>
      <c r="M217" s="98">
        <f>SUM(btc_ratios3[[#This Row],[ARKB]:[IBIT]])</f>
        <v>0</v>
      </c>
      <c r="N217" s="98"/>
      <c r="O217" s="132"/>
      <c r="P217" s="136">
        <f>ARKB!H216</f>
        <v>0</v>
      </c>
      <c r="Q217" s="136"/>
      <c r="R217" s="137"/>
    </row>
    <row r="218" spans="1:18" ht="15" customHeight="1">
      <c r="A218" s="13" t="str">
        <f>scalars[[#This Row],[DOW]]</f>
        <v>Monday</v>
      </c>
      <c r="B218" s="28">
        <f t="shared" si="7"/>
        <v>46293</v>
      </c>
      <c r="C218" s="38">
        <f>ARKB!G217</f>
        <v>0</v>
      </c>
      <c r="D218" s="38">
        <f>BITB!H217</f>
        <v>0</v>
      </c>
      <c r="E218" s="98">
        <f>BRRR!G218</f>
        <v>0</v>
      </c>
      <c r="F218" s="38">
        <f>BTC!J217</f>
        <v>0</v>
      </c>
      <c r="G218" s="38">
        <f>BTCW!H217</f>
        <v>0</v>
      </c>
      <c r="H218" s="38">
        <f>EZBC!F217</f>
        <v>0</v>
      </c>
      <c r="J218" s="38">
        <f>GBTC!K217</f>
        <v>0</v>
      </c>
      <c r="K218" s="38">
        <f>HODL!H217</f>
        <v>0</v>
      </c>
      <c r="L218" s="38">
        <f>IBIT!G217</f>
        <v>0</v>
      </c>
      <c r="M218" s="98">
        <f>SUM(btc_ratios3[[#This Row],[ARKB]:[IBIT]])</f>
        <v>0</v>
      </c>
      <c r="N218" s="98"/>
      <c r="O218" s="132"/>
      <c r="P218" s="136">
        <f>ARKB!H217</f>
        <v>0</v>
      </c>
      <c r="Q218" s="136"/>
      <c r="R218" s="137"/>
    </row>
    <row r="219" spans="1:18" ht="15" customHeight="1">
      <c r="A219" s="13" t="str">
        <f>scalars[[#This Row],[DOW]]</f>
        <v>Tuesday</v>
      </c>
      <c r="B219" s="28">
        <f t="shared" si="7"/>
        <v>46294</v>
      </c>
      <c r="C219" s="38">
        <f>ARKB!G218</f>
        <v>0</v>
      </c>
      <c r="D219" s="38">
        <f>BITB!H218</f>
        <v>0</v>
      </c>
      <c r="E219" s="98">
        <f>BRRR!G219</f>
        <v>0</v>
      </c>
      <c r="F219" s="38">
        <f>BTC!J218</f>
        <v>0</v>
      </c>
      <c r="G219" s="38">
        <f>BTCW!H218</f>
        <v>0</v>
      </c>
      <c r="H219" s="38">
        <f>EZBC!F218</f>
        <v>0</v>
      </c>
      <c r="J219" s="38">
        <f>GBTC!K218</f>
        <v>0</v>
      </c>
      <c r="K219" s="38">
        <f>HODL!H218</f>
        <v>0</v>
      </c>
      <c r="L219" s="38">
        <f>IBIT!G218</f>
        <v>0</v>
      </c>
      <c r="M219" s="98">
        <f>SUM(btc_ratios3[[#This Row],[ARKB]:[IBIT]])</f>
        <v>0</v>
      </c>
      <c r="N219" s="98"/>
      <c r="O219" s="132"/>
      <c r="P219" s="136">
        <f>ARKB!H218</f>
        <v>0</v>
      </c>
      <c r="Q219" s="136"/>
      <c r="R219" s="137"/>
    </row>
    <row r="220" spans="1:18" ht="15" customHeight="1">
      <c r="A220" s="13" t="str">
        <f>scalars[[#This Row],[DOW]]</f>
        <v>Wednesday</v>
      </c>
      <c r="B220" s="28">
        <f t="shared" si="7"/>
        <v>46295</v>
      </c>
      <c r="C220" s="38">
        <f>ARKB!G219</f>
        <v>0</v>
      </c>
      <c r="D220" s="38">
        <f>BITB!H219</f>
        <v>0</v>
      </c>
      <c r="E220" s="98">
        <f>BRRR!G220</f>
        <v>0</v>
      </c>
      <c r="F220" s="38">
        <f>BTC!J219</f>
        <v>0</v>
      </c>
      <c r="G220" s="38">
        <f>BTCW!H219</f>
        <v>0</v>
      </c>
      <c r="H220" s="38">
        <f>EZBC!F219</f>
        <v>0</v>
      </c>
      <c r="J220" s="38">
        <f>GBTC!K219</f>
        <v>0</v>
      </c>
      <c r="K220" s="38">
        <f>HODL!H219</f>
        <v>0</v>
      </c>
      <c r="L220" s="38">
        <f>IBIT!G219</f>
        <v>0</v>
      </c>
      <c r="M220" s="98">
        <f>SUM(btc_ratios3[[#This Row],[ARKB]:[IBIT]])</f>
        <v>0</v>
      </c>
      <c r="N220" s="98"/>
      <c r="O220" s="132"/>
      <c r="P220" s="136">
        <f>ARKB!H219</f>
        <v>0</v>
      </c>
      <c r="Q220" s="136"/>
      <c r="R220" s="137"/>
    </row>
    <row r="221" spans="1:18" ht="15" customHeight="1">
      <c r="A221" s="13" t="str">
        <f>scalars[[#This Row],[DOW]]</f>
        <v>Thursday</v>
      </c>
      <c r="B221" s="28">
        <f t="shared" si="7"/>
        <v>46296</v>
      </c>
      <c r="C221" s="38">
        <f>ARKB!G220</f>
        <v>0</v>
      </c>
      <c r="D221" s="38">
        <f>BITB!H220</f>
        <v>0</v>
      </c>
      <c r="E221" s="98">
        <f>BRRR!G221</f>
        <v>0</v>
      </c>
      <c r="F221" s="38">
        <f>BTC!J220</f>
        <v>0</v>
      </c>
      <c r="G221" s="38">
        <f>BTCW!H220</f>
        <v>0</v>
      </c>
      <c r="H221" s="38">
        <f>EZBC!F220</f>
        <v>0</v>
      </c>
      <c r="J221" s="38">
        <f>GBTC!K220</f>
        <v>0</v>
      </c>
      <c r="K221" s="38">
        <f>HODL!H220</f>
        <v>0</v>
      </c>
      <c r="L221" s="38">
        <f>IBIT!G220</f>
        <v>0</v>
      </c>
      <c r="M221" s="98">
        <f>SUM(btc_ratios3[[#This Row],[ARKB]:[IBIT]])</f>
        <v>0</v>
      </c>
      <c r="N221" s="98"/>
      <c r="O221" s="132"/>
      <c r="P221" s="136">
        <f>ARKB!H220</f>
        <v>0</v>
      </c>
      <c r="Q221" s="136"/>
      <c r="R221" s="137"/>
    </row>
    <row r="222" spans="1:18" ht="15" customHeight="1">
      <c r="A222" s="13" t="str">
        <f>scalars[[#This Row],[DOW]]</f>
        <v>Friday</v>
      </c>
      <c r="B222" s="28">
        <f t="shared" si="7"/>
        <v>46297</v>
      </c>
      <c r="C222" s="38">
        <f>ARKB!G221</f>
        <v>0</v>
      </c>
      <c r="D222" s="38">
        <f>BITB!H221</f>
        <v>0</v>
      </c>
      <c r="E222" s="98">
        <f>BRRR!G222</f>
        <v>0</v>
      </c>
      <c r="F222" s="38">
        <f>BTC!J221</f>
        <v>0</v>
      </c>
      <c r="G222" s="38">
        <f>BTCW!H221</f>
        <v>0</v>
      </c>
      <c r="H222" s="38">
        <f>EZBC!F221</f>
        <v>0</v>
      </c>
      <c r="J222" s="38">
        <f>GBTC!K221</f>
        <v>0</v>
      </c>
      <c r="K222" s="38">
        <f>HODL!H221</f>
        <v>0</v>
      </c>
      <c r="L222" s="38">
        <f>IBIT!G221</f>
        <v>0</v>
      </c>
      <c r="M222" s="98">
        <f>SUM(btc_ratios3[[#This Row],[ARKB]:[IBIT]])</f>
        <v>0</v>
      </c>
      <c r="N222" s="98"/>
      <c r="O222" s="132"/>
      <c r="P222" s="136">
        <f>ARKB!H221</f>
        <v>0</v>
      </c>
      <c r="Q222" s="136"/>
      <c r="R222" s="137"/>
    </row>
    <row r="223" spans="1:18" ht="15" customHeight="1">
      <c r="A223" s="13" t="str">
        <f>scalars[[#This Row],[DOW]]</f>
        <v>Saturday</v>
      </c>
      <c r="B223" s="28">
        <f t="shared" si="7"/>
        <v>46298</v>
      </c>
      <c r="C223" s="38">
        <f>ARKB!G222</f>
        <v>0</v>
      </c>
      <c r="D223" s="38">
        <f>BITB!H222</f>
        <v>0</v>
      </c>
      <c r="E223" s="98">
        <f>BRRR!G223</f>
        <v>0</v>
      </c>
      <c r="F223" s="38">
        <f>BTC!J222</f>
        <v>0</v>
      </c>
      <c r="G223" s="38">
        <f>BTCW!H222</f>
        <v>0</v>
      </c>
      <c r="H223" s="38">
        <f>EZBC!F222</f>
        <v>0</v>
      </c>
      <c r="J223" s="38">
        <f>GBTC!K222</f>
        <v>0</v>
      </c>
      <c r="K223" s="38">
        <f>HODL!H222</f>
        <v>0</v>
      </c>
      <c r="L223" s="38">
        <f>IBIT!G222</f>
        <v>0</v>
      </c>
      <c r="M223" s="98">
        <f>SUM(btc_ratios3[[#This Row],[ARKB]:[IBIT]])</f>
        <v>0</v>
      </c>
      <c r="N223" s="98"/>
      <c r="O223" s="132"/>
      <c r="P223" s="136">
        <f>ARKB!H222</f>
        <v>0</v>
      </c>
      <c r="Q223" s="136"/>
      <c r="R223" s="137"/>
    </row>
    <row r="224" spans="1:18" ht="15" customHeight="1">
      <c r="A224" s="13" t="str">
        <f>scalars[[#This Row],[DOW]]</f>
        <v>Sunday</v>
      </c>
      <c r="B224" s="28">
        <f t="shared" si="7"/>
        <v>46299</v>
      </c>
      <c r="C224" s="38">
        <f>ARKB!G223</f>
        <v>0</v>
      </c>
      <c r="D224" s="38">
        <f>BITB!H223</f>
        <v>0</v>
      </c>
      <c r="E224" s="98">
        <f>BRRR!G224</f>
        <v>0</v>
      </c>
      <c r="F224" s="38">
        <f>BTC!J223</f>
        <v>0</v>
      </c>
      <c r="G224" s="38">
        <f>BTCW!H223</f>
        <v>0</v>
      </c>
      <c r="H224" s="38">
        <f>EZBC!F223</f>
        <v>0</v>
      </c>
      <c r="J224" s="38">
        <f>GBTC!K223</f>
        <v>0</v>
      </c>
      <c r="K224" s="38">
        <f>HODL!H223</f>
        <v>0</v>
      </c>
      <c r="L224" s="38">
        <f>IBIT!G223</f>
        <v>0</v>
      </c>
      <c r="M224" s="98">
        <f>SUM(btc_ratios3[[#This Row],[ARKB]:[IBIT]])</f>
        <v>0</v>
      </c>
      <c r="N224" s="98"/>
      <c r="O224" s="132"/>
      <c r="P224" s="136">
        <f>ARKB!H223</f>
        <v>0</v>
      </c>
      <c r="Q224" s="136"/>
      <c r="R224" s="137"/>
    </row>
    <row r="225" spans="1:18" ht="15" customHeight="1">
      <c r="A225" s="13" t="str">
        <f>scalars[[#This Row],[DOW]]</f>
        <v>Monday</v>
      </c>
      <c r="B225" s="28">
        <f t="shared" si="7"/>
        <v>46300</v>
      </c>
      <c r="C225" s="38">
        <f>ARKB!G224</f>
        <v>0</v>
      </c>
      <c r="D225" s="38">
        <f>BITB!H224</f>
        <v>0</v>
      </c>
      <c r="E225" s="98">
        <f>BRRR!G225</f>
        <v>0</v>
      </c>
      <c r="F225" s="38">
        <f>BTC!J224</f>
        <v>0</v>
      </c>
      <c r="G225" s="38">
        <f>BTCW!H224</f>
        <v>0</v>
      </c>
      <c r="H225" s="38">
        <f>EZBC!F224</f>
        <v>0</v>
      </c>
      <c r="J225" s="38">
        <f>GBTC!K224</f>
        <v>0</v>
      </c>
      <c r="K225" s="38">
        <f>HODL!H224</f>
        <v>0</v>
      </c>
      <c r="L225" s="38">
        <f>IBIT!G224</f>
        <v>0</v>
      </c>
      <c r="M225" s="98">
        <f>SUM(btc_ratios3[[#This Row],[ARKB]:[IBIT]])</f>
        <v>0</v>
      </c>
      <c r="N225" s="98"/>
      <c r="O225" s="132"/>
      <c r="P225" s="136">
        <f>ARKB!H224</f>
        <v>0</v>
      </c>
      <c r="Q225" s="136"/>
      <c r="R225" s="137"/>
    </row>
    <row r="226" spans="1:18" ht="15" customHeight="1">
      <c r="A226" s="13" t="str">
        <f>scalars[[#This Row],[DOW]]</f>
        <v>Tuesday</v>
      </c>
      <c r="B226" s="28">
        <f t="shared" si="7"/>
        <v>46301</v>
      </c>
      <c r="C226" s="38">
        <f>ARKB!G225</f>
        <v>0</v>
      </c>
      <c r="D226" s="38">
        <f>BITB!H225</f>
        <v>0</v>
      </c>
      <c r="E226" s="98">
        <f>BRRR!G226</f>
        <v>0</v>
      </c>
      <c r="F226" s="38">
        <f>BTC!J225</f>
        <v>0</v>
      </c>
      <c r="G226" s="38">
        <f>BTCW!H225</f>
        <v>0</v>
      </c>
      <c r="H226" s="38">
        <f>EZBC!F225</f>
        <v>0</v>
      </c>
      <c r="J226" s="38">
        <f>GBTC!K225</f>
        <v>0</v>
      </c>
      <c r="K226" s="38">
        <f>HODL!H225</f>
        <v>0</v>
      </c>
      <c r="L226" s="38">
        <f>IBIT!G225</f>
        <v>0</v>
      </c>
      <c r="M226" s="98">
        <f>SUM(btc_ratios3[[#This Row],[ARKB]:[IBIT]])</f>
        <v>0</v>
      </c>
      <c r="N226" s="98"/>
      <c r="O226" s="132"/>
      <c r="P226" s="136">
        <f>ARKB!H225</f>
        <v>0</v>
      </c>
      <c r="Q226" s="136"/>
      <c r="R226" s="137"/>
    </row>
    <row r="227" spans="1:18" ht="15" customHeight="1">
      <c r="A227" s="13" t="str">
        <f>scalars[[#This Row],[DOW]]</f>
        <v>Wednesday</v>
      </c>
      <c r="B227" s="28">
        <f t="shared" si="7"/>
        <v>46302</v>
      </c>
      <c r="C227" s="38">
        <f>ARKB!G226</f>
        <v>0</v>
      </c>
      <c r="D227" s="38">
        <f>BITB!H226</f>
        <v>0</v>
      </c>
      <c r="E227" s="98">
        <f>BRRR!G227</f>
        <v>0</v>
      </c>
      <c r="F227" s="38">
        <f>BTC!J226</f>
        <v>0</v>
      </c>
      <c r="G227" s="38">
        <f>BTCW!H226</f>
        <v>0</v>
      </c>
      <c r="H227" s="38">
        <f>EZBC!F226</f>
        <v>0</v>
      </c>
      <c r="J227" s="38">
        <f>GBTC!K226</f>
        <v>0</v>
      </c>
      <c r="K227" s="38">
        <f>HODL!H226</f>
        <v>0</v>
      </c>
      <c r="L227" s="38">
        <f>IBIT!G226</f>
        <v>0</v>
      </c>
      <c r="M227" s="98">
        <f>SUM(btc_ratios3[[#This Row],[ARKB]:[IBIT]])</f>
        <v>0</v>
      </c>
      <c r="N227" s="98"/>
      <c r="O227" s="132"/>
      <c r="P227" s="136">
        <f>ARKB!H226</f>
        <v>0</v>
      </c>
      <c r="Q227" s="136"/>
      <c r="R227" s="137"/>
    </row>
    <row r="228" spans="1:18" ht="15" customHeight="1">
      <c r="A228" s="13" t="str">
        <f>scalars[[#This Row],[DOW]]</f>
        <v>Thursday</v>
      </c>
      <c r="B228" s="28">
        <f t="shared" si="7"/>
        <v>46303</v>
      </c>
      <c r="C228" s="38">
        <f>ARKB!G227</f>
        <v>0</v>
      </c>
      <c r="D228" s="38">
        <f>BITB!H227</f>
        <v>0</v>
      </c>
      <c r="E228" s="98">
        <f>BRRR!G228</f>
        <v>0</v>
      </c>
      <c r="F228" s="38">
        <f>BTC!J227</f>
        <v>0</v>
      </c>
      <c r="G228" s="38">
        <f>BTCW!H227</f>
        <v>0</v>
      </c>
      <c r="H228" s="38">
        <f>EZBC!F227</f>
        <v>0</v>
      </c>
      <c r="J228" s="38">
        <f>GBTC!K227</f>
        <v>0</v>
      </c>
      <c r="K228" s="38">
        <f>HODL!H227</f>
        <v>0</v>
      </c>
      <c r="L228" s="38">
        <f>IBIT!G227</f>
        <v>0</v>
      </c>
      <c r="M228" s="98">
        <f>SUM(btc_ratios3[[#This Row],[ARKB]:[IBIT]])</f>
        <v>0</v>
      </c>
      <c r="N228" s="98"/>
      <c r="O228" s="132"/>
      <c r="P228" s="136">
        <f>ARKB!H227</f>
        <v>0</v>
      </c>
      <c r="Q228" s="136"/>
      <c r="R228" s="137"/>
    </row>
    <row r="229" spans="1:18" ht="15" customHeight="1">
      <c r="A229" s="13" t="str">
        <f>scalars[[#This Row],[DOW]]</f>
        <v>Friday</v>
      </c>
      <c r="B229" s="28">
        <f t="shared" si="7"/>
        <v>46304</v>
      </c>
      <c r="C229" s="38">
        <f>ARKB!G228</f>
        <v>0</v>
      </c>
      <c r="D229" s="38">
        <f>BITB!H228</f>
        <v>0</v>
      </c>
      <c r="E229" s="98">
        <f>BRRR!G229</f>
        <v>0</v>
      </c>
      <c r="F229" s="38">
        <f>BTC!J228</f>
        <v>0</v>
      </c>
      <c r="G229" s="38">
        <f>BTCW!H228</f>
        <v>0</v>
      </c>
      <c r="H229" s="38">
        <f>EZBC!F228</f>
        <v>0</v>
      </c>
      <c r="J229" s="38">
        <f>GBTC!K228</f>
        <v>0</v>
      </c>
      <c r="K229" s="38">
        <f>HODL!H228</f>
        <v>0</v>
      </c>
      <c r="L229" s="38">
        <f>IBIT!G228</f>
        <v>0</v>
      </c>
      <c r="M229" s="98">
        <f>SUM(btc_ratios3[[#This Row],[ARKB]:[IBIT]])</f>
        <v>0</v>
      </c>
      <c r="N229" s="98"/>
      <c r="O229" s="132"/>
      <c r="P229" s="136">
        <f>ARKB!H228</f>
        <v>0</v>
      </c>
      <c r="Q229" s="136"/>
      <c r="R229" s="137"/>
    </row>
    <row r="230" spans="1:18" ht="15" customHeight="1">
      <c r="A230" s="13" t="str">
        <f>scalars[[#This Row],[DOW]]</f>
        <v>Saturday</v>
      </c>
      <c r="B230" s="28">
        <f t="shared" si="7"/>
        <v>46305</v>
      </c>
      <c r="C230" s="38">
        <f>ARKB!G229</f>
        <v>0</v>
      </c>
      <c r="D230" s="38">
        <f>BITB!H229</f>
        <v>0</v>
      </c>
      <c r="E230" s="98">
        <f>BRRR!G230</f>
        <v>0</v>
      </c>
      <c r="F230" s="38">
        <f>BTC!J229</f>
        <v>0</v>
      </c>
      <c r="G230" s="38">
        <f>BTCW!H229</f>
        <v>0</v>
      </c>
      <c r="H230" s="38">
        <f>EZBC!F229</f>
        <v>0</v>
      </c>
      <c r="J230" s="38">
        <f>GBTC!K229</f>
        <v>0</v>
      </c>
      <c r="K230" s="38">
        <f>HODL!H229</f>
        <v>0</v>
      </c>
      <c r="L230" s="38">
        <f>IBIT!G229</f>
        <v>0</v>
      </c>
      <c r="M230" s="98">
        <f>SUM(btc_ratios3[[#This Row],[ARKB]:[IBIT]])</f>
        <v>0</v>
      </c>
      <c r="N230" s="98"/>
      <c r="O230" s="132"/>
      <c r="P230" s="136">
        <f>ARKB!H229</f>
        <v>0</v>
      </c>
      <c r="Q230" s="136"/>
      <c r="R230" s="137"/>
    </row>
    <row r="231" spans="1:18" ht="15" customHeight="1">
      <c r="A231" s="13" t="str">
        <f>scalars[[#This Row],[DOW]]</f>
        <v>Sunday</v>
      </c>
      <c r="B231" s="28">
        <f t="shared" si="7"/>
        <v>46306</v>
      </c>
      <c r="C231" s="38">
        <f>ARKB!G230</f>
        <v>0</v>
      </c>
      <c r="D231" s="38">
        <f>BITB!H230</f>
        <v>0</v>
      </c>
      <c r="E231" s="98">
        <f>BRRR!G231</f>
        <v>0</v>
      </c>
      <c r="F231" s="38">
        <f>BTC!J230</f>
        <v>0</v>
      </c>
      <c r="G231" s="38">
        <f>BTCW!H230</f>
        <v>0</v>
      </c>
      <c r="H231" s="38">
        <f>EZBC!F230</f>
        <v>0</v>
      </c>
      <c r="J231" s="38">
        <f>GBTC!K230</f>
        <v>0</v>
      </c>
      <c r="K231" s="38">
        <f>HODL!H230</f>
        <v>0</v>
      </c>
      <c r="L231" s="38">
        <f>IBIT!G230</f>
        <v>0</v>
      </c>
      <c r="M231" s="98">
        <f>SUM(btc_ratios3[[#This Row],[ARKB]:[IBIT]])</f>
        <v>0</v>
      </c>
      <c r="N231" s="98"/>
      <c r="O231" s="132"/>
      <c r="P231" s="136">
        <f>ARKB!H230</f>
        <v>0</v>
      </c>
      <c r="Q231" s="136"/>
      <c r="R231" s="137"/>
    </row>
    <row r="232" spans="1:18" ht="15" customHeight="1">
      <c r="A232" s="13" t="str">
        <f>scalars[[#This Row],[DOW]]</f>
        <v>Monday</v>
      </c>
      <c r="B232" s="28">
        <f t="shared" si="7"/>
        <v>46307</v>
      </c>
      <c r="C232" s="38">
        <f>ARKB!G231</f>
        <v>0</v>
      </c>
      <c r="D232" s="38">
        <f>BITB!H231</f>
        <v>0</v>
      </c>
      <c r="E232" s="98">
        <f>BRRR!G232</f>
        <v>0</v>
      </c>
      <c r="F232" s="38">
        <f>BTC!J231</f>
        <v>0</v>
      </c>
      <c r="G232" s="38">
        <f>BTCW!H231</f>
        <v>0</v>
      </c>
      <c r="H232" s="38">
        <f>EZBC!F231</f>
        <v>0</v>
      </c>
      <c r="J232" s="38">
        <f>GBTC!K231</f>
        <v>0</v>
      </c>
      <c r="K232" s="38">
        <f>HODL!H231</f>
        <v>0</v>
      </c>
      <c r="L232" s="38">
        <f>IBIT!G231</f>
        <v>0</v>
      </c>
      <c r="M232" s="98">
        <f>SUM(btc_ratios3[[#This Row],[ARKB]:[IBIT]])</f>
        <v>0</v>
      </c>
      <c r="N232" s="98"/>
      <c r="O232" s="132"/>
      <c r="P232" s="136">
        <f>ARKB!H231</f>
        <v>0</v>
      </c>
      <c r="Q232" s="136"/>
      <c r="R232" s="137"/>
    </row>
    <row r="233" spans="1:18" ht="15" customHeight="1">
      <c r="A233" s="13" t="str">
        <f>scalars[[#This Row],[DOW]]</f>
        <v>Tuesday</v>
      </c>
      <c r="B233" s="28">
        <f t="shared" si="7"/>
        <v>46308</v>
      </c>
      <c r="C233" s="38">
        <f>ARKB!G232</f>
        <v>0</v>
      </c>
      <c r="D233" s="38">
        <f>BITB!H232</f>
        <v>0</v>
      </c>
      <c r="E233" s="98">
        <f>BRRR!G233</f>
        <v>0</v>
      </c>
      <c r="F233" s="38">
        <f>BTC!J232</f>
        <v>0</v>
      </c>
      <c r="G233" s="38">
        <f>BTCW!H232</f>
        <v>0</v>
      </c>
      <c r="H233" s="38">
        <f>EZBC!F232</f>
        <v>0</v>
      </c>
      <c r="J233" s="38">
        <f>GBTC!K232</f>
        <v>0</v>
      </c>
      <c r="K233" s="38">
        <f>HODL!H232</f>
        <v>0</v>
      </c>
      <c r="L233" s="38">
        <f>IBIT!G232</f>
        <v>0</v>
      </c>
      <c r="M233" s="98">
        <f>SUM(btc_ratios3[[#This Row],[ARKB]:[IBIT]])</f>
        <v>0</v>
      </c>
      <c r="N233" s="98"/>
      <c r="O233" s="132"/>
      <c r="P233" s="136">
        <f>ARKB!H232</f>
        <v>0</v>
      </c>
      <c r="Q233" s="136"/>
      <c r="R233" s="137"/>
    </row>
    <row r="234" spans="1:18" ht="15" customHeight="1">
      <c r="A234" s="13" t="str">
        <f>scalars[[#This Row],[DOW]]</f>
        <v>Wednesday</v>
      </c>
      <c r="B234" s="28">
        <f t="shared" si="7"/>
        <v>46309</v>
      </c>
      <c r="C234" s="38">
        <f>ARKB!G233</f>
        <v>0</v>
      </c>
      <c r="D234" s="38">
        <f>BITB!H233</f>
        <v>0</v>
      </c>
      <c r="E234" s="98">
        <f>BRRR!G234</f>
        <v>0</v>
      </c>
      <c r="F234" s="38">
        <f>BTC!J233</f>
        <v>0</v>
      </c>
      <c r="G234" s="38">
        <f>BTCW!H233</f>
        <v>0</v>
      </c>
      <c r="H234" s="38">
        <f>EZBC!F233</f>
        <v>0</v>
      </c>
      <c r="J234" s="38">
        <f>GBTC!K233</f>
        <v>0</v>
      </c>
      <c r="K234" s="38">
        <f>HODL!H233</f>
        <v>0</v>
      </c>
      <c r="L234" s="38">
        <f>IBIT!G233</f>
        <v>0</v>
      </c>
      <c r="M234" s="98">
        <f>SUM(btc_ratios3[[#This Row],[ARKB]:[IBIT]])</f>
        <v>0</v>
      </c>
      <c r="N234" s="98"/>
      <c r="O234" s="132"/>
      <c r="P234" s="136">
        <f>ARKB!H233</f>
        <v>0</v>
      </c>
      <c r="Q234" s="136"/>
      <c r="R234" s="137"/>
    </row>
    <row r="235" spans="1:18" ht="15" customHeight="1">
      <c r="A235" s="13" t="str">
        <f>scalars[[#This Row],[DOW]]</f>
        <v>Thursday</v>
      </c>
      <c r="B235" s="28">
        <f t="shared" si="7"/>
        <v>46310</v>
      </c>
      <c r="C235" s="38">
        <f>ARKB!G234</f>
        <v>0</v>
      </c>
      <c r="D235" s="38">
        <f>BITB!H234</f>
        <v>0</v>
      </c>
      <c r="E235" s="98">
        <f>BRRR!G235</f>
        <v>0</v>
      </c>
      <c r="F235" s="38">
        <f>BTC!J234</f>
        <v>0</v>
      </c>
      <c r="G235" s="38">
        <f>BTCW!H234</f>
        <v>0</v>
      </c>
      <c r="H235" s="38">
        <f>EZBC!F234</f>
        <v>0</v>
      </c>
      <c r="J235" s="38">
        <f>GBTC!K234</f>
        <v>0</v>
      </c>
      <c r="K235" s="38">
        <f>HODL!H234</f>
        <v>0</v>
      </c>
      <c r="L235" s="38">
        <f>IBIT!G234</f>
        <v>0</v>
      </c>
      <c r="M235" s="98">
        <f>SUM(btc_ratios3[[#This Row],[ARKB]:[IBIT]])</f>
        <v>0</v>
      </c>
      <c r="N235" s="98"/>
      <c r="O235" s="132"/>
      <c r="P235" s="136">
        <f>ARKB!H234</f>
        <v>0</v>
      </c>
      <c r="Q235" s="136"/>
      <c r="R235" s="137"/>
    </row>
    <row r="236" spans="1:18" ht="15" customHeight="1">
      <c r="A236" s="13" t="str">
        <f>scalars[[#This Row],[DOW]]</f>
        <v>Friday</v>
      </c>
      <c r="B236" s="28">
        <f t="shared" si="7"/>
        <v>46311</v>
      </c>
      <c r="C236" s="38">
        <f>ARKB!G235</f>
        <v>0</v>
      </c>
      <c r="D236" s="38">
        <f>BITB!H235</f>
        <v>0</v>
      </c>
      <c r="E236" s="98">
        <f>BRRR!G236</f>
        <v>0</v>
      </c>
      <c r="F236" s="38">
        <f>BTC!J235</f>
        <v>0</v>
      </c>
      <c r="G236" s="38">
        <f>BTCW!H235</f>
        <v>0</v>
      </c>
      <c r="H236" s="38">
        <f>EZBC!F235</f>
        <v>0</v>
      </c>
      <c r="J236" s="38">
        <f>GBTC!K235</f>
        <v>0</v>
      </c>
      <c r="K236" s="38">
        <f>HODL!H235</f>
        <v>0</v>
      </c>
      <c r="L236" s="38">
        <f>IBIT!G235</f>
        <v>0</v>
      </c>
      <c r="M236" s="98">
        <f>SUM(btc_ratios3[[#This Row],[ARKB]:[IBIT]])</f>
        <v>0</v>
      </c>
      <c r="N236" s="98"/>
      <c r="O236" s="132"/>
      <c r="P236" s="136">
        <f>ARKB!H235</f>
        <v>0</v>
      </c>
      <c r="Q236" s="136"/>
      <c r="R236" s="137"/>
    </row>
    <row r="237" spans="1:18" ht="15" customHeight="1">
      <c r="A237" s="13" t="str">
        <f>scalars[[#This Row],[DOW]]</f>
        <v>Saturday</v>
      </c>
      <c r="B237" s="28">
        <f t="shared" si="7"/>
        <v>46312</v>
      </c>
      <c r="C237" s="38">
        <f>ARKB!G236</f>
        <v>0</v>
      </c>
      <c r="D237" s="38">
        <f>BITB!H236</f>
        <v>0</v>
      </c>
      <c r="E237" s="98">
        <f>BRRR!G237</f>
        <v>0</v>
      </c>
      <c r="F237" s="38">
        <f>BTC!J236</f>
        <v>0</v>
      </c>
      <c r="G237" s="38">
        <f>BTCW!H236</f>
        <v>0</v>
      </c>
      <c r="H237" s="38">
        <f>EZBC!F236</f>
        <v>0</v>
      </c>
      <c r="J237" s="38">
        <f>GBTC!K236</f>
        <v>0</v>
      </c>
      <c r="K237" s="38">
        <f>HODL!H236</f>
        <v>0</v>
      </c>
      <c r="L237" s="38">
        <f>IBIT!G236</f>
        <v>0</v>
      </c>
      <c r="M237" s="98">
        <f>SUM(btc_ratios3[[#This Row],[ARKB]:[IBIT]])</f>
        <v>0</v>
      </c>
      <c r="N237" s="98"/>
      <c r="O237" s="132"/>
      <c r="P237" s="136">
        <f>ARKB!H236</f>
        <v>0</v>
      </c>
      <c r="Q237" s="136"/>
      <c r="R237" s="137"/>
    </row>
    <row r="238" spans="1:18" ht="15" customHeight="1">
      <c r="A238" s="13" t="str">
        <f>scalars[[#This Row],[DOW]]</f>
        <v>Sunday</v>
      </c>
      <c r="B238" s="28">
        <f t="shared" si="7"/>
        <v>46313</v>
      </c>
      <c r="C238" s="38">
        <f>ARKB!G237</f>
        <v>0</v>
      </c>
      <c r="D238" s="38">
        <f>BITB!H237</f>
        <v>0</v>
      </c>
      <c r="E238" s="98">
        <f>BRRR!G238</f>
        <v>0</v>
      </c>
      <c r="F238" s="38">
        <f>BTC!J237</f>
        <v>0</v>
      </c>
      <c r="G238" s="38">
        <f>BTCW!H237</f>
        <v>0</v>
      </c>
      <c r="H238" s="38">
        <f>EZBC!F237</f>
        <v>0</v>
      </c>
      <c r="J238" s="38">
        <f>GBTC!K237</f>
        <v>0</v>
      </c>
      <c r="K238" s="38">
        <f>HODL!H237</f>
        <v>0</v>
      </c>
      <c r="L238" s="38">
        <f>IBIT!G237</f>
        <v>0</v>
      </c>
      <c r="M238" s="98">
        <f>SUM(btc_ratios3[[#This Row],[ARKB]:[IBIT]])</f>
        <v>0</v>
      </c>
      <c r="N238" s="98"/>
      <c r="O238" s="132"/>
      <c r="P238" s="136">
        <f>ARKB!H237</f>
        <v>0</v>
      </c>
      <c r="Q238" s="136"/>
      <c r="R238" s="137"/>
    </row>
    <row r="239" spans="1:18" ht="15" customHeight="1">
      <c r="A239" s="13" t="str">
        <f>scalars[[#This Row],[DOW]]</f>
        <v>Monday</v>
      </c>
      <c r="B239" s="28">
        <f t="shared" si="7"/>
        <v>46314</v>
      </c>
      <c r="C239" s="38">
        <f>ARKB!G238</f>
        <v>0</v>
      </c>
      <c r="D239" s="38">
        <f>BITB!H238</f>
        <v>0</v>
      </c>
      <c r="E239" s="98">
        <f>BRRR!G239</f>
        <v>0</v>
      </c>
      <c r="F239" s="38">
        <f>BTC!J238</f>
        <v>0</v>
      </c>
      <c r="G239" s="38">
        <f>BTCW!H238</f>
        <v>0</v>
      </c>
      <c r="H239" s="38">
        <f>EZBC!F238</f>
        <v>0</v>
      </c>
      <c r="J239" s="38">
        <f>GBTC!K238</f>
        <v>0</v>
      </c>
      <c r="K239" s="38">
        <f>HODL!H238</f>
        <v>0</v>
      </c>
      <c r="L239" s="38">
        <f>IBIT!G238</f>
        <v>0</v>
      </c>
      <c r="M239" s="98">
        <f>SUM(btc_ratios3[[#This Row],[ARKB]:[IBIT]])</f>
        <v>0</v>
      </c>
      <c r="N239" s="98"/>
      <c r="O239" s="132"/>
      <c r="P239" s="136">
        <f>ARKB!H238</f>
        <v>0</v>
      </c>
      <c r="Q239" s="136"/>
      <c r="R239" s="137"/>
    </row>
    <row r="240" spans="1:18" ht="15" customHeight="1">
      <c r="A240" s="13" t="str">
        <f>scalars[[#This Row],[DOW]]</f>
        <v>Tuesday</v>
      </c>
      <c r="B240" s="28">
        <f t="shared" si="7"/>
        <v>46315</v>
      </c>
      <c r="C240" s="38">
        <f>ARKB!G239</f>
        <v>0</v>
      </c>
      <c r="D240" s="38">
        <f>BITB!H239</f>
        <v>0</v>
      </c>
      <c r="E240" s="98">
        <f>BRRR!G240</f>
        <v>0</v>
      </c>
      <c r="F240" s="38">
        <f>BTC!J239</f>
        <v>0</v>
      </c>
      <c r="G240" s="38">
        <f>BTCW!H239</f>
        <v>0</v>
      </c>
      <c r="H240" s="38">
        <f>EZBC!F239</f>
        <v>0</v>
      </c>
      <c r="J240" s="38">
        <f>GBTC!K239</f>
        <v>0</v>
      </c>
      <c r="K240" s="38">
        <f>HODL!H239</f>
        <v>0</v>
      </c>
      <c r="L240" s="38">
        <f>IBIT!G239</f>
        <v>0</v>
      </c>
      <c r="M240" s="98">
        <f>SUM(btc_ratios3[[#This Row],[ARKB]:[IBIT]])</f>
        <v>0</v>
      </c>
      <c r="N240" s="98"/>
      <c r="O240" s="132"/>
      <c r="P240" s="136">
        <f>ARKB!H239</f>
        <v>0</v>
      </c>
      <c r="Q240" s="136"/>
      <c r="R240" s="137"/>
    </row>
    <row r="241" spans="1:18" ht="15" customHeight="1">
      <c r="A241" s="13" t="str">
        <f>scalars[[#This Row],[DOW]]</f>
        <v>Wednesday</v>
      </c>
      <c r="B241" s="28">
        <f t="shared" si="7"/>
        <v>46316</v>
      </c>
      <c r="C241" s="38">
        <f>ARKB!G240</f>
        <v>0</v>
      </c>
      <c r="D241" s="38">
        <f>BITB!H240</f>
        <v>0</v>
      </c>
      <c r="E241" s="98">
        <f>BRRR!G241</f>
        <v>0</v>
      </c>
      <c r="F241" s="38">
        <f>BTC!J240</f>
        <v>0</v>
      </c>
      <c r="G241" s="38">
        <f>BTCW!H240</f>
        <v>0</v>
      </c>
      <c r="H241" s="38">
        <f>EZBC!F240</f>
        <v>0</v>
      </c>
      <c r="J241" s="38">
        <f>GBTC!K240</f>
        <v>0</v>
      </c>
      <c r="K241" s="38">
        <f>HODL!H240</f>
        <v>0</v>
      </c>
      <c r="L241" s="38">
        <f>IBIT!G240</f>
        <v>0</v>
      </c>
      <c r="M241" s="98">
        <f>SUM(btc_ratios3[[#This Row],[ARKB]:[IBIT]])</f>
        <v>0</v>
      </c>
      <c r="N241" s="98"/>
      <c r="O241" s="132"/>
      <c r="P241" s="136">
        <f>ARKB!H240</f>
        <v>0</v>
      </c>
      <c r="Q241" s="136"/>
      <c r="R241" s="137"/>
    </row>
    <row r="242" spans="1:18" ht="15" customHeight="1">
      <c r="A242" s="13" t="str">
        <f>scalars[[#This Row],[DOW]]</f>
        <v>Thursday</v>
      </c>
      <c r="B242" s="28">
        <f t="shared" si="7"/>
        <v>46317</v>
      </c>
      <c r="C242" s="38">
        <f>ARKB!G241</f>
        <v>0</v>
      </c>
      <c r="D242" s="38">
        <f>BITB!H241</f>
        <v>0</v>
      </c>
      <c r="E242" s="98">
        <f>BRRR!G242</f>
        <v>0</v>
      </c>
      <c r="F242" s="38">
        <f>BTC!J241</f>
        <v>0</v>
      </c>
      <c r="G242" s="38">
        <f>BTCW!H241</f>
        <v>0</v>
      </c>
      <c r="H242" s="38">
        <f>EZBC!F241</f>
        <v>0</v>
      </c>
      <c r="J242" s="38">
        <f>GBTC!K241</f>
        <v>0</v>
      </c>
      <c r="K242" s="38">
        <f>HODL!H241</f>
        <v>0</v>
      </c>
      <c r="L242" s="38">
        <f>IBIT!G241</f>
        <v>0</v>
      </c>
      <c r="M242" s="98">
        <f>SUM(btc_ratios3[[#This Row],[ARKB]:[IBIT]])</f>
        <v>0</v>
      </c>
      <c r="N242" s="98"/>
      <c r="O242" s="132"/>
      <c r="P242" s="136">
        <f>ARKB!H241</f>
        <v>0</v>
      </c>
      <c r="Q242" s="136"/>
      <c r="R242" s="137"/>
    </row>
    <row r="243" spans="1:18" ht="15" customHeight="1">
      <c r="A243" s="13" t="str">
        <f>scalars[[#This Row],[DOW]]</f>
        <v>Friday</v>
      </c>
      <c r="B243" s="28">
        <f t="shared" si="7"/>
        <v>46318</v>
      </c>
      <c r="C243" s="38">
        <f>ARKB!G242</f>
        <v>0</v>
      </c>
      <c r="D243" s="38">
        <f>BITB!H242</f>
        <v>0</v>
      </c>
      <c r="E243" s="98">
        <f>BRRR!G243</f>
        <v>0</v>
      </c>
      <c r="F243" s="38">
        <f>BTC!J242</f>
        <v>0</v>
      </c>
      <c r="G243" s="38">
        <f>BTCW!H242</f>
        <v>0</v>
      </c>
      <c r="H243" s="38">
        <f>EZBC!F242</f>
        <v>0</v>
      </c>
      <c r="J243" s="38">
        <f>GBTC!K242</f>
        <v>0</v>
      </c>
      <c r="K243" s="38">
        <f>HODL!H242</f>
        <v>0</v>
      </c>
      <c r="L243" s="38">
        <f>IBIT!G242</f>
        <v>0</v>
      </c>
      <c r="M243" s="98">
        <f>SUM(btc_ratios3[[#This Row],[ARKB]:[IBIT]])</f>
        <v>0</v>
      </c>
      <c r="N243" s="98"/>
      <c r="O243" s="132"/>
      <c r="P243" s="136">
        <f>ARKB!H242</f>
        <v>0</v>
      </c>
      <c r="Q243" s="136"/>
      <c r="R243" s="137"/>
    </row>
    <row r="244" spans="1:18" ht="15" customHeight="1">
      <c r="A244" s="13" t="str">
        <f>scalars[[#This Row],[DOW]]</f>
        <v>Saturday</v>
      </c>
      <c r="B244" s="28">
        <f t="shared" si="7"/>
        <v>46319</v>
      </c>
      <c r="C244" s="38">
        <f>ARKB!G243</f>
        <v>0</v>
      </c>
      <c r="D244" s="38">
        <f>BITB!H243</f>
        <v>0</v>
      </c>
      <c r="E244" s="98">
        <f>BRRR!G244</f>
        <v>0</v>
      </c>
      <c r="F244" s="38">
        <f>BTC!J243</f>
        <v>0</v>
      </c>
      <c r="G244" s="38">
        <f>BTCW!H243</f>
        <v>0</v>
      </c>
      <c r="H244" s="38">
        <f>EZBC!F243</f>
        <v>0</v>
      </c>
      <c r="J244" s="38">
        <f>GBTC!K243</f>
        <v>0</v>
      </c>
      <c r="K244" s="38">
        <f>HODL!H243</f>
        <v>0</v>
      </c>
      <c r="L244" s="38">
        <f>IBIT!G243</f>
        <v>0</v>
      </c>
      <c r="M244" s="98">
        <f>SUM(btc_ratios3[[#This Row],[ARKB]:[IBIT]])</f>
        <v>0</v>
      </c>
      <c r="N244" s="98"/>
      <c r="O244" s="132"/>
      <c r="P244" s="136">
        <f>ARKB!H243</f>
        <v>0</v>
      </c>
      <c r="Q244" s="136"/>
      <c r="R244" s="137"/>
    </row>
    <row r="245" spans="1:18" ht="15" customHeight="1">
      <c r="A245" s="13" t="str">
        <f>scalars[[#This Row],[DOW]]</f>
        <v>Sunday</v>
      </c>
      <c r="B245" s="28">
        <f t="shared" si="7"/>
        <v>46320</v>
      </c>
      <c r="C245" s="38">
        <f>ARKB!G244</f>
        <v>0</v>
      </c>
      <c r="D245" s="38">
        <f>BITB!H244</f>
        <v>0</v>
      </c>
      <c r="E245" s="98">
        <f>BRRR!G245</f>
        <v>0</v>
      </c>
      <c r="F245" s="38">
        <f>BTC!J244</f>
        <v>0</v>
      </c>
      <c r="G245" s="38">
        <f>BTCW!H244</f>
        <v>0</v>
      </c>
      <c r="H245" s="38">
        <f>EZBC!F244</f>
        <v>0</v>
      </c>
      <c r="J245" s="38">
        <f>GBTC!K244</f>
        <v>0</v>
      </c>
      <c r="K245" s="38">
        <f>HODL!H244</f>
        <v>0</v>
      </c>
      <c r="L245" s="38">
        <f>IBIT!G244</f>
        <v>0</v>
      </c>
      <c r="M245" s="98">
        <f>SUM(btc_ratios3[[#This Row],[ARKB]:[IBIT]])</f>
        <v>0</v>
      </c>
      <c r="N245" s="98"/>
      <c r="O245" s="132"/>
      <c r="P245" s="136">
        <f>ARKB!H244</f>
        <v>0</v>
      </c>
      <c r="Q245" s="136"/>
      <c r="R245" s="137"/>
    </row>
    <row r="246" spans="1:18" ht="15" customHeight="1">
      <c r="A246" s="13" t="str">
        <f>scalars[[#This Row],[DOW]]</f>
        <v>Monday</v>
      </c>
      <c r="B246" s="28">
        <f t="shared" si="7"/>
        <v>46321</v>
      </c>
      <c r="C246" s="38">
        <f>ARKB!G245</f>
        <v>0</v>
      </c>
      <c r="D246" s="38">
        <f>BITB!H245</f>
        <v>0</v>
      </c>
      <c r="E246" s="98">
        <f>BRRR!G246</f>
        <v>0</v>
      </c>
      <c r="F246" s="38">
        <f>BTC!J245</f>
        <v>0</v>
      </c>
      <c r="G246" s="38">
        <f>BTCW!H245</f>
        <v>0</v>
      </c>
      <c r="H246" s="38">
        <f>EZBC!F245</f>
        <v>0</v>
      </c>
      <c r="J246" s="38">
        <f>GBTC!K245</f>
        <v>0</v>
      </c>
      <c r="K246" s="38">
        <f>HODL!H245</f>
        <v>0</v>
      </c>
      <c r="L246" s="38">
        <f>IBIT!G245</f>
        <v>0</v>
      </c>
      <c r="M246" s="98">
        <f>SUM(btc_ratios3[[#This Row],[ARKB]:[IBIT]])</f>
        <v>0</v>
      </c>
      <c r="N246" s="98"/>
      <c r="O246" s="132"/>
      <c r="P246" s="136">
        <f>ARKB!H245</f>
        <v>0</v>
      </c>
      <c r="Q246" s="136"/>
      <c r="R246" s="137"/>
    </row>
    <row r="247" spans="1:18" ht="15" customHeight="1">
      <c r="A247" s="13" t="str">
        <f>scalars[[#This Row],[DOW]]</f>
        <v>Tuesday</v>
      </c>
      <c r="B247" s="28">
        <f t="shared" si="7"/>
        <v>46322</v>
      </c>
      <c r="C247" s="38">
        <f>ARKB!G246</f>
        <v>0</v>
      </c>
      <c r="D247" s="38">
        <f>BITB!H246</f>
        <v>0</v>
      </c>
      <c r="E247" s="98">
        <f>BRRR!G247</f>
        <v>0</v>
      </c>
      <c r="F247" s="38">
        <f>BTC!J246</f>
        <v>0</v>
      </c>
      <c r="G247" s="38">
        <f>BTCW!H246</f>
        <v>0</v>
      </c>
      <c r="H247" s="38">
        <f>EZBC!F246</f>
        <v>0</v>
      </c>
      <c r="J247" s="38">
        <f>GBTC!K246</f>
        <v>0</v>
      </c>
      <c r="K247" s="38">
        <f>HODL!H246</f>
        <v>0</v>
      </c>
      <c r="L247" s="38">
        <f>IBIT!G246</f>
        <v>0</v>
      </c>
      <c r="M247" s="98">
        <f>SUM(btc_ratios3[[#This Row],[ARKB]:[IBIT]])</f>
        <v>0</v>
      </c>
      <c r="N247" s="98"/>
      <c r="O247" s="132"/>
      <c r="P247" s="136">
        <f>ARKB!H246</f>
        <v>0</v>
      </c>
      <c r="Q247" s="136"/>
      <c r="R247" s="137"/>
    </row>
    <row r="248" spans="1:18" ht="15" customHeight="1">
      <c r="A248" s="13" t="str">
        <f>scalars[[#This Row],[DOW]]</f>
        <v>Wednesday</v>
      </c>
      <c r="B248" s="28">
        <f t="shared" si="7"/>
        <v>46323</v>
      </c>
      <c r="C248" s="38">
        <f>ARKB!G247</f>
        <v>0</v>
      </c>
      <c r="D248" s="38">
        <f>BITB!H247</f>
        <v>0</v>
      </c>
      <c r="E248" s="98">
        <f>BRRR!G248</f>
        <v>0</v>
      </c>
      <c r="F248" s="38">
        <f>BTC!J247</f>
        <v>0</v>
      </c>
      <c r="G248" s="38">
        <f>BTCW!H247</f>
        <v>0</v>
      </c>
      <c r="H248" s="38">
        <f>EZBC!F247</f>
        <v>0</v>
      </c>
      <c r="J248" s="38">
        <f>GBTC!K247</f>
        <v>0</v>
      </c>
      <c r="K248" s="38">
        <f>HODL!H247</f>
        <v>0</v>
      </c>
      <c r="L248" s="38">
        <f>IBIT!G247</f>
        <v>0</v>
      </c>
      <c r="M248" s="98">
        <f>SUM(btc_ratios3[[#This Row],[ARKB]:[IBIT]])</f>
        <v>0</v>
      </c>
      <c r="N248" s="98"/>
      <c r="O248" s="132"/>
      <c r="P248" s="136">
        <f>ARKB!H247</f>
        <v>0</v>
      </c>
      <c r="Q248" s="136"/>
      <c r="R248" s="137"/>
    </row>
    <row r="249" spans="1:18" ht="15" customHeight="1">
      <c r="A249" s="13" t="str">
        <f>scalars[[#This Row],[DOW]]</f>
        <v>Thursday</v>
      </c>
      <c r="B249" s="28">
        <f t="shared" si="7"/>
        <v>46324</v>
      </c>
      <c r="C249" s="38">
        <f>ARKB!G248</f>
        <v>0</v>
      </c>
      <c r="D249" s="38">
        <f>BITB!H248</f>
        <v>0</v>
      </c>
      <c r="E249" s="98">
        <f>BRRR!G249</f>
        <v>0</v>
      </c>
      <c r="F249" s="38">
        <f>BTC!J248</f>
        <v>0</v>
      </c>
      <c r="G249" s="38">
        <f>BTCW!H248</f>
        <v>0</v>
      </c>
      <c r="H249" s="38">
        <f>EZBC!F248</f>
        <v>0</v>
      </c>
      <c r="J249" s="38">
        <f>GBTC!K248</f>
        <v>0</v>
      </c>
      <c r="K249" s="38">
        <f>HODL!H248</f>
        <v>0</v>
      </c>
      <c r="L249" s="38">
        <f>IBIT!G248</f>
        <v>0</v>
      </c>
      <c r="M249" s="98">
        <f>SUM(btc_ratios3[[#This Row],[ARKB]:[IBIT]])</f>
        <v>0</v>
      </c>
      <c r="N249" s="98"/>
      <c r="O249" s="132"/>
      <c r="P249" s="136">
        <f>ARKB!H248</f>
        <v>0</v>
      </c>
      <c r="Q249" s="136"/>
      <c r="R249" s="137"/>
    </row>
    <row r="250" spans="1:18" ht="15" customHeight="1">
      <c r="A250" s="13" t="str">
        <f>scalars[[#This Row],[DOW]]</f>
        <v>Friday</v>
      </c>
      <c r="B250" s="28">
        <f t="shared" si="7"/>
        <v>46325</v>
      </c>
      <c r="C250" s="38">
        <f>ARKB!G249</f>
        <v>0</v>
      </c>
      <c r="D250" s="38">
        <f>BITB!H249</f>
        <v>0</v>
      </c>
      <c r="E250" s="98">
        <f>BRRR!G250</f>
        <v>0</v>
      </c>
      <c r="F250" s="38">
        <f>BTC!J249</f>
        <v>0</v>
      </c>
      <c r="G250" s="38">
        <f>BTCW!H249</f>
        <v>0</v>
      </c>
      <c r="H250" s="38">
        <f>EZBC!F249</f>
        <v>0</v>
      </c>
      <c r="J250" s="38">
        <f>GBTC!K249</f>
        <v>0</v>
      </c>
      <c r="K250" s="38">
        <f>HODL!H249</f>
        <v>0</v>
      </c>
      <c r="L250" s="38">
        <f>IBIT!G249</f>
        <v>0</v>
      </c>
      <c r="M250" s="98">
        <f>SUM(btc_ratios3[[#This Row],[ARKB]:[IBIT]])</f>
        <v>0</v>
      </c>
      <c r="N250" s="98"/>
      <c r="O250" s="132"/>
      <c r="P250" s="136">
        <f>ARKB!H249</f>
        <v>0</v>
      </c>
      <c r="Q250" s="136"/>
      <c r="R250" s="137"/>
    </row>
    <row r="251" spans="1:18" ht="15" customHeight="1">
      <c r="A251" s="13" t="str">
        <f>scalars[[#This Row],[DOW]]</f>
        <v>Saturday</v>
      </c>
      <c r="B251" s="28">
        <f t="shared" si="7"/>
        <v>46326</v>
      </c>
      <c r="C251" s="38">
        <f>ARKB!G250</f>
        <v>0</v>
      </c>
      <c r="D251" s="38">
        <f>BITB!H250</f>
        <v>0</v>
      </c>
      <c r="E251" s="98">
        <f>BRRR!G251</f>
        <v>0</v>
      </c>
      <c r="F251" s="38">
        <f>BTC!J250</f>
        <v>0</v>
      </c>
      <c r="G251" s="38">
        <f>BTCW!H250</f>
        <v>0</v>
      </c>
      <c r="H251" s="38">
        <f>EZBC!F250</f>
        <v>0</v>
      </c>
      <c r="J251" s="38">
        <f>GBTC!K250</f>
        <v>0</v>
      </c>
      <c r="K251" s="38">
        <f>HODL!H250</f>
        <v>0</v>
      </c>
      <c r="L251" s="38">
        <f>IBIT!G250</f>
        <v>0</v>
      </c>
      <c r="M251" s="98">
        <f>SUM(btc_ratios3[[#This Row],[ARKB]:[IBIT]])</f>
        <v>0</v>
      </c>
      <c r="N251" s="98"/>
      <c r="O251" s="132"/>
      <c r="P251" s="136">
        <f>ARKB!H250</f>
        <v>0</v>
      </c>
      <c r="Q251" s="136"/>
      <c r="R251" s="137"/>
    </row>
    <row r="252" spans="1:18" ht="15" customHeight="1">
      <c r="A252" s="13" t="str">
        <f>scalars[[#This Row],[DOW]]</f>
        <v>Sunday</v>
      </c>
      <c r="B252" s="28">
        <f t="shared" si="7"/>
        <v>46327</v>
      </c>
      <c r="C252" s="38">
        <f>ARKB!G251</f>
        <v>0</v>
      </c>
      <c r="D252" s="38">
        <f>BITB!H251</f>
        <v>0</v>
      </c>
      <c r="E252" s="98">
        <f>BRRR!G252</f>
        <v>0</v>
      </c>
      <c r="F252" s="38">
        <f>BTC!J251</f>
        <v>0</v>
      </c>
      <c r="G252" s="38">
        <f>BTCW!H251</f>
        <v>0</v>
      </c>
      <c r="H252" s="38">
        <f>EZBC!F251</f>
        <v>0</v>
      </c>
      <c r="J252" s="38">
        <f>GBTC!K251</f>
        <v>0</v>
      </c>
      <c r="K252" s="38">
        <f>HODL!H251</f>
        <v>0</v>
      </c>
      <c r="L252" s="38">
        <f>IBIT!G251</f>
        <v>0</v>
      </c>
      <c r="M252" s="98">
        <f>SUM(btc_ratios3[[#This Row],[ARKB]:[IBIT]])</f>
        <v>0</v>
      </c>
      <c r="N252" s="98"/>
      <c r="O252" s="132"/>
      <c r="P252" s="136">
        <f>ARKB!H251</f>
        <v>0</v>
      </c>
      <c r="Q252" s="136"/>
      <c r="R252" s="137"/>
    </row>
    <row r="253" spans="1:18" ht="15" customHeight="1">
      <c r="A253" s="13" t="str">
        <f>scalars[[#This Row],[DOW]]</f>
        <v>Monday</v>
      </c>
      <c r="B253" s="28">
        <f t="shared" si="7"/>
        <v>46328</v>
      </c>
      <c r="C253" s="38">
        <f>ARKB!G252</f>
        <v>0</v>
      </c>
      <c r="D253" s="38">
        <f>BITB!H252</f>
        <v>0</v>
      </c>
      <c r="E253" s="98">
        <f>BRRR!G253</f>
        <v>0</v>
      </c>
      <c r="F253" s="38">
        <f>BTC!J252</f>
        <v>0</v>
      </c>
      <c r="G253" s="38">
        <f>BTCW!H252</f>
        <v>0</v>
      </c>
      <c r="H253" s="38">
        <f>EZBC!F252</f>
        <v>0</v>
      </c>
      <c r="J253" s="38">
        <f>GBTC!K252</f>
        <v>0</v>
      </c>
      <c r="K253" s="38">
        <f>HODL!H252</f>
        <v>0</v>
      </c>
      <c r="L253" s="38">
        <f>IBIT!G252</f>
        <v>0</v>
      </c>
      <c r="M253" s="98">
        <f>SUM(btc_ratios3[[#This Row],[ARKB]:[IBIT]])</f>
        <v>0</v>
      </c>
      <c r="N253" s="98"/>
      <c r="O253" s="132"/>
      <c r="P253" s="136">
        <f>ARKB!H252</f>
        <v>0</v>
      </c>
      <c r="Q253" s="136"/>
      <c r="R253" s="137"/>
    </row>
    <row r="254" spans="1:18" ht="15" customHeight="1">
      <c r="A254" s="13" t="str">
        <f>scalars[[#This Row],[DOW]]</f>
        <v>Tuesday</v>
      </c>
      <c r="B254" s="28">
        <f t="shared" si="7"/>
        <v>46329</v>
      </c>
      <c r="C254" s="38">
        <f>ARKB!G253</f>
        <v>0</v>
      </c>
      <c r="D254" s="38">
        <f>BITB!H253</f>
        <v>0</v>
      </c>
      <c r="E254" s="98">
        <f>BRRR!G254</f>
        <v>0</v>
      </c>
      <c r="F254" s="38">
        <f>BTC!J253</f>
        <v>0</v>
      </c>
      <c r="G254" s="38">
        <f>BTCW!H253</f>
        <v>0</v>
      </c>
      <c r="H254" s="38">
        <f>EZBC!F253</f>
        <v>0</v>
      </c>
      <c r="J254" s="38">
        <f>GBTC!K253</f>
        <v>0</v>
      </c>
      <c r="K254" s="38">
        <f>HODL!H253</f>
        <v>0</v>
      </c>
      <c r="L254" s="38">
        <f>IBIT!G253</f>
        <v>0</v>
      </c>
      <c r="M254" s="98">
        <f>SUM(btc_ratios3[[#This Row],[ARKB]:[IBIT]])</f>
        <v>0</v>
      </c>
      <c r="N254" s="98"/>
      <c r="O254" s="132"/>
      <c r="P254" s="136">
        <f>ARKB!H253</f>
        <v>0</v>
      </c>
      <c r="Q254" s="136"/>
      <c r="R254" s="137"/>
    </row>
    <row r="255" spans="1:18" ht="15" customHeight="1">
      <c r="A255" s="13" t="str">
        <f>scalars[[#This Row],[DOW]]</f>
        <v>Wednesday</v>
      </c>
      <c r="B255" s="28">
        <f t="shared" si="7"/>
        <v>46330</v>
      </c>
      <c r="C255" s="38">
        <f>ARKB!G254</f>
        <v>0</v>
      </c>
      <c r="D255" s="38">
        <f>BITB!H254</f>
        <v>0</v>
      </c>
      <c r="E255" s="98">
        <f>BRRR!G255</f>
        <v>0</v>
      </c>
      <c r="F255" s="38">
        <f>BTC!J254</f>
        <v>0</v>
      </c>
      <c r="G255" s="38">
        <f>BTCW!H254</f>
        <v>0</v>
      </c>
      <c r="H255" s="38">
        <f>EZBC!F254</f>
        <v>0</v>
      </c>
      <c r="J255" s="38">
        <f>GBTC!K254</f>
        <v>0</v>
      </c>
      <c r="K255" s="38">
        <f>HODL!H254</f>
        <v>0</v>
      </c>
      <c r="L255" s="38">
        <f>IBIT!G254</f>
        <v>0</v>
      </c>
      <c r="M255" s="98">
        <f>SUM(btc_ratios3[[#This Row],[ARKB]:[IBIT]])</f>
        <v>0</v>
      </c>
      <c r="N255" s="98"/>
      <c r="O255" s="132"/>
      <c r="P255" s="136">
        <f>ARKB!H254</f>
        <v>0</v>
      </c>
      <c r="Q255" s="136"/>
      <c r="R255" s="137"/>
    </row>
    <row r="256" spans="1:18" ht="15" customHeight="1">
      <c r="A256" s="13" t="str">
        <f>scalars[[#This Row],[DOW]]</f>
        <v>Thursday</v>
      </c>
      <c r="B256" s="28">
        <f t="shared" si="7"/>
        <v>46331</v>
      </c>
      <c r="C256" s="38">
        <f>ARKB!G255</f>
        <v>0</v>
      </c>
      <c r="D256" s="38">
        <f>BITB!H255</f>
        <v>0</v>
      </c>
      <c r="E256" s="98">
        <f>BRRR!G256</f>
        <v>0</v>
      </c>
      <c r="F256" s="38">
        <f>BTC!J255</f>
        <v>0</v>
      </c>
      <c r="G256" s="38">
        <f>BTCW!H255</f>
        <v>0</v>
      </c>
      <c r="H256" s="38">
        <f>EZBC!F255</f>
        <v>0</v>
      </c>
      <c r="J256" s="38">
        <f>GBTC!K255</f>
        <v>0</v>
      </c>
      <c r="K256" s="38">
        <f>HODL!H255</f>
        <v>0</v>
      </c>
      <c r="L256" s="38">
        <f>IBIT!G255</f>
        <v>0</v>
      </c>
      <c r="M256" s="98">
        <f>SUM(btc_ratios3[[#This Row],[ARKB]:[IBIT]])</f>
        <v>0</v>
      </c>
      <c r="N256" s="98"/>
      <c r="O256" s="132"/>
      <c r="P256" s="136">
        <f>ARKB!H255</f>
        <v>0</v>
      </c>
      <c r="Q256" s="136"/>
      <c r="R256" s="137"/>
    </row>
    <row r="257" spans="1:18" ht="15" customHeight="1">
      <c r="A257" s="13" t="str">
        <f>scalars[[#This Row],[DOW]]</f>
        <v>Friday</v>
      </c>
      <c r="B257" s="28">
        <f t="shared" si="7"/>
        <v>46332</v>
      </c>
      <c r="C257" s="38">
        <f>ARKB!G256</f>
        <v>0</v>
      </c>
      <c r="D257" s="38">
        <f>BITB!H256</f>
        <v>0</v>
      </c>
      <c r="E257" s="98">
        <f>BRRR!G257</f>
        <v>0</v>
      </c>
      <c r="F257" s="38">
        <f>BTC!J256</f>
        <v>0</v>
      </c>
      <c r="G257" s="38">
        <f>BTCW!H256</f>
        <v>0</v>
      </c>
      <c r="H257" s="38">
        <f>EZBC!F256</f>
        <v>0</v>
      </c>
      <c r="J257" s="38">
        <f>GBTC!K256</f>
        <v>0</v>
      </c>
      <c r="K257" s="38">
        <f>HODL!H256</f>
        <v>0</v>
      </c>
      <c r="L257" s="38">
        <f>IBIT!G256</f>
        <v>0</v>
      </c>
      <c r="M257" s="98">
        <f>SUM(btc_ratios3[[#This Row],[ARKB]:[IBIT]])</f>
        <v>0</v>
      </c>
      <c r="N257" s="98"/>
      <c r="O257" s="132"/>
      <c r="P257" s="136">
        <f>ARKB!H256</f>
        <v>0</v>
      </c>
      <c r="Q257" s="136"/>
      <c r="R257" s="137"/>
    </row>
    <row r="258" spans="1:18" ht="15" customHeight="1">
      <c r="A258" s="13" t="str">
        <f>scalars[[#This Row],[DOW]]</f>
        <v>Saturday</v>
      </c>
      <c r="B258" s="28">
        <f t="shared" si="7"/>
        <v>46333</v>
      </c>
      <c r="C258" s="38">
        <f>ARKB!G257</f>
        <v>0</v>
      </c>
      <c r="D258" s="38">
        <f>BITB!H257</f>
        <v>0</v>
      </c>
      <c r="E258" s="98">
        <f>BRRR!G258</f>
        <v>0</v>
      </c>
      <c r="F258" s="38">
        <f>BTC!J257</f>
        <v>0</v>
      </c>
      <c r="G258" s="38">
        <f>BTCW!H257</f>
        <v>0</v>
      </c>
      <c r="H258" s="38">
        <f>EZBC!F257</f>
        <v>0</v>
      </c>
      <c r="J258" s="38">
        <f>GBTC!K257</f>
        <v>0</v>
      </c>
      <c r="K258" s="38">
        <f>HODL!H257</f>
        <v>0</v>
      </c>
      <c r="L258" s="38">
        <f>IBIT!G257</f>
        <v>0</v>
      </c>
      <c r="M258" s="98">
        <f>SUM(btc_ratios3[[#This Row],[ARKB]:[IBIT]])</f>
        <v>0</v>
      </c>
      <c r="N258" s="98"/>
      <c r="O258" s="132"/>
      <c r="P258" s="136">
        <f>ARKB!H257</f>
        <v>0</v>
      </c>
      <c r="Q258" s="136"/>
      <c r="R258" s="137"/>
    </row>
    <row r="259" spans="1:18" ht="15" customHeight="1">
      <c r="A259" s="13" t="str">
        <f>scalars[[#This Row],[DOW]]</f>
        <v>Sunday</v>
      </c>
      <c r="B259" s="28">
        <f t="shared" si="7"/>
        <v>46334</v>
      </c>
      <c r="C259" s="38">
        <f>ARKB!G258</f>
        <v>0</v>
      </c>
      <c r="D259" s="38">
        <f>BITB!H258</f>
        <v>0</v>
      </c>
      <c r="E259" s="98">
        <f>BRRR!G259</f>
        <v>0</v>
      </c>
      <c r="F259" s="38">
        <f>BTC!J258</f>
        <v>0</v>
      </c>
      <c r="G259" s="38">
        <f>BTCW!H258</f>
        <v>0</v>
      </c>
      <c r="H259" s="38">
        <f>EZBC!F258</f>
        <v>0</v>
      </c>
      <c r="J259" s="38">
        <f>GBTC!K258</f>
        <v>0</v>
      </c>
      <c r="K259" s="38">
        <f>HODL!H258</f>
        <v>0</v>
      </c>
      <c r="L259" s="38">
        <f>IBIT!G258</f>
        <v>0</v>
      </c>
      <c r="M259" s="98">
        <f>SUM(btc_ratios3[[#This Row],[ARKB]:[IBIT]])</f>
        <v>0</v>
      </c>
      <c r="N259" s="98"/>
      <c r="O259" s="132"/>
      <c r="P259" s="136">
        <f>ARKB!H258</f>
        <v>0</v>
      </c>
      <c r="Q259" s="136"/>
      <c r="R259" s="137"/>
    </row>
    <row r="260" spans="1:18" ht="15" customHeight="1">
      <c r="A260" s="13" t="str">
        <f>scalars[[#This Row],[DOW]]</f>
        <v>Monday</v>
      </c>
      <c r="B260" s="28">
        <f t="shared" si="7"/>
        <v>46335</v>
      </c>
      <c r="C260" s="38">
        <f>ARKB!G259</f>
        <v>0</v>
      </c>
      <c r="D260" s="38">
        <f>BITB!H259</f>
        <v>0</v>
      </c>
      <c r="E260" s="98">
        <f>BRRR!G260</f>
        <v>0</v>
      </c>
      <c r="F260" s="38">
        <f>BTC!J259</f>
        <v>0</v>
      </c>
      <c r="G260" s="38">
        <f>BTCW!H259</f>
        <v>0</v>
      </c>
      <c r="H260" s="38">
        <f>EZBC!F259</f>
        <v>0</v>
      </c>
      <c r="J260" s="38">
        <f>GBTC!K259</f>
        <v>0</v>
      </c>
      <c r="K260" s="38">
        <f>HODL!H259</f>
        <v>0</v>
      </c>
      <c r="L260" s="38">
        <f>IBIT!G259</f>
        <v>0</v>
      </c>
      <c r="M260" s="98">
        <f>SUM(btc_ratios3[[#This Row],[ARKB]:[IBIT]])</f>
        <v>0</v>
      </c>
      <c r="N260" s="98"/>
      <c r="O260" s="132"/>
      <c r="P260" s="136">
        <f>ARKB!H259</f>
        <v>0</v>
      </c>
      <c r="Q260" s="136"/>
      <c r="R260" s="137"/>
    </row>
    <row r="261" spans="1:18" ht="15" customHeight="1">
      <c r="A261" s="13" t="str">
        <f>scalars[[#This Row],[DOW]]</f>
        <v>Tuesday</v>
      </c>
      <c r="B261" s="28">
        <f t="shared" si="7"/>
        <v>46336</v>
      </c>
      <c r="C261" s="38">
        <f>ARKB!G260</f>
        <v>0</v>
      </c>
      <c r="D261" s="38">
        <f>BITB!H260</f>
        <v>0</v>
      </c>
      <c r="E261" s="98">
        <f>BRRR!G261</f>
        <v>0</v>
      </c>
      <c r="F261" s="38">
        <f>BTC!J260</f>
        <v>0</v>
      </c>
      <c r="G261" s="38">
        <f>BTCW!H260</f>
        <v>0</v>
      </c>
      <c r="H261" s="38">
        <f>EZBC!F260</f>
        <v>0</v>
      </c>
      <c r="J261" s="38">
        <f>GBTC!K260</f>
        <v>0</v>
      </c>
      <c r="K261" s="38">
        <f>HODL!H260</f>
        <v>0</v>
      </c>
      <c r="L261" s="38">
        <f>IBIT!G260</f>
        <v>0</v>
      </c>
      <c r="M261" s="98">
        <f>SUM(btc_ratios3[[#This Row],[ARKB]:[IBIT]])</f>
        <v>0</v>
      </c>
      <c r="N261" s="98"/>
      <c r="O261" s="132"/>
      <c r="P261" s="136">
        <f>ARKB!H260</f>
        <v>0</v>
      </c>
      <c r="Q261" s="136"/>
      <c r="R261" s="137"/>
    </row>
    <row r="262" spans="1:18" ht="15" customHeight="1">
      <c r="A262" s="13" t="str">
        <f>scalars[[#This Row],[DOW]]</f>
        <v>Wednesday</v>
      </c>
      <c r="B262" s="28">
        <f t="shared" si="7"/>
        <v>46337</v>
      </c>
      <c r="C262" s="38">
        <f>ARKB!G261</f>
        <v>0</v>
      </c>
      <c r="D262" s="38">
        <f>BITB!H261</f>
        <v>0</v>
      </c>
      <c r="E262" s="98">
        <f>BRRR!G262</f>
        <v>0</v>
      </c>
      <c r="F262" s="38">
        <f>BTC!J261</f>
        <v>0</v>
      </c>
      <c r="G262" s="38">
        <f>BTCW!H261</f>
        <v>0</v>
      </c>
      <c r="H262" s="38">
        <f>EZBC!F261</f>
        <v>0</v>
      </c>
      <c r="J262" s="38">
        <f>GBTC!K261</f>
        <v>0</v>
      </c>
      <c r="K262" s="38">
        <f>HODL!H261</f>
        <v>0</v>
      </c>
      <c r="L262" s="38">
        <f>IBIT!G261</f>
        <v>0</v>
      </c>
      <c r="M262" s="98">
        <f>SUM(btc_ratios3[[#This Row],[ARKB]:[IBIT]])</f>
        <v>0</v>
      </c>
      <c r="N262" s="98"/>
      <c r="O262" s="132"/>
      <c r="P262" s="136">
        <f>ARKB!H261</f>
        <v>0</v>
      </c>
      <c r="Q262" s="136"/>
      <c r="R262" s="137"/>
    </row>
    <row r="263" spans="1:18" ht="15" customHeight="1">
      <c r="A263" s="13" t="str">
        <f>scalars[[#This Row],[DOW]]</f>
        <v>Thursday</v>
      </c>
      <c r="B263" s="28">
        <f t="shared" si="7"/>
        <v>46338</v>
      </c>
      <c r="C263" s="38">
        <f>ARKB!G262</f>
        <v>0</v>
      </c>
      <c r="D263" s="38">
        <f>BITB!H262</f>
        <v>0</v>
      </c>
      <c r="E263" s="98">
        <f>BRRR!G263</f>
        <v>0</v>
      </c>
      <c r="F263" s="38">
        <f>BTC!J262</f>
        <v>0</v>
      </c>
      <c r="G263" s="38">
        <f>BTCW!H262</f>
        <v>0</v>
      </c>
      <c r="H263" s="38">
        <f>EZBC!F262</f>
        <v>0</v>
      </c>
      <c r="J263" s="38">
        <f>GBTC!K262</f>
        <v>0</v>
      </c>
      <c r="K263" s="38">
        <f>HODL!H262</f>
        <v>0</v>
      </c>
      <c r="L263" s="38">
        <f>IBIT!G262</f>
        <v>0</v>
      </c>
      <c r="M263" s="98">
        <f>SUM(btc_ratios3[[#This Row],[ARKB]:[IBIT]])</f>
        <v>0</v>
      </c>
      <c r="N263" s="98"/>
      <c r="O263" s="132"/>
      <c r="P263" s="136">
        <f>ARKB!H262</f>
        <v>0</v>
      </c>
      <c r="Q263" s="136"/>
      <c r="R263" s="137"/>
    </row>
    <row r="264" spans="1:18" ht="15" customHeight="1">
      <c r="A264" s="13" t="str">
        <f>scalars[[#This Row],[DOW]]</f>
        <v>Friday</v>
      </c>
      <c r="B264" s="28">
        <f t="shared" si="7"/>
        <v>46339</v>
      </c>
      <c r="C264" s="38">
        <f>ARKB!G263</f>
        <v>0</v>
      </c>
      <c r="D264" s="38">
        <f>BITB!H263</f>
        <v>0</v>
      </c>
      <c r="E264" s="98">
        <f>BRRR!G264</f>
        <v>0</v>
      </c>
      <c r="F264" s="38">
        <f>BTC!J263</f>
        <v>0</v>
      </c>
      <c r="G264" s="38">
        <f>BTCW!H263</f>
        <v>0</v>
      </c>
      <c r="H264" s="38">
        <f>EZBC!F263</f>
        <v>0</v>
      </c>
      <c r="J264" s="38">
        <f>GBTC!K263</f>
        <v>0</v>
      </c>
      <c r="K264" s="38">
        <f>HODL!H263</f>
        <v>0</v>
      </c>
      <c r="L264" s="38">
        <f>IBIT!G263</f>
        <v>0</v>
      </c>
      <c r="M264" s="98">
        <f>SUM(btc_ratios3[[#This Row],[ARKB]:[IBIT]])</f>
        <v>0</v>
      </c>
      <c r="N264" s="98"/>
      <c r="O264" s="132"/>
      <c r="P264" s="136">
        <f>ARKB!H263</f>
        <v>0</v>
      </c>
      <c r="Q264" s="136"/>
      <c r="R264" s="137"/>
    </row>
    <row r="265" spans="1:18" ht="15" customHeight="1">
      <c r="A265" s="13" t="str">
        <f>scalars[[#This Row],[DOW]]</f>
        <v>Saturday</v>
      </c>
      <c r="B265" s="28">
        <f t="shared" ref="B265:B328" si="8">B264+1</f>
        <v>46340</v>
      </c>
      <c r="C265" s="38">
        <f>ARKB!G264</f>
        <v>0</v>
      </c>
      <c r="D265" s="38">
        <f>BITB!H264</f>
        <v>0</v>
      </c>
      <c r="E265" s="98">
        <f>BRRR!G265</f>
        <v>0</v>
      </c>
      <c r="F265" s="38">
        <f>BTC!J264</f>
        <v>0</v>
      </c>
      <c r="G265" s="38">
        <f>BTCW!H264</f>
        <v>0</v>
      </c>
      <c r="H265" s="38">
        <f>EZBC!F264</f>
        <v>0</v>
      </c>
      <c r="J265" s="38">
        <f>GBTC!K264</f>
        <v>0</v>
      </c>
      <c r="K265" s="38">
        <f>HODL!H264</f>
        <v>0</v>
      </c>
      <c r="L265" s="38">
        <f>IBIT!G264</f>
        <v>0</v>
      </c>
      <c r="M265" s="98">
        <f>SUM(btc_ratios3[[#This Row],[ARKB]:[IBIT]])</f>
        <v>0</v>
      </c>
      <c r="N265" s="98"/>
      <c r="O265" s="132"/>
      <c r="P265" s="136">
        <f>ARKB!H264</f>
        <v>0</v>
      </c>
      <c r="Q265" s="136"/>
      <c r="R265" s="137"/>
    </row>
    <row r="266" spans="1:18" ht="15" customHeight="1">
      <c r="A266" s="13" t="str">
        <f>scalars[[#This Row],[DOW]]</f>
        <v>Sunday</v>
      </c>
      <c r="B266" s="28">
        <f t="shared" si="8"/>
        <v>46341</v>
      </c>
      <c r="C266" s="38">
        <f>ARKB!G265</f>
        <v>0</v>
      </c>
      <c r="D266" s="38">
        <f>BITB!H265</f>
        <v>0</v>
      </c>
      <c r="E266" s="98">
        <f>BRRR!G266</f>
        <v>0</v>
      </c>
      <c r="F266" s="38">
        <f>BTC!J265</f>
        <v>0</v>
      </c>
      <c r="G266" s="38">
        <f>BTCW!H265</f>
        <v>0</v>
      </c>
      <c r="H266" s="38">
        <f>EZBC!F265</f>
        <v>0</v>
      </c>
      <c r="J266" s="38">
        <f>GBTC!K265</f>
        <v>0</v>
      </c>
      <c r="K266" s="38">
        <f>HODL!H265</f>
        <v>0</v>
      </c>
      <c r="L266" s="38">
        <f>IBIT!G265</f>
        <v>0</v>
      </c>
      <c r="M266" s="98">
        <f>SUM(btc_ratios3[[#This Row],[ARKB]:[IBIT]])</f>
        <v>0</v>
      </c>
      <c r="N266" s="98"/>
      <c r="O266" s="132"/>
      <c r="P266" s="136">
        <f>ARKB!H265</f>
        <v>0</v>
      </c>
      <c r="Q266" s="136"/>
      <c r="R266" s="137"/>
    </row>
    <row r="267" spans="1:18" ht="15" customHeight="1">
      <c r="A267" s="13" t="str">
        <f>scalars[[#This Row],[DOW]]</f>
        <v>Monday</v>
      </c>
      <c r="B267" s="28">
        <f t="shared" si="8"/>
        <v>46342</v>
      </c>
      <c r="C267" s="38">
        <f>ARKB!G266</f>
        <v>0</v>
      </c>
      <c r="D267" s="38">
        <f>BITB!H266</f>
        <v>0</v>
      </c>
      <c r="E267" s="98">
        <f>BRRR!G267</f>
        <v>0</v>
      </c>
      <c r="F267" s="38">
        <f>BTC!J266</f>
        <v>0</v>
      </c>
      <c r="G267" s="38">
        <f>BTCW!H266</f>
        <v>0</v>
      </c>
      <c r="H267" s="38">
        <f>EZBC!F266</f>
        <v>0</v>
      </c>
      <c r="J267" s="38">
        <f>GBTC!K266</f>
        <v>0</v>
      </c>
      <c r="K267" s="38">
        <f>HODL!H266</f>
        <v>0</v>
      </c>
      <c r="L267" s="38">
        <f>IBIT!G266</f>
        <v>0</v>
      </c>
      <c r="M267" s="98">
        <f>SUM(btc_ratios3[[#This Row],[ARKB]:[IBIT]])</f>
        <v>0</v>
      </c>
      <c r="N267" s="98"/>
      <c r="O267" s="132"/>
      <c r="P267" s="136">
        <f>ARKB!H266</f>
        <v>0</v>
      </c>
      <c r="Q267" s="136"/>
      <c r="R267" s="137"/>
    </row>
    <row r="268" spans="1:18" ht="15" customHeight="1">
      <c r="A268" s="13" t="str">
        <f>scalars[[#This Row],[DOW]]</f>
        <v>Tuesday</v>
      </c>
      <c r="B268" s="28">
        <f t="shared" si="8"/>
        <v>46343</v>
      </c>
      <c r="C268" s="38">
        <f>ARKB!G267</f>
        <v>0</v>
      </c>
      <c r="D268" s="38">
        <f>BITB!H267</f>
        <v>0</v>
      </c>
      <c r="E268" s="98">
        <f>BRRR!G268</f>
        <v>0</v>
      </c>
      <c r="F268" s="38">
        <f>BTC!J267</f>
        <v>0</v>
      </c>
      <c r="G268" s="38">
        <f>BTCW!H267</f>
        <v>0</v>
      </c>
      <c r="H268" s="38">
        <f>EZBC!F267</f>
        <v>0</v>
      </c>
      <c r="J268" s="38">
        <f>GBTC!K267</f>
        <v>0</v>
      </c>
      <c r="K268" s="38">
        <f>HODL!H267</f>
        <v>0</v>
      </c>
      <c r="L268" s="38">
        <f>IBIT!G267</f>
        <v>0</v>
      </c>
      <c r="M268" s="98">
        <f>SUM(btc_ratios3[[#This Row],[ARKB]:[IBIT]])</f>
        <v>0</v>
      </c>
      <c r="N268" s="98"/>
      <c r="O268" s="132"/>
      <c r="P268" s="136">
        <f>ARKB!H267</f>
        <v>0</v>
      </c>
      <c r="Q268" s="136"/>
      <c r="R268" s="137"/>
    </row>
    <row r="269" spans="1:18" ht="15" customHeight="1">
      <c r="A269" s="13" t="str">
        <f>scalars[[#This Row],[DOW]]</f>
        <v>Wednesday</v>
      </c>
      <c r="B269" s="28">
        <f t="shared" si="8"/>
        <v>46344</v>
      </c>
      <c r="C269" s="38">
        <f>ARKB!G268</f>
        <v>0</v>
      </c>
      <c r="D269" s="38">
        <f>BITB!H268</f>
        <v>0</v>
      </c>
      <c r="E269" s="98">
        <f>BRRR!G269</f>
        <v>0</v>
      </c>
      <c r="F269" s="38">
        <f>BTC!J268</f>
        <v>0</v>
      </c>
      <c r="G269" s="38">
        <f>BTCW!H268</f>
        <v>0</v>
      </c>
      <c r="H269" s="38">
        <f>EZBC!F268</f>
        <v>0</v>
      </c>
      <c r="J269" s="38">
        <f>GBTC!K268</f>
        <v>0</v>
      </c>
      <c r="K269" s="38">
        <f>HODL!H268</f>
        <v>0</v>
      </c>
      <c r="L269" s="38">
        <f>IBIT!G268</f>
        <v>0</v>
      </c>
      <c r="M269" s="98">
        <f>SUM(btc_ratios3[[#This Row],[ARKB]:[IBIT]])</f>
        <v>0</v>
      </c>
      <c r="N269" s="98"/>
      <c r="O269" s="132"/>
      <c r="P269" s="136">
        <f>ARKB!H268</f>
        <v>0</v>
      </c>
      <c r="Q269" s="136"/>
      <c r="R269" s="137"/>
    </row>
    <row r="270" spans="1:18" ht="15" customHeight="1">
      <c r="A270" s="13" t="str">
        <f>scalars[[#This Row],[DOW]]</f>
        <v>Thursday</v>
      </c>
      <c r="B270" s="28">
        <f t="shared" si="8"/>
        <v>46345</v>
      </c>
      <c r="C270" s="38">
        <f>ARKB!G269</f>
        <v>0</v>
      </c>
      <c r="D270" s="38">
        <f>BITB!H269</f>
        <v>0</v>
      </c>
      <c r="E270" s="98">
        <f>BRRR!G270</f>
        <v>0</v>
      </c>
      <c r="F270" s="38">
        <f>BTC!J269</f>
        <v>0</v>
      </c>
      <c r="G270" s="38">
        <f>BTCW!H269</f>
        <v>0</v>
      </c>
      <c r="H270" s="38">
        <f>EZBC!F269</f>
        <v>0</v>
      </c>
      <c r="J270" s="38">
        <f>GBTC!K269</f>
        <v>0</v>
      </c>
      <c r="K270" s="38">
        <f>HODL!H269</f>
        <v>0</v>
      </c>
      <c r="L270" s="38">
        <f>IBIT!G269</f>
        <v>0</v>
      </c>
      <c r="M270" s="98">
        <f>SUM(btc_ratios3[[#This Row],[ARKB]:[IBIT]])</f>
        <v>0</v>
      </c>
      <c r="N270" s="98"/>
      <c r="O270" s="132"/>
      <c r="P270" s="136">
        <f>ARKB!H269</f>
        <v>0</v>
      </c>
      <c r="Q270" s="136"/>
      <c r="R270" s="137"/>
    </row>
    <row r="271" spans="1:18" ht="15" customHeight="1">
      <c r="A271" s="13" t="str">
        <f>scalars[[#This Row],[DOW]]</f>
        <v>Friday</v>
      </c>
      <c r="B271" s="28">
        <f t="shared" si="8"/>
        <v>46346</v>
      </c>
      <c r="C271" s="38">
        <f>ARKB!G270</f>
        <v>0</v>
      </c>
      <c r="D271" s="38">
        <f>BITB!H270</f>
        <v>0</v>
      </c>
      <c r="E271" s="98">
        <f>BRRR!G271</f>
        <v>0</v>
      </c>
      <c r="F271" s="38">
        <f>BTC!J270</f>
        <v>0</v>
      </c>
      <c r="G271" s="38">
        <f>BTCW!H270</f>
        <v>0</v>
      </c>
      <c r="H271" s="38">
        <f>EZBC!F270</f>
        <v>0</v>
      </c>
      <c r="J271" s="38">
        <f>GBTC!K270</f>
        <v>0</v>
      </c>
      <c r="K271" s="38">
        <f>HODL!H270</f>
        <v>0</v>
      </c>
      <c r="L271" s="38">
        <f>IBIT!G270</f>
        <v>0</v>
      </c>
      <c r="M271" s="98">
        <f>SUM(btc_ratios3[[#This Row],[ARKB]:[IBIT]])</f>
        <v>0</v>
      </c>
      <c r="N271" s="98"/>
      <c r="O271" s="132"/>
      <c r="P271" s="136">
        <f>ARKB!H270</f>
        <v>0</v>
      </c>
      <c r="Q271" s="136"/>
      <c r="R271" s="137"/>
    </row>
    <row r="272" spans="1:18" ht="15" customHeight="1">
      <c r="A272" s="13" t="str">
        <f>scalars[[#This Row],[DOW]]</f>
        <v>Saturday</v>
      </c>
      <c r="B272" s="28">
        <f t="shared" si="8"/>
        <v>46347</v>
      </c>
      <c r="C272" s="38">
        <f>ARKB!G271</f>
        <v>0</v>
      </c>
      <c r="D272" s="38">
        <f>BITB!H271</f>
        <v>0</v>
      </c>
      <c r="E272" s="98">
        <f>BRRR!G272</f>
        <v>0</v>
      </c>
      <c r="F272" s="38">
        <f>BTC!J271</f>
        <v>0</v>
      </c>
      <c r="G272" s="38">
        <f>BTCW!H271</f>
        <v>0</v>
      </c>
      <c r="H272" s="38">
        <f>EZBC!F271</f>
        <v>0</v>
      </c>
      <c r="J272" s="38">
        <f>GBTC!K271</f>
        <v>0</v>
      </c>
      <c r="K272" s="38">
        <f>HODL!H271</f>
        <v>0</v>
      </c>
      <c r="L272" s="38">
        <f>IBIT!G271</f>
        <v>0</v>
      </c>
      <c r="M272" s="98">
        <f>SUM(btc_ratios3[[#This Row],[ARKB]:[IBIT]])</f>
        <v>0</v>
      </c>
      <c r="N272" s="98"/>
      <c r="O272" s="132"/>
      <c r="P272" s="136">
        <f>ARKB!H271</f>
        <v>0</v>
      </c>
      <c r="Q272" s="136"/>
      <c r="R272" s="137"/>
    </row>
    <row r="273" spans="1:18" ht="15" customHeight="1">
      <c r="A273" s="13" t="str">
        <f>scalars[[#This Row],[DOW]]</f>
        <v>Sunday</v>
      </c>
      <c r="B273" s="28">
        <f t="shared" si="8"/>
        <v>46348</v>
      </c>
      <c r="C273" s="38">
        <f>ARKB!G272</f>
        <v>0</v>
      </c>
      <c r="D273" s="38">
        <f>BITB!H272</f>
        <v>0</v>
      </c>
      <c r="E273" s="98">
        <f>BRRR!G273</f>
        <v>0</v>
      </c>
      <c r="F273" s="38">
        <f>BTC!J272</f>
        <v>0</v>
      </c>
      <c r="G273" s="38">
        <f>BTCW!H272</f>
        <v>0</v>
      </c>
      <c r="H273" s="38">
        <f>EZBC!F272</f>
        <v>0</v>
      </c>
      <c r="J273" s="38">
        <f>GBTC!K272</f>
        <v>0</v>
      </c>
      <c r="K273" s="38">
        <f>HODL!H272</f>
        <v>0</v>
      </c>
      <c r="L273" s="38">
        <f>IBIT!G272</f>
        <v>0</v>
      </c>
      <c r="M273" s="98">
        <f>SUM(btc_ratios3[[#This Row],[ARKB]:[IBIT]])</f>
        <v>0</v>
      </c>
      <c r="N273" s="98"/>
      <c r="O273" s="132"/>
      <c r="P273" s="136">
        <f>ARKB!H272</f>
        <v>0</v>
      </c>
      <c r="Q273" s="136"/>
      <c r="R273" s="137"/>
    </row>
    <row r="274" spans="1:18" ht="15" customHeight="1">
      <c r="A274" s="13" t="str">
        <f>scalars[[#This Row],[DOW]]</f>
        <v>Monday</v>
      </c>
      <c r="B274" s="28">
        <f t="shared" si="8"/>
        <v>46349</v>
      </c>
      <c r="C274" s="38">
        <f>ARKB!G273</f>
        <v>0</v>
      </c>
      <c r="D274" s="38">
        <f>BITB!H273</f>
        <v>0</v>
      </c>
      <c r="E274" s="98">
        <f>BRRR!G274</f>
        <v>0</v>
      </c>
      <c r="F274" s="38">
        <f>BTC!J273</f>
        <v>0</v>
      </c>
      <c r="G274" s="38">
        <f>BTCW!H273</f>
        <v>0</v>
      </c>
      <c r="H274" s="38">
        <f>EZBC!F273</f>
        <v>0</v>
      </c>
      <c r="J274" s="38">
        <f>GBTC!K273</f>
        <v>0</v>
      </c>
      <c r="K274" s="38">
        <f>HODL!H273</f>
        <v>0</v>
      </c>
      <c r="L274" s="38">
        <f>IBIT!G273</f>
        <v>0</v>
      </c>
      <c r="M274" s="98">
        <f>SUM(btc_ratios3[[#This Row],[ARKB]:[IBIT]])</f>
        <v>0</v>
      </c>
      <c r="N274" s="98"/>
      <c r="O274" s="132"/>
      <c r="P274" s="136">
        <f>ARKB!H273</f>
        <v>0</v>
      </c>
      <c r="Q274" s="136"/>
      <c r="R274" s="137"/>
    </row>
    <row r="275" spans="1:18" ht="15" customHeight="1">
      <c r="A275" s="13" t="str">
        <f>scalars[[#This Row],[DOW]]</f>
        <v>Tuesday</v>
      </c>
      <c r="B275" s="28">
        <f t="shared" si="8"/>
        <v>46350</v>
      </c>
      <c r="C275" s="38">
        <f>ARKB!G274</f>
        <v>0</v>
      </c>
      <c r="D275" s="38">
        <f>BITB!H274</f>
        <v>0</v>
      </c>
      <c r="E275" s="98">
        <f>BRRR!G275</f>
        <v>0</v>
      </c>
      <c r="F275" s="38">
        <f>BTC!J274</f>
        <v>0</v>
      </c>
      <c r="G275" s="38">
        <f>BTCW!H274</f>
        <v>0</v>
      </c>
      <c r="H275" s="38">
        <f>EZBC!F274</f>
        <v>0</v>
      </c>
      <c r="J275" s="38">
        <f>GBTC!K274</f>
        <v>0</v>
      </c>
      <c r="K275" s="38">
        <f>HODL!H274</f>
        <v>0</v>
      </c>
      <c r="L275" s="38">
        <f>IBIT!G274</f>
        <v>0</v>
      </c>
      <c r="M275" s="98">
        <f>SUM(btc_ratios3[[#This Row],[ARKB]:[IBIT]])</f>
        <v>0</v>
      </c>
      <c r="N275" s="98"/>
      <c r="O275" s="132"/>
      <c r="P275" s="136">
        <f>ARKB!H274</f>
        <v>0</v>
      </c>
      <c r="Q275" s="136"/>
      <c r="R275" s="137"/>
    </row>
    <row r="276" spans="1:18" ht="15" customHeight="1">
      <c r="A276" s="13" t="str">
        <f>scalars[[#This Row],[DOW]]</f>
        <v>Wednesday</v>
      </c>
      <c r="B276" s="28">
        <f t="shared" si="8"/>
        <v>46351</v>
      </c>
      <c r="C276" s="38">
        <f>ARKB!G275</f>
        <v>0</v>
      </c>
      <c r="D276" s="38">
        <f>BITB!H275</f>
        <v>0</v>
      </c>
      <c r="E276" s="98">
        <f>BRRR!G276</f>
        <v>0</v>
      </c>
      <c r="F276" s="38">
        <f>BTC!J275</f>
        <v>0</v>
      </c>
      <c r="G276" s="38">
        <f>BTCW!H275</f>
        <v>0</v>
      </c>
      <c r="H276" s="38">
        <f>EZBC!F275</f>
        <v>0</v>
      </c>
      <c r="J276" s="38">
        <f>GBTC!K275</f>
        <v>0</v>
      </c>
      <c r="K276" s="38">
        <f>HODL!H275</f>
        <v>0</v>
      </c>
      <c r="L276" s="38">
        <f>IBIT!G275</f>
        <v>0</v>
      </c>
      <c r="M276" s="98">
        <f>SUM(btc_ratios3[[#This Row],[ARKB]:[IBIT]])</f>
        <v>0</v>
      </c>
      <c r="N276" s="98"/>
      <c r="O276" s="132"/>
      <c r="P276" s="136">
        <f>ARKB!H275</f>
        <v>0</v>
      </c>
      <c r="Q276" s="136"/>
      <c r="R276" s="137"/>
    </row>
    <row r="277" spans="1:18" ht="15" customHeight="1">
      <c r="A277" s="13" t="str">
        <f>scalars[[#This Row],[DOW]]</f>
        <v>Thursday</v>
      </c>
      <c r="B277" s="28">
        <f t="shared" si="8"/>
        <v>46352</v>
      </c>
      <c r="C277" s="38">
        <f>ARKB!G276</f>
        <v>0</v>
      </c>
      <c r="D277" s="38">
        <f>BITB!H276</f>
        <v>0</v>
      </c>
      <c r="E277" s="98">
        <f>BRRR!G277</f>
        <v>0</v>
      </c>
      <c r="F277" s="38">
        <f>BTC!J276</f>
        <v>0</v>
      </c>
      <c r="G277" s="38">
        <f>BTCW!H276</f>
        <v>0</v>
      </c>
      <c r="H277" s="38">
        <f>EZBC!F276</f>
        <v>0</v>
      </c>
      <c r="J277" s="38">
        <f>GBTC!K276</f>
        <v>0</v>
      </c>
      <c r="K277" s="38">
        <f>HODL!H276</f>
        <v>0</v>
      </c>
      <c r="L277" s="38">
        <f>IBIT!G276</f>
        <v>0</v>
      </c>
      <c r="M277" s="98">
        <f>SUM(btc_ratios3[[#This Row],[ARKB]:[IBIT]])</f>
        <v>0</v>
      </c>
      <c r="N277" s="98"/>
      <c r="O277" s="132"/>
      <c r="P277" s="136">
        <f>ARKB!H276</f>
        <v>0</v>
      </c>
      <c r="Q277" s="136"/>
      <c r="R277" s="137"/>
    </row>
    <row r="278" spans="1:18" ht="15" customHeight="1">
      <c r="A278" s="13" t="str">
        <f>scalars[[#This Row],[DOW]]</f>
        <v>Friday</v>
      </c>
      <c r="B278" s="28">
        <f t="shared" si="8"/>
        <v>46353</v>
      </c>
      <c r="C278" s="38">
        <f>ARKB!G277</f>
        <v>0</v>
      </c>
      <c r="D278" s="38">
        <f>BITB!H277</f>
        <v>0</v>
      </c>
      <c r="E278" s="98">
        <f>BRRR!G278</f>
        <v>0</v>
      </c>
      <c r="F278" s="38">
        <f>BTC!J277</f>
        <v>0</v>
      </c>
      <c r="G278" s="38">
        <f>BTCW!H277</f>
        <v>0</v>
      </c>
      <c r="H278" s="38">
        <f>EZBC!F277</f>
        <v>0</v>
      </c>
      <c r="J278" s="38">
        <f>GBTC!K277</f>
        <v>0</v>
      </c>
      <c r="K278" s="38">
        <f>HODL!H277</f>
        <v>0</v>
      </c>
      <c r="L278" s="38">
        <f>IBIT!G277</f>
        <v>0</v>
      </c>
      <c r="M278" s="98">
        <f>SUM(btc_ratios3[[#This Row],[ARKB]:[IBIT]])</f>
        <v>0</v>
      </c>
      <c r="N278" s="98"/>
      <c r="O278" s="132"/>
      <c r="P278" s="136">
        <f>ARKB!H277</f>
        <v>0</v>
      </c>
      <c r="Q278" s="136"/>
      <c r="R278" s="137"/>
    </row>
    <row r="279" spans="1:18" ht="15" customHeight="1">
      <c r="A279" s="13" t="str">
        <f>scalars[[#This Row],[DOW]]</f>
        <v>Saturday</v>
      </c>
      <c r="B279" s="28">
        <f t="shared" si="8"/>
        <v>46354</v>
      </c>
      <c r="C279" s="38">
        <f>ARKB!G278</f>
        <v>0</v>
      </c>
      <c r="D279" s="38">
        <f>BITB!H278</f>
        <v>0</v>
      </c>
      <c r="E279" s="98">
        <f>BRRR!G279</f>
        <v>0</v>
      </c>
      <c r="F279" s="38">
        <f>BTC!J278</f>
        <v>0</v>
      </c>
      <c r="G279" s="38">
        <f>BTCW!H278</f>
        <v>0</v>
      </c>
      <c r="H279" s="38">
        <f>EZBC!F278</f>
        <v>0</v>
      </c>
      <c r="J279" s="38">
        <f>GBTC!K278</f>
        <v>0</v>
      </c>
      <c r="K279" s="38">
        <f>HODL!H278</f>
        <v>0</v>
      </c>
      <c r="L279" s="38">
        <f>IBIT!G278</f>
        <v>0</v>
      </c>
      <c r="M279" s="98">
        <f>SUM(btc_ratios3[[#This Row],[ARKB]:[IBIT]])</f>
        <v>0</v>
      </c>
      <c r="N279" s="98"/>
      <c r="O279" s="132"/>
      <c r="P279" s="136">
        <f>ARKB!H278</f>
        <v>0</v>
      </c>
      <c r="Q279" s="136"/>
      <c r="R279" s="137"/>
    </row>
    <row r="280" spans="1:18" ht="15" customHeight="1">
      <c r="A280" s="13" t="str">
        <f>scalars[[#This Row],[DOW]]</f>
        <v>Sunday</v>
      </c>
      <c r="B280" s="28">
        <f t="shared" si="8"/>
        <v>46355</v>
      </c>
      <c r="C280" s="38">
        <f>ARKB!G279</f>
        <v>0</v>
      </c>
      <c r="D280" s="38">
        <f>BITB!H279</f>
        <v>0</v>
      </c>
      <c r="E280" s="98">
        <f>BRRR!G280</f>
        <v>0</v>
      </c>
      <c r="F280" s="38">
        <f>BTC!J279</f>
        <v>0</v>
      </c>
      <c r="G280" s="38">
        <f>BTCW!H279</f>
        <v>0</v>
      </c>
      <c r="H280" s="38">
        <f>EZBC!F279</f>
        <v>0</v>
      </c>
      <c r="J280" s="38">
        <f>GBTC!K279</f>
        <v>0</v>
      </c>
      <c r="K280" s="38">
        <f>HODL!H279</f>
        <v>0</v>
      </c>
      <c r="L280" s="38">
        <f>IBIT!G279</f>
        <v>0</v>
      </c>
      <c r="M280" s="98">
        <f>SUM(btc_ratios3[[#This Row],[ARKB]:[IBIT]])</f>
        <v>0</v>
      </c>
      <c r="N280" s="98"/>
      <c r="O280" s="132"/>
      <c r="P280" s="136">
        <f>ARKB!H279</f>
        <v>0</v>
      </c>
      <c r="Q280" s="136"/>
      <c r="R280" s="137"/>
    </row>
    <row r="281" spans="1:18" ht="15" customHeight="1">
      <c r="A281" s="13" t="str">
        <f>scalars[[#This Row],[DOW]]</f>
        <v>Monday</v>
      </c>
      <c r="B281" s="28">
        <f t="shared" si="8"/>
        <v>46356</v>
      </c>
      <c r="C281" s="38">
        <f>ARKB!G280</f>
        <v>0</v>
      </c>
      <c r="D281" s="38">
        <f>BITB!H280</f>
        <v>0</v>
      </c>
      <c r="E281" s="98">
        <f>BRRR!G281</f>
        <v>0</v>
      </c>
      <c r="F281" s="38">
        <f>BTC!J280</f>
        <v>0</v>
      </c>
      <c r="G281" s="38">
        <f>BTCW!H280</f>
        <v>0</v>
      </c>
      <c r="H281" s="38">
        <f>EZBC!F280</f>
        <v>0</v>
      </c>
      <c r="J281" s="38">
        <f>GBTC!K280</f>
        <v>0</v>
      </c>
      <c r="K281" s="38">
        <f>HODL!H280</f>
        <v>0</v>
      </c>
      <c r="L281" s="38">
        <f>IBIT!G280</f>
        <v>0</v>
      </c>
      <c r="M281" s="98">
        <f>SUM(btc_ratios3[[#This Row],[ARKB]:[IBIT]])</f>
        <v>0</v>
      </c>
      <c r="N281" s="98"/>
      <c r="O281" s="132"/>
      <c r="P281" s="136">
        <f>ARKB!H280</f>
        <v>0</v>
      </c>
      <c r="Q281" s="136"/>
      <c r="R281" s="137"/>
    </row>
    <row r="282" spans="1:18" ht="15" customHeight="1">
      <c r="A282" s="13" t="str">
        <f>scalars[[#This Row],[DOW]]</f>
        <v>Tuesday</v>
      </c>
      <c r="B282" s="28">
        <f t="shared" si="8"/>
        <v>46357</v>
      </c>
      <c r="C282" s="38">
        <f>ARKB!G281</f>
        <v>0</v>
      </c>
      <c r="D282" s="38">
        <f>BITB!H281</f>
        <v>0</v>
      </c>
      <c r="E282" s="98">
        <f>BRRR!G282</f>
        <v>0</v>
      </c>
      <c r="F282" s="38">
        <f>BTC!J281</f>
        <v>0</v>
      </c>
      <c r="G282" s="38">
        <f>BTCW!H281</f>
        <v>0</v>
      </c>
      <c r="H282" s="38">
        <f>EZBC!F281</f>
        <v>0</v>
      </c>
      <c r="J282" s="38">
        <f>GBTC!K281</f>
        <v>0</v>
      </c>
      <c r="K282" s="38">
        <f>HODL!H281</f>
        <v>0</v>
      </c>
      <c r="L282" s="38">
        <f>IBIT!G281</f>
        <v>0</v>
      </c>
      <c r="M282" s="98">
        <f>SUM(btc_ratios3[[#This Row],[ARKB]:[IBIT]])</f>
        <v>0</v>
      </c>
      <c r="N282" s="98"/>
      <c r="O282" s="132"/>
      <c r="P282" s="136">
        <f>ARKB!H281</f>
        <v>0</v>
      </c>
      <c r="Q282" s="136"/>
      <c r="R282" s="137"/>
    </row>
    <row r="283" spans="1:18" ht="15" customHeight="1">
      <c r="A283" s="13" t="str">
        <f>scalars[[#This Row],[DOW]]</f>
        <v>Wednesday</v>
      </c>
      <c r="B283" s="28">
        <f t="shared" si="8"/>
        <v>46358</v>
      </c>
      <c r="C283" s="38">
        <f>ARKB!G282</f>
        <v>0</v>
      </c>
      <c r="D283" s="38">
        <f>BITB!H282</f>
        <v>0</v>
      </c>
      <c r="E283" s="98">
        <f>BRRR!G283</f>
        <v>0</v>
      </c>
      <c r="F283" s="38">
        <f>BTC!J282</f>
        <v>0</v>
      </c>
      <c r="G283" s="38">
        <f>BTCW!H282</f>
        <v>0</v>
      </c>
      <c r="H283" s="38">
        <f>EZBC!F282</f>
        <v>0</v>
      </c>
      <c r="J283" s="38">
        <f>GBTC!K282</f>
        <v>0</v>
      </c>
      <c r="K283" s="38">
        <f>HODL!H282</f>
        <v>0</v>
      </c>
      <c r="L283" s="38">
        <f>IBIT!G282</f>
        <v>0</v>
      </c>
      <c r="M283" s="98">
        <f>SUM(btc_ratios3[[#This Row],[ARKB]:[IBIT]])</f>
        <v>0</v>
      </c>
      <c r="N283" s="98"/>
      <c r="O283" s="132"/>
      <c r="P283" s="136">
        <f>ARKB!H282</f>
        <v>0</v>
      </c>
      <c r="Q283" s="136"/>
      <c r="R283" s="137"/>
    </row>
    <row r="284" spans="1:18" ht="15" customHeight="1">
      <c r="A284" s="13" t="str">
        <f>scalars[[#This Row],[DOW]]</f>
        <v>Thursday</v>
      </c>
      <c r="B284" s="28">
        <f t="shared" si="8"/>
        <v>46359</v>
      </c>
      <c r="C284" s="38">
        <f>ARKB!G283</f>
        <v>0</v>
      </c>
      <c r="D284" s="38">
        <f>BITB!H283</f>
        <v>0</v>
      </c>
      <c r="E284" s="98">
        <f>BRRR!G284</f>
        <v>0</v>
      </c>
      <c r="F284" s="38">
        <f>BTC!J283</f>
        <v>0</v>
      </c>
      <c r="G284" s="38">
        <f>BTCW!H283</f>
        <v>0</v>
      </c>
      <c r="H284" s="38">
        <f>EZBC!F283</f>
        <v>0</v>
      </c>
      <c r="J284" s="38">
        <f>GBTC!K283</f>
        <v>0</v>
      </c>
      <c r="K284" s="38">
        <f>HODL!H283</f>
        <v>0</v>
      </c>
      <c r="L284" s="38">
        <f>IBIT!G283</f>
        <v>0</v>
      </c>
      <c r="M284" s="98">
        <f>SUM(btc_ratios3[[#This Row],[ARKB]:[IBIT]])</f>
        <v>0</v>
      </c>
      <c r="N284" s="98"/>
      <c r="O284" s="132"/>
      <c r="P284" s="136">
        <f>ARKB!H283</f>
        <v>0</v>
      </c>
      <c r="Q284" s="136"/>
      <c r="R284" s="137"/>
    </row>
    <row r="285" spans="1:18" ht="15" customHeight="1">
      <c r="A285" s="13" t="str">
        <f>scalars[[#This Row],[DOW]]</f>
        <v>Friday</v>
      </c>
      <c r="B285" s="28">
        <f t="shared" si="8"/>
        <v>46360</v>
      </c>
      <c r="C285" s="38">
        <f>ARKB!G284</f>
        <v>0</v>
      </c>
      <c r="D285" s="38">
        <f>BITB!H284</f>
        <v>0</v>
      </c>
      <c r="E285" s="98">
        <f>BRRR!G285</f>
        <v>0</v>
      </c>
      <c r="F285" s="38">
        <f>BTC!J284</f>
        <v>0</v>
      </c>
      <c r="G285" s="38">
        <f>BTCW!H284</f>
        <v>0</v>
      </c>
      <c r="H285" s="38">
        <f>EZBC!F284</f>
        <v>0</v>
      </c>
      <c r="J285" s="38">
        <f>GBTC!K284</f>
        <v>0</v>
      </c>
      <c r="K285" s="38">
        <f>HODL!H284</f>
        <v>0</v>
      </c>
      <c r="L285" s="38">
        <f>IBIT!G284</f>
        <v>0</v>
      </c>
      <c r="M285" s="98">
        <f>SUM(btc_ratios3[[#This Row],[ARKB]:[IBIT]])</f>
        <v>0</v>
      </c>
      <c r="N285" s="98"/>
      <c r="O285" s="132"/>
      <c r="P285" s="136">
        <f>ARKB!H284</f>
        <v>0</v>
      </c>
      <c r="Q285" s="136"/>
      <c r="R285" s="137"/>
    </row>
    <row r="286" spans="1:18" ht="15" customHeight="1">
      <c r="A286" s="13" t="str">
        <f>scalars[[#This Row],[DOW]]</f>
        <v>Saturday</v>
      </c>
      <c r="B286" s="28">
        <f t="shared" si="8"/>
        <v>46361</v>
      </c>
      <c r="C286" s="38">
        <f>ARKB!G285</f>
        <v>0</v>
      </c>
      <c r="D286" s="38">
        <f>BITB!H285</f>
        <v>0</v>
      </c>
      <c r="E286" s="98">
        <f>BRRR!G286</f>
        <v>0</v>
      </c>
      <c r="F286" s="38">
        <f>BTC!J285</f>
        <v>0</v>
      </c>
      <c r="G286" s="38">
        <f>BTCW!H285</f>
        <v>0</v>
      </c>
      <c r="H286" s="38">
        <f>EZBC!F285</f>
        <v>0</v>
      </c>
      <c r="J286" s="38">
        <f>GBTC!K285</f>
        <v>0</v>
      </c>
      <c r="K286" s="38">
        <f>HODL!H285</f>
        <v>0</v>
      </c>
      <c r="L286" s="38">
        <f>IBIT!G285</f>
        <v>0</v>
      </c>
      <c r="M286" s="98">
        <f>SUM(btc_ratios3[[#This Row],[ARKB]:[IBIT]])</f>
        <v>0</v>
      </c>
      <c r="N286" s="98"/>
      <c r="O286" s="132"/>
      <c r="P286" s="136">
        <f>ARKB!H285</f>
        <v>0</v>
      </c>
      <c r="Q286" s="136"/>
      <c r="R286" s="137"/>
    </row>
    <row r="287" spans="1:18" ht="15" customHeight="1">
      <c r="A287" s="13" t="str">
        <f>scalars[[#This Row],[DOW]]</f>
        <v>Sunday</v>
      </c>
      <c r="B287" s="28">
        <f t="shared" si="8"/>
        <v>46362</v>
      </c>
      <c r="C287" s="38">
        <f>ARKB!G286</f>
        <v>0</v>
      </c>
      <c r="D287" s="38">
        <f>BITB!H286</f>
        <v>0</v>
      </c>
      <c r="E287" s="98">
        <f>BRRR!G287</f>
        <v>0</v>
      </c>
      <c r="F287" s="38">
        <f>BTC!J286</f>
        <v>0</v>
      </c>
      <c r="G287" s="38">
        <f>BTCW!H286</f>
        <v>0</v>
      </c>
      <c r="H287" s="38">
        <f>EZBC!F286</f>
        <v>0</v>
      </c>
      <c r="J287" s="38">
        <f>GBTC!K286</f>
        <v>0</v>
      </c>
      <c r="K287" s="38">
        <f>HODL!H286</f>
        <v>0</v>
      </c>
      <c r="L287" s="38">
        <f>IBIT!G286</f>
        <v>0</v>
      </c>
      <c r="M287" s="98">
        <f>SUM(btc_ratios3[[#This Row],[ARKB]:[IBIT]])</f>
        <v>0</v>
      </c>
      <c r="N287" s="98"/>
      <c r="O287" s="132"/>
      <c r="P287" s="136">
        <f>ARKB!H286</f>
        <v>0</v>
      </c>
      <c r="Q287" s="136"/>
      <c r="R287" s="137"/>
    </row>
    <row r="288" spans="1:18" ht="15" customHeight="1">
      <c r="A288" s="13" t="str">
        <f>scalars[[#This Row],[DOW]]</f>
        <v>Monday</v>
      </c>
      <c r="B288" s="28">
        <f t="shared" si="8"/>
        <v>46363</v>
      </c>
      <c r="C288" s="38">
        <f>ARKB!G287</f>
        <v>0</v>
      </c>
      <c r="D288" s="38">
        <f>BITB!H287</f>
        <v>0</v>
      </c>
      <c r="E288" s="98">
        <f>BRRR!G288</f>
        <v>0</v>
      </c>
      <c r="F288" s="38">
        <f>BTC!J287</f>
        <v>0</v>
      </c>
      <c r="G288" s="38">
        <f>BTCW!H287</f>
        <v>0</v>
      </c>
      <c r="H288" s="38">
        <f>EZBC!F287</f>
        <v>0</v>
      </c>
      <c r="J288" s="38">
        <f>GBTC!K287</f>
        <v>0</v>
      </c>
      <c r="K288" s="38">
        <f>HODL!H287</f>
        <v>0</v>
      </c>
      <c r="L288" s="38">
        <f>IBIT!G287</f>
        <v>0</v>
      </c>
      <c r="M288" s="98">
        <f>SUM(btc_ratios3[[#This Row],[ARKB]:[IBIT]])</f>
        <v>0</v>
      </c>
      <c r="N288" s="98"/>
      <c r="O288" s="132"/>
      <c r="P288" s="136">
        <f>ARKB!H287</f>
        <v>0</v>
      </c>
      <c r="Q288" s="136"/>
      <c r="R288" s="137"/>
    </row>
    <row r="289" spans="1:18" ht="15" customHeight="1">
      <c r="A289" s="13" t="str">
        <f>scalars[[#This Row],[DOW]]</f>
        <v>Tuesday</v>
      </c>
      <c r="B289" s="28">
        <f t="shared" si="8"/>
        <v>46364</v>
      </c>
      <c r="C289" s="38">
        <f>ARKB!G288</f>
        <v>0</v>
      </c>
      <c r="D289" s="38">
        <f>BITB!H288</f>
        <v>0</v>
      </c>
      <c r="E289" s="98">
        <f>BRRR!G289</f>
        <v>0</v>
      </c>
      <c r="F289" s="38">
        <f>BTC!J288</f>
        <v>0</v>
      </c>
      <c r="G289" s="38">
        <f>BTCW!H288</f>
        <v>0</v>
      </c>
      <c r="H289" s="38">
        <f>EZBC!F288</f>
        <v>0</v>
      </c>
      <c r="J289" s="38">
        <f>GBTC!K288</f>
        <v>0</v>
      </c>
      <c r="K289" s="38">
        <f>HODL!H288</f>
        <v>0</v>
      </c>
      <c r="L289" s="38">
        <f>IBIT!G288</f>
        <v>0</v>
      </c>
      <c r="M289" s="98">
        <f>SUM(btc_ratios3[[#This Row],[ARKB]:[IBIT]])</f>
        <v>0</v>
      </c>
      <c r="N289" s="98"/>
      <c r="O289" s="132"/>
      <c r="P289" s="136">
        <f>ARKB!H288</f>
        <v>0</v>
      </c>
      <c r="Q289" s="136"/>
      <c r="R289" s="137"/>
    </row>
    <row r="290" spans="1:18" ht="15" customHeight="1">
      <c r="A290" s="13" t="str">
        <f>scalars[[#This Row],[DOW]]</f>
        <v>Wednesday</v>
      </c>
      <c r="B290" s="28">
        <f t="shared" si="8"/>
        <v>46365</v>
      </c>
      <c r="C290" s="38">
        <f>ARKB!G289</f>
        <v>0</v>
      </c>
      <c r="D290" s="38">
        <f>BITB!H289</f>
        <v>0</v>
      </c>
      <c r="E290" s="98">
        <f>BRRR!G290</f>
        <v>0</v>
      </c>
      <c r="F290" s="38">
        <f>BTC!J289</f>
        <v>0</v>
      </c>
      <c r="G290" s="38">
        <f>BTCW!H289</f>
        <v>0</v>
      </c>
      <c r="H290" s="38">
        <f>EZBC!F289</f>
        <v>0</v>
      </c>
      <c r="J290" s="38">
        <f>GBTC!K289</f>
        <v>0</v>
      </c>
      <c r="K290" s="38">
        <f>HODL!H289</f>
        <v>0</v>
      </c>
      <c r="L290" s="38">
        <f>IBIT!G289</f>
        <v>0</v>
      </c>
      <c r="M290" s="98">
        <f>SUM(btc_ratios3[[#This Row],[ARKB]:[IBIT]])</f>
        <v>0</v>
      </c>
      <c r="N290" s="98"/>
      <c r="O290" s="132"/>
      <c r="P290" s="136">
        <f>ARKB!H289</f>
        <v>0</v>
      </c>
      <c r="Q290" s="136"/>
      <c r="R290" s="137"/>
    </row>
    <row r="291" spans="1:18" ht="15" customHeight="1">
      <c r="A291" s="13" t="str">
        <f>scalars[[#This Row],[DOW]]</f>
        <v>Thursday</v>
      </c>
      <c r="B291" s="28">
        <f t="shared" si="8"/>
        <v>46366</v>
      </c>
      <c r="C291" s="38">
        <f>ARKB!G290</f>
        <v>0</v>
      </c>
      <c r="D291" s="38">
        <f>BITB!H290</f>
        <v>0</v>
      </c>
      <c r="E291" s="98">
        <f>BRRR!G291</f>
        <v>0</v>
      </c>
      <c r="F291" s="38">
        <f>BTC!J290</f>
        <v>0</v>
      </c>
      <c r="G291" s="38">
        <f>BTCW!H290</f>
        <v>0</v>
      </c>
      <c r="H291" s="38">
        <f>EZBC!F290</f>
        <v>0</v>
      </c>
      <c r="J291" s="38">
        <f>GBTC!K290</f>
        <v>0</v>
      </c>
      <c r="K291" s="38">
        <f>HODL!H290</f>
        <v>0</v>
      </c>
      <c r="L291" s="38">
        <f>IBIT!G290</f>
        <v>0</v>
      </c>
      <c r="M291" s="98">
        <f>SUM(btc_ratios3[[#This Row],[ARKB]:[IBIT]])</f>
        <v>0</v>
      </c>
      <c r="N291" s="98"/>
      <c r="O291" s="132"/>
      <c r="P291" s="136">
        <f>ARKB!H290</f>
        <v>0</v>
      </c>
      <c r="Q291" s="136"/>
      <c r="R291" s="137"/>
    </row>
    <row r="292" spans="1:18" ht="15" customHeight="1">
      <c r="A292" s="13" t="str">
        <f>scalars[[#This Row],[DOW]]</f>
        <v>Friday</v>
      </c>
      <c r="B292" s="28">
        <f t="shared" si="8"/>
        <v>46367</v>
      </c>
      <c r="C292" s="38">
        <f>ARKB!G291</f>
        <v>0</v>
      </c>
      <c r="D292" s="38">
        <f>BITB!H291</f>
        <v>0</v>
      </c>
      <c r="E292" s="98">
        <f>BRRR!G292</f>
        <v>0</v>
      </c>
      <c r="F292" s="38">
        <f>BTC!J291</f>
        <v>0</v>
      </c>
      <c r="G292" s="38">
        <f>BTCW!H291</f>
        <v>0</v>
      </c>
      <c r="H292" s="38">
        <f>EZBC!F291</f>
        <v>0</v>
      </c>
      <c r="J292" s="38">
        <f>GBTC!K291</f>
        <v>0</v>
      </c>
      <c r="K292" s="38">
        <f>HODL!H291</f>
        <v>0</v>
      </c>
      <c r="L292" s="38">
        <f>IBIT!G291</f>
        <v>0</v>
      </c>
      <c r="M292" s="98">
        <f>SUM(btc_ratios3[[#This Row],[ARKB]:[IBIT]])</f>
        <v>0</v>
      </c>
      <c r="N292" s="98"/>
      <c r="O292" s="132"/>
      <c r="P292" s="136">
        <f>ARKB!H291</f>
        <v>0</v>
      </c>
      <c r="Q292" s="136"/>
      <c r="R292" s="137"/>
    </row>
    <row r="293" spans="1:18" ht="15" customHeight="1">
      <c r="A293" s="13" t="str">
        <f>scalars[[#This Row],[DOW]]</f>
        <v>Saturday</v>
      </c>
      <c r="B293" s="28">
        <f t="shared" si="8"/>
        <v>46368</v>
      </c>
      <c r="C293" s="38">
        <f>ARKB!G292</f>
        <v>0</v>
      </c>
      <c r="D293" s="38">
        <f>BITB!H292</f>
        <v>0</v>
      </c>
      <c r="E293" s="98">
        <f>BRRR!G293</f>
        <v>0</v>
      </c>
      <c r="F293" s="38">
        <f>BTC!J292</f>
        <v>0</v>
      </c>
      <c r="G293" s="38">
        <f>BTCW!H292</f>
        <v>0</v>
      </c>
      <c r="H293" s="38">
        <f>EZBC!F292</f>
        <v>0</v>
      </c>
      <c r="J293" s="38">
        <f>GBTC!K292</f>
        <v>0</v>
      </c>
      <c r="K293" s="38">
        <f>HODL!H292</f>
        <v>0</v>
      </c>
      <c r="L293" s="38">
        <f>IBIT!G292</f>
        <v>0</v>
      </c>
      <c r="M293" s="98">
        <f>SUM(btc_ratios3[[#This Row],[ARKB]:[IBIT]])</f>
        <v>0</v>
      </c>
      <c r="N293" s="98"/>
      <c r="O293" s="132"/>
      <c r="P293" s="136">
        <f>ARKB!H292</f>
        <v>0</v>
      </c>
      <c r="Q293" s="136"/>
      <c r="R293" s="137"/>
    </row>
    <row r="294" spans="1:18" ht="15" customHeight="1">
      <c r="A294" s="13" t="str">
        <f>scalars[[#This Row],[DOW]]</f>
        <v>Sunday</v>
      </c>
      <c r="B294" s="28">
        <f t="shared" si="8"/>
        <v>46369</v>
      </c>
      <c r="C294" s="38">
        <f>ARKB!G293</f>
        <v>0</v>
      </c>
      <c r="D294" s="38">
        <f>BITB!H293</f>
        <v>0</v>
      </c>
      <c r="E294" s="98">
        <f>BRRR!G294</f>
        <v>0</v>
      </c>
      <c r="F294" s="38">
        <f>BTC!J293</f>
        <v>0</v>
      </c>
      <c r="G294" s="38">
        <f>BTCW!H293</f>
        <v>0</v>
      </c>
      <c r="H294" s="38">
        <f>EZBC!F293</f>
        <v>0</v>
      </c>
      <c r="J294" s="38">
        <f>GBTC!K293</f>
        <v>0</v>
      </c>
      <c r="K294" s="38">
        <f>HODL!H293</f>
        <v>0</v>
      </c>
      <c r="L294" s="38">
        <f>IBIT!G293</f>
        <v>0</v>
      </c>
      <c r="M294" s="98">
        <f>SUM(btc_ratios3[[#This Row],[ARKB]:[IBIT]])</f>
        <v>0</v>
      </c>
      <c r="N294" s="98"/>
      <c r="O294" s="132"/>
      <c r="P294" s="136">
        <f>ARKB!H293</f>
        <v>0</v>
      </c>
      <c r="Q294" s="136"/>
      <c r="R294" s="137"/>
    </row>
    <row r="295" spans="1:18" ht="15" customHeight="1">
      <c r="A295" s="13" t="str">
        <f>scalars[[#This Row],[DOW]]</f>
        <v>Monday</v>
      </c>
      <c r="B295" s="28">
        <f t="shared" si="8"/>
        <v>46370</v>
      </c>
      <c r="C295" s="38">
        <f>ARKB!G294</f>
        <v>0</v>
      </c>
      <c r="D295" s="38">
        <f>BITB!H294</f>
        <v>0</v>
      </c>
      <c r="E295" s="98">
        <f>BRRR!G295</f>
        <v>0</v>
      </c>
      <c r="F295" s="38">
        <f>BTC!J294</f>
        <v>0</v>
      </c>
      <c r="G295" s="38">
        <f>BTCW!H294</f>
        <v>0</v>
      </c>
      <c r="H295" s="38">
        <f>EZBC!F294</f>
        <v>0</v>
      </c>
      <c r="J295" s="38">
        <f>GBTC!K294</f>
        <v>0</v>
      </c>
      <c r="K295" s="38">
        <f>HODL!H294</f>
        <v>0</v>
      </c>
      <c r="L295" s="38">
        <f>IBIT!G294</f>
        <v>0</v>
      </c>
      <c r="M295" s="98">
        <f>SUM(btc_ratios3[[#This Row],[ARKB]:[IBIT]])</f>
        <v>0</v>
      </c>
      <c r="N295" s="98"/>
      <c r="O295" s="132"/>
      <c r="P295" s="136">
        <f>ARKB!H294</f>
        <v>0</v>
      </c>
      <c r="Q295" s="136"/>
      <c r="R295" s="137"/>
    </row>
    <row r="296" spans="1:18" ht="15" customHeight="1">
      <c r="A296" s="13" t="str">
        <f>scalars[[#This Row],[DOW]]</f>
        <v>Tuesday</v>
      </c>
      <c r="B296" s="28">
        <f t="shared" si="8"/>
        <v>46371</v>
      </c>
      <c r="C296" s="38">
        <f>ARKB!G295</f>
        <v>0</v>
      </c>
      <c r="D296" s="38">
        <f>BITB!H295</f>
        <v>0</v>
      </c>
      <c r="E296" s="98">
        <f>BRRR!G296</f>
        <v>0</v>
      </c>
      <c r="F296" s="38">
        <f>BTC!J295</f>
        <v>0</v>
      </c>
      <c r="G296" s="38">
        <f>BTCW!H295</f>
        <v>0</v>
      </c>
      <c r="H296" s="38">
        <f>EZBC!F295</f>
        <v>0</v>
      </c>
      <c r="J296" s="38">
        <f>GBTC!K295</f>
        <v>0</v>
      </c>
      <c r="K296" s="38">
        <f>HODL!H295</f>
        <v>0</v>
      </c>
      <c r="L296" s="38">
        <f>IBIT!G295</f>
        <v>0</v>
      </c>
      <c r="M296" s="98">
        <f>SUM(btc_ratios3[[#This Row],[ARKB]:[IBIT]])</f>
        <v>0</v>
      </c>
      <c r="N296" s="98"/>
      <c r="O296" s="132"/>
      <c r="P296" s="136">
        <f>ARKB!H295</f>
        <v>0</v>
      </c>
      <c r="Q296" s="136"/>
      <c r="R296" s="137"/>
    </row>
    <row r="297" spans="1:18" ht="15" customHeight="1">
      <c r="A297" s="13" t="str">
        <f>scalars[[#This Row],[DOW]]</f>
        <v>Wednesday</v>
      </c>
      <c r="B297" s="28">
        <f t="shared" si="8"/>
        <v>46372</v>
      </c>
      <c r="C297" s="38">
        <f>ARKB!G296</f>
        <v>0</v>
      </c>
      <c r="D297" s="38">
        <f>BITB!H296</f>
        <v>0</v>
      </c>
      <c r="E297" s="98">
        <f>BRRR!G297</f>
        <v>0</v>
      </c>
      <c r="F297" s="38">
        <f>BTC!J296</f>
        <v>0</v>
      </c>
      <c r="G297" s="38">
        <f>BTCW!H296</f>
        <v>0</v>
      </c>
      <c r="H297" s="38">
        <f>EZBC!F296</f>
        <v>0</v>
      </c>
      <c r="J297" s="38">
        <f>GBTC!K296</f>
        <v>0</v>
      </c>
      <c r="K297" s="38">
        <f>HODL!H296</f>
        <v>0</v>
      </c>
      <c r="L297" s="38">
        <f>IBIT!G296</f>
        <v>0</v>
      </c>
      <c r="M297" s="98">
        <f>SUM(btc_ratios3[[#This Row],[ARKB]:[IBIT]])</f>
        <v>0</v>
      </c>
      <c r="N297" s="98"/>
      <c r="O297" s="132"/>
      <c r="P297" s="136">
        <f>ARKB!H296</f>
        <v>0</v>
      </c>
      <c r="Q297" s="136"/>
      <c r="R297" s="137"/>
    </row>
    <row r="298" spans="1:18" ht="15" customHeight="1">
      <c r="A298" s="13" t="str">
        <f>scalars[[#This Row],[DOW]]</f>
        <v>Thursday</v>
      </c>
      <c r="B298" s="28">
        <f t="shared" si="8"/>
        <v>46373</v>
      </c>
      <c r="C298" s="38">
        <f>ARKB!G297</f>
        <v>0</v>
      </c>
      <c r="D298" s="38">
        <f>BITB!H297</f>
        <v>0</v>
      </c>
      <c r="E298" s="98">
        <f>BRRR!G298</f>
        <v>0</v>
      </c>
      <c r="F298" s="38">
        <f>BTC!J297</f>
        <v>0</v>
      </c>
      <c r="G298" s="38">
        <f>BTCW!H297</f>
        <v>0</v>
      </c>
      <c r="H298" s="38">
        <f>EZBC!F297</f>
        <v>0</v>
      </c>
      <c r="J298" s="38">
        <f>GBTC!K297</f>
        <v>0</v>
      </c>
      <c r="K298" s="38">
        <f>HODL!H297</f>
        <v>0</v>
      </c>
      <c r="L298" s="38">
        <f>IBIT!G297</f>
        <v>0</v>
      </c>
      <c r="M298" s="98">
        <f>SUM(btc_ratios3[[#This Row],[ARKB]:[IBIT]])</f>
        <v>0</v>
      </c>
      <c r="N298" s="98"/>
      <c r="O298" s="132"/>
      <c r="P298" s="136">
        <f>ARKB!H297</f>
        <v>0</v>
      </c>
      <c r="Q298" s="136"/>
      <c r="R298" s="137"/>
    </row>
    <row r="299" spans="1:18" ht="15" customHeight="1">
      <c r="A299" s="13" t="str">
        <f>scalars[[#This Row],[DOW]]</f>
        <v>Friday</v>
      </c>
      <c r="B299" s="28">
        <f t="shared" si="8"/>
        <v>46374</v>
      </c>
      <c r="C299" s="38">
        <f>ARKB!G298</f>
        <v>0</v>
      </c>
      <c r="D299" s="38">
        <f>BITB!H298</f>
        <v>0</v>
      </c>
      <c r="E299" s="98">
        <f>BRRR!G299</f>
        <v>0</v>
      </c>
      <c r="F299" s="38">
        <f>BTC!J298</f>
        <v>0</v>
      </c>
      <c r="G299" s="38">
        <f>BTCW!H298</f>
        <v>0</v>
      </c>
      <c r="H299" s="38">
        <f>EZBC!F298</f>
        <v>0</v>
      </c>
      <c r="J299" s="38">
        <f>GBTC!K298</f>
        <v>0</v>
      </c>
      <c r="K299" s="38">
        <f>HODL!H298</f>
        <v>0</v>
      </c>
      <c r="L299" s="38">
        <f>IBIT!G298</f>
        <v>0</v>
      </c>
      <c r="M299" s="98">
        <f>SUM(btc_ratios3[[#This Row],[ARKB]:[IBIT]])</f>
        <v>0</v>
      </c>
      <c r="N299" s="98"/>
      <c r="O299" s="132"/>
      <c r="P299" s="136">
        <f>ARKB!H298</f>
        <v>0</v>
      </c>
      <c r="Q299" s="136"/>
      <c r="R299" s="137"/>
    </row>
    <row r="300" spans="1:18" ht="15" customHeight="1">
      <c r="A300" s="13" t="str">
        <f>scalars[[#This Row],[DOW]]</f>
        <v>Saturday</v>
      </c>
      <c r="B300" s="28">
        <f t="shared" si="8"/>
        <v>46375</v>
      </c>
      <c r="C300" s="38">
        <f>ARKB!G299</f>
        <v>0</v>
      </c>
      <c r="D300" s="38">
        <f>BITB!H299</f>
        <v>0</v>
      </c>
      <c r="E300" s="98">
        <f>BRRR!G300</f>
        <v>0</v>
      </c>
      <c r="F300" s="38">
        <f>BTC!J299</f>
        <v>0</v>
      </c>
      <c r="G300" s="38">
        <f>BTCW!H299</f>
        <v>0</v>
      </c>
      <c r="H300" s="38">
        <f>EZBC!F299</f>
        <v>0</v>
      </c>
      <c r="J300" s="38">
        <f>GBTC!K299</f>
        <v>0</v>
      </c>
      <c r="K300" s="38">
        <f>HODL!H299</f>
        <v>0</v>
      </c>
      <c r="L300" s="38">
        <f>IBIT!G299</f>
        <v>0</v>
      </c>
      <c r="M300" s="98">
        <f>SUM(btc_ratios3[[#This Row],[ARKB]:[IBIT]])</f>
        <v>0</v>
      </c>
      <c r="N300" s="98"/>
      <c r="O300" s="132"/>
      <c r="P300" s="136">
        <f>ARKB!H299</f>
        <v>0</v>
      </c>
      <c r="Q300" s="136"/>
      <c r="R300" s="137"/>
    </row>
    <row r="301" spans="1:18" ht="15" customHeight="1">
      <c r="A301" s="13" t="str">
        <f>scalars[[#This Row],[DOW]]</f>
        <v>Sunday</v>
      </c>
      <c r="B301" s="28">
        <f t="shared" si="8"/>
        <v>46376</v>
      </c>
      <c r="C301" s="38">
        <f>ARKB!G300</f>
        <v>0</v>
      </c>
      <c r="D301" s="38">
        <f>BITB!H300</f>
        <v>0</v>
      </c>
      <c r="E301" s="98">
        <f>BRRR!G301</f>
        <v>0</v>
      </c>
      <c r="F301" s="38">
        <f>BTC!J300</f>
        <v>0</v>
      </c>
      <c r="G301" s="38">
        <f>BTCW!H300</f>
        <v>0</v>
      </c>
      <c r="H301" s="38">
        <f>EZBC!F300</f>
        <v>0</v>
      </c>
      <c r="J301" s="38">
        <f>GBTC!K300</f>
        <v>0</v>
      </c>
      <c r="K301" s="38">
        <f>HODL!H300</f>
        <v>0</v>
      </c>
      <c r="L301" s="38">
        <f>IBIT!G300</f>
        <v>0</v>
      </c>
      <c r="M301" s="98">
        <f>SUM(btc_ratios3[[#This Row],[ARKB]:[IBIT]])</f>
        <v>0</v>
      </c>
      <c r="N301" s="98"/>
      <c r="O301" s="132"/>
      <c r="P301" s="136">
        <f>ARKB!H300</f>
        <v>0</v>
      </c>
      <c r="Q301" s="136"/>
      <c r="R301" s="137"/>
    </row>
    <row r="302" spans="1:18" ht="15" customHeight="1">
      <c r="A302" s="13" t="str">
        <f>scalars[[#This Row],[DOW]]</f>
        <v>Monday</v>
      </c>
      <c r="B302" s="28">
        <f t="shared" si="8"/>
        <v>46377</v>
      </c>
      <c r="C302" s="38">
        <f>ARKB!G301</f>
        <v>0</v>
      </c>
      <c r="D302" s="38">
        <f>BITB!H301</f>
        <v>0</v>
      </c>
      <c r="E302" s="98">
        <f>BRRR!G302</f>
        <v>0</v>
      </c>
      <c r="F302" s="38">
        <f>BTC!J301</f>
        <v>0</v>
      </c>
      <c r="G302" s="38">
        <f>BTCW!H301</f>
        <v>0</v>
      </c>
      <c r="H302" s="38">
        <f>EZBC!F301</f>
        <v>0</v>
      </c>
      <c r="J302" s="38">
        <f>GBTC!K301</f>
        <v>0</v>
      </c>
      <c r="K302" s="38">
        <f>HODL!H301</f>
        <v>0</v>
      </c>
      <c r="L302" s="38">
        <f>IBIT!G301</f>
        <v>0</v>
      </c>
      <c r="M302" s="98">
        <f>SUM(btc_ratios3[[#This Row],[ARKB]:[IBIT]])</f>
        <v>0</v>
      </c>
      <c r="N302" s="98"/>
      <c r="O302" s="132"/>
      <c r="P302" s="136">
        <f>ARKB!H301</f>
        <v>0</v>
      </c>
      <c r="Q302" s="136"/>
      <c r="R302" s="137"/>
    </row>
    <row r="303" spans="1:18" ht="15" customHeight="1">
      <c r="A303" s="13" t="str">
        <f>scalars[[#This Row],[DOW]]</f>
        <v>Tuesday</v>
      </c>
      <c r="B303" s="28">
        <f t="shared" si="8"/>
        <v>46378</v>
      </c>
      <c r="C303" s="38">
        <f>ARKB!G302</f>
        <v>0</v>
      </c>
      <c r="D303" s="38">
        <f>BITB!H302</f>
        <v>0</v>
      </c>
      <c r="E303" s="98">
        <f>BRRR!G303</f>
        <v>0</v>
      </c>
      <c r="F303" s="38">
        <f>BTC!J302</f>
        <v>0</v>
      </c>
      <c r="G303" s="38">
        <f>BTCW!H302</f>
        <v>0</v>
      </c>
      <c r="H303" s="38">
        <f>EZBC!F302</f>
        <v>0</v>
      </c>
      <c r="J303" s="38">
        <f>GBTC!K302</f>
        <v>0</v>
      </c>
      <c r="K303" s="38">
        <f>HODL!H302</f>
        <v>0</v>
      </c>
      <c r="L303" s="38">
        <f>IBIT!G302</f>
        <v>0</v>
      </c>
      <c r="M303" s="98">
        <f>SUM(btc_ratios3[[#This Row],[ARKB]:[IBIT]])</f>
        <v>0</v>
      </c>
      <c r="N303" s="98"/>
      <c r="O303" s="132"/>
      <c r="P303" s="136">
        <f>ARKB!H302</f>
        <v>0</v>
      </c>
      <c r="Q303" s="136"/>
      <c r="R303" s="137"/>
    </row>
    <row r="304" spans="1:18" ht="15" customHeight="1">
      <c r="A304" s="13" t="str">
        <f>scalars[[#This Row],[DOW]]</f>
        <v>Wednesday</v>
      </c>
      <c r="B304" s="28">
        <f t="shared" si="8"/>
        <v>46379</v>
      </c>
      <c r="C304" s="38">
        <f>ARKB!G303</f>
        <v>0</v>
      </c>
      <c r="D304" s="38">
        <f>BITB!H303</f>
        <v>0</v>
      </c>
      <c r="E304" s="98">
        <f>BRRR!G304</f>
        <v>0</v>
      </c>
      <c r="F304" s="38">
        <f>BTC!J303</f>
        <v>0</v>
      </c>
      <c r="G304" s="38">
        <f>BTCW!H303</f>
        <v>0</v>
      </c>
      <c r="H304" s="38">
        <f>EZBC!F303</f>
        <v>0</v>
      </c>
      <c r="J304" s="38">
        <f>GBTC!K303</f>
        <v>0</v>
      </c>
      <c r="K304" s="38">
        <f>HODL!H303</f>
        <v>0</v>
      </c>
      <c r="L304" s="38">
        <f>IBIT!G303</f>
        <v>0</v>
      </c>
      <c r="M304" s="98">
        <f>SUM(btc_ratios3[[#This Row],[ARKB]:[IBIT]])</f>
        <v>0</v>
      </c>
      <c r="N304" s="98"/>
      <c r="O304" s="132"/>
      <c r="P304" s="136">
        <f>ARKB!H303</f>
        <v>0</v>
      </c>
      <c r="Q304" s="136"/>
      <c r="R304" s="137"/>
    </row>
    <row r="305" spans="1:18" ht="15" customHeight="1">
      <c r="A305" s="13" t="str">
        <f>scalars[[#This Row],[DOW]]</f>
        <v>Thursday</v>
      </c>
      <c r="B305" s="28">
        <f t="shared" si="8"/>
        <v>46380</v>
      </c>
      <c r="C305" s="38">
        <f>ARKB!G304</f>
        <v>0</v>
      </c>
      <c r="D305" s="38">
        <f>BITB!H304</f>
        <v>0</v>
      </c>
      <c r="E305" s="98">
        <f>BRRR!G305</f>
        <v>0</v>
      </c>
      <c r="F305" s="38">
        <f>BTC!J304</f>
        <v>0</v>
      </c>
      <c r="G305" s="38">
        <f>BTCW!H304</f>
        <v>0</v>
      </c>
      <c r="H305" s="38">
        <f>EZBC!F304</f>
        <v>0</v>
      </c>
      <c r="J305" s="38">
        <f>GBTC!K304</f>
        <v>0</v>
      </c>
      <c r="K305" s="38">
        <f>HODL!H304</f>
        <v>0</v>
      </c>
      <c r="L305" s="38">
        <f>IBIT!G304</f>
        <v>0</v>
      </c>
      <c r="M305" s="98">
        <f>SUM(btc_ratios3[[#This Row],[ARKB]:[IBIT]])</f>
        <v>0</v>
      </c>
      <c r="N305" s="98"/>
      <c r="O305" s="132"/>
      <c r="P305" s="136">
        <f>ARKB!H304</f>
        <v>0</v>
      </c>
      <c r="Q305" s="136"/>
      <c r="R305" s="137"/>
    </row>
    <row r="306" spans="1:18" ht="15" customHeight="1">
      <c r="A306" s="13" t="str">
        <f>scalars[[#This Row],[DOW]]</f>
        <v>Friday</v>
      </c>
      <c r="B306" s="28">
        <f t="shared" si="8"/>
        <v>46381</v>
      </c>
      <c r="C306" s="38">
        <f>ARKB!G305</f>
        <v>0</v>
      </c>
      <c r="D306" s="38">
        <f>BITB!H305</f>
        <v>0</v>
      </c>
      <c r="E306" s="98">
        <f>BRRR!G306</f>
        <v>0</v>
      </c>
      <c r="F306" s="38">
        <f>BTC!J305</f>
        <v>0</v>
      </c>
      <c r="G306" s="38">
        <f>BTCW!H305</f>
        <v>0</v>
      </c>
      <c r="H306" s="38">
        <f>EZBC!F305</f>
        <v>0</v>
      </c>
      <c r="J306" s="38">
        <f>GBTC!K305</f>
        <v>0</v>
      </c>
      <c r="K306" s="38">
        <f>HODL!H305</f>
        <v>0</v>
      </c>
      <c r="L306" s="38">
        <f>IBIT!G305</f>
        <v>0</v>
      </c>
      <c r="M306" s="98">
        <f>SUM(btc_ratios3[[#This Row],[ARKB]:[IBIT]])</f>
        <v>0</v>
      </c>
      <c r="N306" s="98"/>
      <c r="O306" s="132"/>
      <c r="P306" s="136">
        <f>ARKB!H305</f>
        <v>0</v>
      </c>
      <c r="Q306" s="136"/>
      <c r="R306" s="137"/>
    </row>
    <row r="307" spans="1:18" ht="15" customHeight="1">
      <c r="A307" s="13" t="str">
        <f>scalars[[#This Row],[DOW]]</f>
        <v>Saturday</v>
      </c>
      <c r="B307" s="28">
        <f t="shared" si="8"/>
        <v>46382</v>
      </c>
      <c r="C307" s="38">
        <f>ARKB!G306</f>
        <v>0</v>
      </c>
      <c r="D307" s="38">
        <f>BITB!H306</f>
        <v>0</v>
      </c>
      <c r="E307" s="98">
        <f>BRRR!G307</f>
        <v>0</v>
      </c>
      <c r="F307" s="38">
        <f>BTC!J306</f>
        <v>0</v>
      </c>
      <c r="G307" s="38">
        <f>BTCW!H306</f>
        <v>0</v>
      </c>
      <c r="H307" s="38">
        <f>EZBC!F306</f>
        <v>0</v>
      </c>
      <c r="J307" s="38">
        <f>GBTC!K306</f>
        <v>0</v>
      </c>
      <c r="K307" s="38">
        <f>HODL!H306</f>
        <v>0</v>
      </c>
      <c r="L307" s="38">
        <f>IBIT!G306</f>
        <v>0</v>
      </c>
      <c r="M307" s="98">
        <f>SUM(btc_ratios3[[#This Row],[ARKB]:[IBIT]])</f>
        <v>0</v>
      </c>
      <c r="N307" s="98"/>
      <c r="O307" s="132"/>
      <c r="P307" s="136">
        <f>ARKB!H306</f>
        <v>0</v>
      </c>
      <c r="Q307" s="136"/>
      <c r="R307" s="137"/>
    </row>
    <row r="308" spans="1:18" ht="15" customHeight="1">
      <c r="A308" s="13" t="str">
        <f>scalars[[#This Row],[DOW]]</f>
        <v>Sunday</v>
      </c>
      <c r="B308" s="28">
        <f t="shared" si="8"/>
        <v>46383</v>
      </c>
      <c r="C308" s="38">
        <f>ARKB!G307</f>
        <v>0</v>
      </c>
      <c r="D308" s="38">
        <f>BITB!H307</f>
        <v>0</v>
      </c>
      <c r="E308" s="98">
        <f>BRRR!G308</f>
        <v>0</v>
      </c>
      <c r="F308" s="38">
        <f>BTC!J307</f>
        <v>0</v>
      </c>
      <c r="G308" s="38">
        <f>BTCW!H307</f>
        <v>0</v>
      </c>
      <c r="H308" s="38">
        <f>EZBC!F307</f>
        <v>0</v>
      </c>
      <c r="J308" s="38">
        <f>GBTC!K307</f>
        <v>0</v>
      </c>
      <c r="K308" s="38">
        <f>HODL!H307</f>
        <v>0</v>
      </c>
      <c r="L308" s="38">
        <f>IBIT!G307</f>
        <v>0</v>
      </c>
      <c r="M308" s="98">
        <f>SUM(btc_ratios3[[#This Row],[ARKB]:[IBIT]])</f>
        <v>0</v>
      </c>
      <c r="N308" s="98"/>
      <c r="O308" s="132"/>
      <c r="P308" s="136">
        <f>ARKB!H307</f>
        <v>0</v>
      </c>
      <c r="Q308" s="136"/>
      <c r="R308" s="137"/>
    </row>
    <row r="309" spans="1:18" ht="15" customHeight="1">
      <c r="A309" s="13" t="str">
        <f>scalars[[#This Row],[DOW]]</f>
        <v>Monday</v>
      </c>
      <c r="B309" s="28">
        <f t="shared" si="8"/>
        <v>46384</v>
      </c>
      <c r="C309" s="38">
        <f>ARKB!G308</f>
        <v>0</v>
      </c>
      <c r="D309" s="38">
        <f>BITB!H308</f>
        <v>0</v>
      </c>
      <c r="E309" s="98">
        <f>BRRR!G309</f>
        <v>0</v>
      </c>
      <c r="F309" s="38">
        <f>BTC!J308</f>
        <v>0</v>
      </c>
      <c r="G309" s="38">
        <f>BTCW!H308</f>
        <v>0</v>
      </c>
      <c r="H309" s="38">
        <f>EZBC!F308</f>
        <v>0</v>
      </c>
      <c r="J309" s="38">
        <f>GBTC!K308</f>
        <v>0</v>
      </c>
      <c r="K309" s="38">
        <f>HODL!H308</f>
        <v>0</v>
      </c>
      <c r="L309" s="38">
        <f>IBIT!G308</f>
        <v>0</v>
      </c>
      <c r="M309" s="98">
        <f>SUM(btc_ratios3[[#This Row],[ARKB]:[IBIT]])</f>
        <v>0</v>
      </c>
      <c r="N309" s="98"/>
      <c r="O309" s="132"/>
      <c r="P309" s="136">
        <f>ARKB!H308</f>
        <v>0</v>
      </c>
      <c r="Q309" s="136"/>
      <c r="R309" s="137"/>
    </row>
    <row r="310" spans="1:18" ht="15" customHeight="1">
      <c r="A310" s="13" t="str">
        <f>scalars[[#This Row],[DOW]]</f>
        <v>Tuesday</v>
      </c>
      <c r="B310" s="28">
        <f t="shared" si="8"/>
        <v>46385</v>
      </c>
      <c r="C310" s="38">
        <f>ARKB!G309</f>
        <v>0</v>
      </c>
      <c r="D310" s="38">
        <f>BITB!H309</f>
        <v>0</v>
      </c>
      <c r="E310" s="98">
        <f>BRRR!G310</f>
        <v>0</v>
      </c>
      <c r="F310" s="38">
        <f>BTC!J309</f>
        <v>0</v>
      </c>
      <c r="G310" s="38">
        <f>BTCW!H309</f>
        <v>0</v>
      </c>
      <c r="H310" s="38">
        <f>EZBC!F309</f>
        <v>0</v>
      </c>
      <c r="J310" s="38">
        <f>GBTC!K309</f>
        <v>0</v>
      </c>
      <c r="K310" s="38">
        <f>HODL!H309</f>
        <v>0</v>
      </c>
      <c r="L310" s="38">
        <f>IBIT!G309</f>
        <v>0</v>
      </c>
      <c r="M310" s="98">
        <f>SUM(btc_ratios3[[#This Row],[ARKB]:[IBIT]])</f>
        <v>0</v>
      </c>
      <c r="N310" s="98"/>
      <c r="O310" s="132"/>
      <c r="P310" s="136">
        <f>ARKB!H309</f>
        <v>0</v>
      </c>
      <c r="Q310" s="136"/>
      <c r="R310" s="137"/>
    </row>
    <row r="311" spans="1:18" ht="15" customHeight="1">
      <c r="A311" s="13" t="str">
        <f>scalars[[#This Row],[DOW]]</f>
        <v>Wednesday</v>
      </c>
      <c r="B311" s="28">
        <f t="shared" si="8"/>
        <v>46386</v>
      </c>
      <c r="C311" s="38">
        <f>ARKB!G310</f>
        <v>0</v>
      </c>
      <c r="D311" s="38">
        <f>BITB!H310</f>
        <v>0</v>
      </c>
      <c r="E311" s="98">
        <f>BRRR!G311</f>
        <v>0</v>
      </c>
      <c r="F311" s="38">
        <f>BTC!J310</f>
        <v>0</v>
      </c>
      <c r="G311" s="38">
        <f>BTCW!H310</f>
        <v>0</v>
      </c>
      <c r="H311" s="38">
        <f>EZBC!F310</f>
        <v>0</v>
      </c>
      <c r="J311" s="38">
        <f>GBTC!K310</f>
        <v>0</v>
      </c>
      <c r="K311" s="38">
        <f>HODL!H310</f>
        <v>0</v>
      </c>
      <c r="L311" s="38">
        <f>IBIT!G310</f>
        <v>0</v>
      </c>
      <c r="M311" s="98">
        <f>SUM(btc_ratios3[[#This Row],[ARKB]:[IBIT]])</f>
        <v>0</v>
      </c>
      <c r="N311" s="98"/>
      <c r="O311" s="132"/>
      <c r="P311" s="136">
        <f>ARKB!H310</f>
        <v>0</v>
      </c>
      <c r="Q311" s="136"/>
      <c r="R311" s="137"/>
    </row>
    <row r="312" spans="1:18" ht="15" customHeight="1">
      <c r="A312" s="13" t="str">
        <f>scalars[[#This Row],[DOW]]</f>
        <v>Thursday</v>
      </c>
      <c r="B312" s="28">
        <f t="shared" si="8"/>
        <v>46387</v>
      </c>
      <c r="C312" s="38">
        <f>ARKB!G311</f>
        <v>0</v>
      </c>
      <c r="D312" s="38">
        <f>BITB!H311</f>
        <v>0</v>
      </c>
      <c r="E312" s="98">
        <f>BRRR!G312</f>
        <v>0</v>
      </c>
      <c r="F312" s="38">
        <f>BTC!J311</f>
        <v>0</v>
      </c>
      <c r="G312" s="38">
        <f>BTCW!H311</f>
        <v>0</v>
      </c>
      <c r="H312" s="38">
        <f>EZBC!F311</f>
        <v>0</v>
      </c>
      <c r="J312" s="38">
        <f>GBTC!K311</f>
        <v>0</v>
      </c>
      <c r="K312" s="38">
        <f>HODL!H311</f>
        <v>0</v>
      </c>
      <c r="L312" s="38">
        <f>IBIT!G311</f>
        <v>0</v>
      </c>
      <c r="M312" s="98">
        <f>SUM(btc_ratios3[[#This Row],[ARKB]:[IBIT]])</f>
        <v>0</v>
      </c>
      <c r="N312" s="98"/>
      <c r="O312" s="132"/>
      <c r="P312" s="136">
        <f>ARKB!H311</f>
        <v>0</v>
      </c>
      <c r="Q312" s="136"/>
      <c r="R312" s="137"/>
    </row>
    <row r="313" spans="1:18" ht="15" customHeight="1">
      <c r="A313" s="13" t="str">
        <f>scalars[[#This Row],[DOW]]</f>
        <v>Friday</v>
      </c>
      <c r="B313" s="28">
        <f t="shared" si="8"/>
        <v>46388</v>
      </c>
      <c r="C313" s="38">
        <f>ARKB!G312</f>
        <v>0</v>
      </c>
      <c r="D313" s="38">
        <f>BITB!H312</f>
        <v>0</v>
      </c>
      <c r="E313" s="98">
        <f>BRRR!G313</f>
        <v>0</v>
      </c>
      <c r="F313" s="38">
        <f>BTC!J312</f>
        <v>0</v>
      </c>
      <c r="G313" s="38">
        <f>BTCW!H312</f>
        <v>0</v>
      </c>
      <c r="H313" s="38">
        <f>EZBC!F312</f>
        <v>0</v>
      </c>
      <c r="J313" s="38">
        <f>GBTC!K312</f>
        <v>0</v>
      </c>
      <c r="K313" s="38">
        <f>HODL!H312</f>
        <v>0</v>
      </c>
      <c r="L313" s="38">
        <f>IBIT!G312</f>
        <v>0</v>
      </c>
      <c r="M313" s="98">
        <f>SUM(btc_ratios3[[#This Row],[ARKB]:[IBIT]])</f>
        <v>0</v>
      </c>
      <c r="N313" s="98"/>
      <c r="O313" s="132"/>
      <c r="P313" s="136">
        <f>ARKB!H312</f>
        <v>0</v>
      </c>
      <c r="Q313" s="136"/>
      <c r="R313" s="137"/>
    </row>
    <row r="314" spans="1:18" ht="15" customHeight="1">
      <c r="A314" s="13" t="str">
        <f>scalars[[#This Row],[DOW]]</f>
        <v>Saturday</v>
      </c>
      <c r="B314" s="28">
        <f t="shared" si="8"/>
        <v>46389</v>
      </c>
      <c r="C314" s="38">
        <f>ARKB!G313</f>
        <v>0</v>
      </c>
      <c r="D314" s="38">
        <f>BITB!H313</f>
        <v>0</v>
      </c>
      <c r="E314" s="98">
        <f>BRRR!G314</f>
        <v>0</v>
      </c>
      <c r="F314" s="38">
        <f>BTC!J313</f>
        <v>0</v>
      </c>
      <c r="G314" s="38">
        <f>BTCW!H313</f>
        <v>0</v>
      </c>
      <c r="H314" s="38">
        <f>EZBC!F313</f>
        <v>0</v>
      </c>
      <c r="J314" s="38">
        <f>GBTC!K313</f>
        <v>0</v>
      </c>
      <c r="K314" s="38">
        <f>HODL!H313</f>
        <v>0</v>
      </c>
      <c r="L314" s="38">
        <f>IBIT!G313</f>
        <v>0</v>
      </c>
      <c r="M314" s="98">
        <f>SUM(btc_ratios3[[#This Row],[ARKB]:[IBIT]])</f>
        <v>0</v>
      </c>
      <c r="N314" s="98"/>
      <c r="O314" s="132"/>
      <c r="P314" s="136">
        <f>ARKB!H313</f>
        <v>0</v>
      </c>
      <c r="Q314" s="136"/>
      <c r="R314" s="137"/>
    </row>
    <row r="315" spans="1:18" ht="15" customHeight="1">
      <c r="A315" s="13" t="str">
        <f>scalars[[#This Row],[DOW]]</f>
        <v>Sunday</v>
      </c>
      <c r="B315" s="28">
        <f t="shared" si="8"/>
        <v>46390</v>
      </c>
      <c r="C315" s="38">
        <f>ARKB!G314</f>
        <v>0</v>
      </c>
      <c r="D315" s="38">
        <f>BITB!H314</f>
        <v>0</v>
      </c>
      <c r="E315" s="98">
        <f>BRRR!G315</f>
        <v>0</v>
      </c>
      <c r="F315" s="38">
        <f>BTC!J314</f>
        <v>0</v>
      </c>
      <c r="G315" s="38">
        <f>BTCW!H314</f>
        <v>0</v>
      </c>
      <c r="H315" s="38">
        <f>EZBC!F314</f>
        <v>0</v>
      </c>
      <c r="J315" s="38">
        <f>GBTC!K314</f>
        <v>0</v>
      </c>
      <c r="K315" s="38">
        <f>HODL!H314</f>
        <v>0</v>
      </c>
      <c r="L315" s="38">
        <f>IBIT!G314</f>
        <v>0</v>
      </c>
      <c r="M315" s="98">
        <f>SUM(btc_ratios3[[#This Row],[ARKB]:[IBIT]])</f>
        <v>0</v>
      </c>
      <c r="N315" s="98"/>
      <c r="O315" s="132"/>
      <c r="P315" s="136">
        <f>ARKB!H314</f>
        <v>0</v>
      </c>
      <c r="Q315" s="136"/>
      <c r="R315" s="137"/>
    </row>
    <row r="316" spans="1:18" ht="15" customHeight="1">
      <c r="A316" s="13" t="str">
        <f>scalars[[#This Row],[DOW]]</f>
        <v>Monday</v>
      </c>
      <c r="B316" s="28">
        <f t="shared" si="8"/>
        <v>46391</v>
      </c>
      <c r="C316" s="38">
        <f>ARKB!G315</f>
        <v>0</v>
      </c>
      <c r="D316" s="38">
        <f>BITB!H315</f>
        <v>0</v>
      </c>
      <c r="E316" s="98">
        <f>BRRR!G316</f>
        <v>0</v>
      </c>
      <c r="F316" s="38">
        <f>BTC!J315</f>
        <v>0</v>
      </c>
      <c r="G316" s="38">
        <f>BTCW!H315</f>
        <v>0</v>
      </c>
      <c r="H316" s="38">
        <f>EZBC!F315</f>
        <v>0</v>
      </c>
      <c r="J316" s="38">
        <f>GBTC!K315</f>
        <v>0</v>
      </c>
      <c r="K316" s="38">
        <f>HODL!H315</f>
        <v>0</v>
      </c>
      <c r="L316" s="38">
        <f>IBIT!G315</f>
        <v>0</v>
      </c>
      <c r="M316" s="98">
        <f>SUM(btc_ratios3[[#This Row],[ARKB]:[IBIT]])</f>
        <v>0</v>
      </c>
      <c r="N316" s="98"/>
      <c r="O316" s="132"/>
      <c r="P316" s="136">
        <f>ARKB!H315</f>
        <v>0</v>
      </c>
      <c r="Q316" s="136"/>
      <c r="R316" s="137"/>
    </row>
    <row r="317" spans="1:18" ht="15" customHeight="1">
      <c r="A317" s="13" t="str">
        <f>scalars[[#This Row],[DOW]]</f>
        <v>Tuesday</v>
      </c>
      <c r="B317" s="28">
        <f t="shared" si="8"/>
        <v>46392</v>
      </c>
      <c r="C317" s="38">
        <f>ARKB!G316</f>
        <v>0</v>
      </c>
      <c r="D317" s="38">
        <f>BITB!H316</f>
        <v>0</v>
      </c>
      <c r="E317" s="98">
        <f>BRRR!G317</f>
        <v>0</v>
      </c>
      <c r="F317" s="38">
        <f>BTC!J316</f>
        <v>0</v>
      </c>
      <c r="G317" s="38">
        <f>BTCW!H316</f>
        <v>0</v>
      </c>
      <c r="H317" s="38">
        <f>EZBC!F316</f>
        <v>0</v>
      </c>
      <c r="J317" s="38">
        <f>GBTC!K316</f>
        <v>0</v>
      </c>
      <c r="K317" s="38">
        <f>HODL!H316</f>
        <v>0</v>
      </c>
      <c r="L317" s="38">
        <f>IBIT!G316</f>
        <v>0</v>
      </c>
      <c r="M317" s="98">
        <f>SUM(btc_ratios3[[#This Row],[ARKB]:[IBIT]])</f>
        <v>0</v>
      </c>
      <c r="N317" s="98"/>
      <c r="O317" s="132"/>
      <c r="P317" s="136">
        <f>ARKB!H316</f>
        <v>0</v>
      </c>
      <c r="Q317" s="136"/>
      <c r="R317" s="137"/>
    </row>
    <row r="318" spans="1:18" ht="15" customHeight="1">
      <c r="A318" s="13" t="str">
        <f>scalars[[#This Row],[DOW]]</f>
        <v>Wednesday</v>
      </c>
      <c r="B318" s="28">
        <f t="shared" si="8"/>
        <v>46393</v>
      </c>
      <c r="C318" s="38">
        <f>ARKB!G317</f>
        <v>0</v>
      </c>
      <c r="D318" s="38">
        <f>BITB!H317</f>
        <v>0</v>
      </c>
      <c r="E318" s="98">
        <f>BRRR!G318</f>
        <v>0</v>
      </c>
      <c r="F318" s="38">
        <f>BTC!J317</f>
        <v>0</v>
      </c>
      <c r="G318" s="38">
        <f>BTCW!H317</f>
        <v>0</v>
      </c>
      <c r="H318" s="38">
        <f>EZBC!F317</f>
        <v>0</v>
      </c>
      <c r="J318" s="38">
        <f>GBTC!K317</f>
        <v>0</v>
      </c>
      <c r="K318" s="38">
        <f>HODL!H317</f>
        <v>0</v>
      </c>
      <c r="L318" s="38">
        <f>IBIT!G317</f>
        <v>0</v>
      </c>
      <c r="M318" s="98">
        <f>SUM(btc_ratios3[[#This Row],[ARKB]:[IBIT]])</f>
        <v>0</v>
      </c>
      <c r="N318" s="98"/>
      <c r="O318" s="132"/>
      <c r="P318" s="136">
        <f>ARKB!H317</f>
        <v>0</v>
      </c>
      <c r="Q318" s="136"/>
      <c r="R318" s="137"/>
    </row>
    <row r="319" spans="1:18" ht="15" customHeight="1">
      <c r="A319" s="13" t="str">
        <f>scalars[[#This Row],[DOW]]</f>
        <v>Thursday</v>
      </c>
      <c r="B319" s="28">
        <f t="shared" si="8"/>
        <v>46394</v>
      </c>
      <c r="C319" s="38">
        <f>ARKB!G318</f>
        <v>0</v>
      </c>
      <c r="D319" s="38">
        <f>BITB!H318</f>
        <v>0</v>
      </c>
      <c r="E319" s="98">
        <f>BRRR!G319</f>
        <v>0</v>
      </c>
      <c r="F319" s="38">
        <f>BTC!J318</f>
        <v>0</v>
      </c>
      <c r="G319" s="38">
        <f>BTCW!H318</f>
        <v>0</v>
      </c>
      <c r="H319" s="38">
        <f>EZBC!F318</f>
        <v>0</v>
      </c>
      <c r="J319" s="38">
        <f>GBTC!K318</f>
        <v>0</v>
      </c>
      <c r="K319" s="38">
        <f>HODL!H318</f>
        <v>0</v>
      </c>
      <c r="L319" s="38">
        <f>IBIT!G318</f>
        <v>0</v>
      </c>
      <c r="M319" s="98">
        <f>SUM(btc_ratios3[[#This Row],[ARKB]:[IBIT]])</f>
        <v>0</v>
      </c>
      <c r="N319" s="98"/>
      <c r="O319" s="132"/>
      <c r="P319" s="136">
        <f>ARKB!H318</f>
        <v>0</v>
      </c>
      <c r="Q319" s="136"/>
      <c r="R319" s="137"/>
    </row>
    <row r="320" spans="1:18" ht="15" customHeight="1">
      <c r="A320" s="13" t="str">
        <f>scalars[[#This Row],[DOW]]</f>
        <v>Friday</v>
      </c>
      <c r="B320" s="28">
        <f t="shared" si="8"/>
        <v>46395</v>
      </c>
      <c r="C320" s="38">
        <f>ARKB!G319</f>
        <v>0</v>
      </c>
      <c r="D320" s="38">
        <f>BITB!H319</f>
        <v>0</v>
      </c>
      <c r="E320" s="98">
        <f>BRRR!G320</f>
        <v>0</v>
      </c>
      <c r="F320" s="38">
        <f>BTC!J319</f>
        <v>0</v>
      </c>
      <c r="G320" s="38">
        <f>BTCW!H319</f>
        <v>0</v>
      </c>
      <c r="H320" s="38">
        <f>EZBC!F319</f>
        <v>0</v>
      </c>
      <c r="J320" s="38">
        <f>GBTC!K319</f>
        <v>0</v>
      </c>
      <c r="K320" s="38">
        <f>HODL!H319</f>
        <v>0</v>
      </c>
      <c r="L320" s="38">
        <f>IBIT!G319</f>
        <v>0</v>
      </c>
      <c r="M320" s="98">
        <f>SUM(btc_ratios3[[#This Row],[ARKB]:[IBIT]])</f>
        <v>0</v>
      </c>
      <c r="N320" s="98"/>
      <c r="O320" s="132"/>
      <c r="P320" s="136">
        <f>ARKB!H319</f>
        <v>0</v>
      </c>
      <c r="Q320" s="136"/>
      <c r="R320" s="137"/>
    </row>
    <row r="321" spans="1:18" ht="15" customHeight="1">
      <c r="A321" s="13" t="str">
        <f>scalars[[#This Row],[DOW]]</f>
        <v>Saturday</v>
      </c>
      <c r="B321" s="28">
        <f t="shared" si="8"/>
        <v>46396</v>
      </c>
      <c r="C321" s="38">
        <f>ARKB!G320</f>
        <v>0</v>
      </c>
      <c r="D321" s="38">
        <f>BITB!H320</f>
        <v>0</v>
      </c>
      <c r="E321" s="98">
        <f>BRRR!G321</f>
        <v>0</v>
      </c>
      <c r="F321" s="38">
        <f>BTC!J320</f>
        <v>0</v>
      </c>
      <c r="G321" s="38">
        <f>BTCW!H320</f>
        <v>0</v>
      </c>
      <c r="H321" s="38">
        <f>EZBC!F320</f>
        <v>0</v>
      </c>
      <c r="J321" s="38">
        <f>GBTC!K320</f>
        <v>0</v>
      </c>
      <c r="K321" s="38">
        <f>HODL!H320</f>
        <v>0</v>
      </c>
      <c r="L321" s="38">
        <f>IBIT!G320</f>
        <v>0</v>
      </c>
      <c r="M321" s="98">
        <f>SUM(btc_ratios3[[#This Row],[ARKB]:[IBIT]])</f>
        <v>0</v>
      </c>
      <c r="N321" s="98"/>
      <c r="O321" s="132"/>
      <c r="P321" s="136">
        <f>ARKB!H320</f>
        <v>0</v>
      </c>
      <c r="Q321" s="136"/>
      <c r="R321" s="137"/>
    </row>
    <row r="322" spans="1:18" ht="15" customHeight="1">
      <c r="A322" s="13" t="str">
        <f>scalars[[#This Row],[DOW]]</f>
        <v>Sunday</v>
      </c>
      <c r="B322" s="28">
        <f t="shared" si="8"/>
        <v>46397</v>
      </c>
      <c r="C322" s="38">
        <f>ARKB!G321</f>
        <v>0</v>
      </c>
      <c r="D322" s="38">
        <f>BITB!H321</f>
        <v>0</v>
      </c>
      <c r="E322" s="98">
        <f>BRRR!G322</f>
        <v>0</v>
      </c>
      <c r="F322" s="38">
        <f>BTC!J321</f>
        <v>0</v>
      </c>
      <c r="G322" s="38">
        <f>BTCW!H321</f>
        <v>0</v>
      </c>
      <c r="H322" s="38">
        <f>EZBC!F321</f>
        <v>0</v>
      </c>
      <c r="J322" s="38">
        <f>GBTC!K321</f>
        <v>0</v>
      </c>
      <c r="K322" s="38">
        <f>HODL!H321</f>
        <v>0</v>
      </c>
      <c r="L322" s="38">
        <f>IBIT!G321</f>
        <v>0</v>
      </c>
      <c r="M322" s="98">
        <f>SUM(btc_ratios3[[#This Row],[ARKB]:[IBIT]])</f>
        <v>0</v>
      </c>
      <c r="N322" s="98"/>
      <c r="O322" s="132"/>
      <c r="P322" s="136">
        <f>ARKB!H321</f>
        <v>0</v>
      </c>
      <c r="Q322" s="136"/>
      <c r="R322" s="137"/>
    </row>
    <row r="323" spans="1:18" ht="15" customHeight="1">
      <c r="A323" s="13" t="str">
        <f>scalars[[#This Row],[DOW]]</f>
        <v>Monday</v>
      </c>
      <c r="B323" s="28">
        <f t="shared" si="8"/>
        <v>46398</v>
      </c>
      <c r="C323" s="38">
        <f>ARKB!G322</f>
        <v>0</v>
      </c>
      <c r="D323" s="38">
        <f>BITB!H322</f>
        <v>0</v>
      </c>
      <c r="E323" s="98">
        <f>BRRR!G323</f>
        <v>0</v>
      </c>
      <c r="F323" s="38">
        <f>BTC!J322</f>
        <v>0</v>
      </c>
      <c r="G323" s="38">
        <f>BTCW!H322</f>
        <v>0</v>
      </c>
      <c r="H323" s="38">
        <f>EZBC!F322</f>
        <v>0</v>
      </c>
      <c r="J323" s="38">
        <f>GBTC!K322</f>
        <v>0</v>
      </c>
      <c r="K323" s="38">
        <f>HODL!H322</f>
        <v>0</v>
      </c>
      <c r="L323" s="38">
        <f>IBIT!G322</f>
        <v>0</v>
      </c>
      <c r="M323" s="98">
        <f>SUM(btc_ratios3[[#This Row],[ARKB]:[IBIT]])</f>
        <v>0</v>
      </c>
      <c r="N323" s="98"/>
      <c r="O323" s="132"/>
      <c r="P323" s="136">
        <f>ARKB!H322</f>
        <v>0</v>
      </c>
      <c r="Q323" s="136"/>
      <c r="R323" s="137"/>
    </row>
    <row r="324" spans="1:18" ht="15" customHeight="1">
      <c r="A324" s="13" t="str">
        <f>scalars[[#This Row],[DOW]]</f>
        <v>Tuesday</v>
      </c>
      <c r="B324" s="28">
        <f t="shared" si="8"/>
        <v>46399</v>
      </c>
      <c r="C324" s="38">
        <f>ARKB!G323</f>
        <v>0</v>
      </c>
      <c r="D324" s="38">
        <f>BITB!H323</f>
        <v>0</v>
      </c>
      <c r="E324" s="98">
        <f>BRRR!G324</f>
        <v>0</v>
      </c>
      <c r="F324" s="38">
        <f>BTC!J323</f>
        <v>0</v>
      </c>
      <c r="G324" s="38">
        <f>BTCW!H323</f>
        <v>0</v>
      </c>
      <c r="H324" s="38">
        <f>EZBC!F323</f>
        <v>0</v>
      </c>
      <c r="J324" s="38">
        <f>GBTC!K323</f>
        <v>0</v>
      </c>
      <c r="K324" s="38">
        <f>HODL!H323</f>
        <v>0</v>
      </c>
      <c r="L324" s="38">
        <f>IBIT!G323</f>
        <v>0</v>
      </c>
      <c r="M324" s="98">
        <f>SUM(btc_ratios3[[#This Row],[ARKB]:[IBIT]])</f>
        <v>0</v>
      </c>
      <c r="N324" s="98"/>
      <c r="O324" s="132"/>
      <c r="P324" s="136">
        <f>ARKB!H323</f>
        <v>0</v>
      </c>
      <c r="Q324" s="136"/>
      <c r="R324" s="137"/>
    </row>
    <row r="325" spans="1:18" ht="15" customHeight="1">
      <c r="A325" s="13" t="str">
        <f>scalars[[#This Row],[DOW]]</f>
        <v>Wednesday</v>
      </c>
      <c r="B325" s="28">
        <f t="shared" si="8"/>
        <v>46400</v>
      </c>
      <c r="C325" s="38">
        <f>ARKB!G324</f>
        <v>0</v>
      </c>
      <c r="D325" s="38">
        <f>BITB!H324</f>
        <v>0</v>
      </c>
      <c r="E325" s="98">
        <f>BRRR!G325</f>
        <v>0</v>
      </c>
      <c r="F325" s="38">
        <f>BTC!J324</f>
        <v>0</v>
      </c>
      <c r="G325" s="38">
        <f>BTCW!H324</f>
        <v>0</v>
      </c>
      <c r="H325" s="38">
        <f>EZBC!F324</f>
        <v>0</v>
      </c>
      <c r="J325" s="38">
        <f>GBTC!K324</f>
        <v>0</v>
      </c>
      <c r="K325" s="38">
        <f>HODL!H324</f>
        <v>0</v>
      </c>
      <c r="L325" s="38">
        <f>IBIT!G324</f>
        <v>0</v>
      </c>
      <c r="M325" s="98">
        <f>SUM(btc_ratios3[[#This Row],[ARKB]:[IBIT]])</f>
        <v>0</v>
      </c>
      <c r="N325" s="98"/>
      <c r="O325" s="132"/>
      <c r="P325" s="136">
        <f>ARKB!H324</f>
        <v>0</v>
      </c>
      <c r="Q325" s="136"/>
      <c r="R325" s="137"/>
    </row>
    <row r="326" spans="1:18" ht="15" customHeight="1">
      <c r="A326" s="13" t="str">
        <f>scalars[[#This Row],[DOW]]</f>
        <v>Thursday</v>
      </c>
      <c r="B326" s="28">
        <f t="shared" si="8"/>
        <v>46401</v>
      </c>
      <c r="C326" s="38">
        <f>ARKB!G325</f>
        <v>0</v>
      </c>
      <c r="D326" s="38">
        <f>BITB!H325</f>
        <v>0</v>
      </c>
      <c r="E326" s="98">
        <f>BRRR!G326</f>
        <v>0</v>
      </c>
      <c r="F326" s="38">
        <f>BTC!J325</f>
        <v>0</v>
      </c>
      <c r="G326" s="38">
        <f>BTCW!H325</f>
        <v>0</v>
      </c>
      <c r="H326" s="38">
        <f>EZBC!F325</f>
        <v>0</v>
      </c>
      <c r="J326" s="38">
        <f>GBTC!K325</f>
        <v>0</v>
      </c>
      <c r="K326" s="38">
        <f>HODL!H325</f>
        <v>0</v>
      </c>
      <c r="L326" s="38">
        <f>IBIT!G325</f>
        <v>0</v>
      </c>
      <c r="M326" s="98">
        <f>SUM(btc_ratios3[[#This Row],[ARKB]:[IBIT]])</f>
        <v>0</v>
      </c>
      <c r="N326" s="98"/>
      <c r="O326" s="132"/>
      <c r="P326" s="136">
        <f>ARKB!H325</f>
        <v>0</v>
      </c>
      <c r="Q326" s="136"/>
      <c r="R326" s="137"/>
    </row>
    <row r="327" spans="1:18" ht="15" customHeight="1">
      <c r="A327" s="13" t="str">
        <f>scalars[[#This Row],[DOW]]</f>
        <v>Friday</v>
      </c>
      <c r="B327" s="28">
        <f t="shared" si="8"/>
        <v>46402</v>
      </c>
      <c r="C327" s="38">
        <f>ARKB!G326</f>
        <v>0</v>
      </c>
      <c r="D327" s="38">
        <f>BITB!H326</f>
        <v>0</v>
      </c>
      <c r="E327" s="98">
        <f>BRRR!G327</f>
        <v>0</v>
      </c>
      <c r="F327" s="38">
        <f>BTC!J326</f>
        <v>0</v>
      </c>
      <c r="G327" s="38">
        <f>BTCW!H326</f>
        <v>0</v>
      </c>
      <c r="H327" s="38">
        <f>EZBC!F326</f>
        <v>0</v>
      </c>
      <c r="J327" s="38">
        <f>GBTC!K326</f>
        <v>0</v>
      </c>
      <c r="K327" s="38">
        <f>HODL!H326</f>
        <v>0</v>
      </c>
      <c r="L327" s="38">
        <f>IBIT!G326</f>
        <v>0</v>
      </c>
      <c r="M327" s="98">
        <f>SUM(btc_ratios3[[#This Row],[ARKB]:[IBIT]])</f>
        <v>0</v>
      </c>
      <c r="N327" s="98"/>
      <c r="O327" s="132"/>
      <c r="P327" s="136">
        <f>ARKB!H326</f>
        <v>0</v>
      </c>
      <c r="Q327" s="136"/>
      <c r="R327" s="137"/>
    </row>
    <row r="328" spans="1:18" ht="15" customHeight="1">
      <c r="A328" s="13" t="str">
        <f>scalars[[#This Row],[DOW]]</f>
        <v>Saturday</v>
      </c>
      <c r="B328" s="28">
        <f t="shared" si="8"/>
        <v>46403</v>
      </c>
      <c r="C328" s="38">
        <f>ARKB!G327</f>
        <v>0</v>
      </c>
      <c r="D328" s="38">
        <f>BITB!H327</f>
        <v>0</v>
      </c>
      <c r="E328" s="98">
        <f>BRRR!G328</f>
        <v>0</v>
      </c>
      <c r="F328" s="38">
        <f>BTC!J327</f>
        <v>0</v>
      </c>
      <c r="G328" s="38">
        <f>BTCW!H327</f>
        <v>0</v>
      </c>
      <c r="H328" s="38">
        <f>EZBC!F327</f>
        <v>0</v>
      </c>
      <c r="J328" s="38">
        <f>GBTC!K327</f>
        <v>0</v>
      </c>
      <c r="K328" s="38">
        <f>HODL!H327</f>
        <v>0</v>
      </c>
      <c r="L328" s="38">
        <f>IBIT!G327</f>
        <v>0</v>
      </c>
      <c r="M328" s="98">
        <f>SUM(btc_ratios3[[#This Row],[ARKB]:[IBIT]])</f>
        <v>0</v>
      </c>
      <c r="N328" s="98"/>
      <c r="O328" s="132"/>
      <c r="P328" s="136">
        <f>ARKB!H327</f>
        <v>0</v>
      </c>
      <c r="Q328" s="136"/>
      <c r="R328" s="137"/>
    </row>
    <row r="329" spans="1:18" ht="15" customHeight="1">
      <c r="A329" s="13" t="str">
        <f>scalars[[#This Row],[DOW]]</f>
        <v>Sunday</v>
      </c>
      <c r="B329" s="28">
        <f t="shared" ref="B329:B371" si="9">B328+1</f>
        <v>46404</v>
      </c>
      <c r="C329" s="38">
        <f>ARKB!G328</f>
        <v>0</v>
      </c>
      <c r="D329" s="38">
        <f>BITB!H328</f>
        <v>0</v>
      </c>
      <c r="E329" s="98">
        <f>BRRR!G329</f>
        <v>0</v>
      </c>
      <c r="F329" s="38">
        <f>BTC!J328</f>
        <v>0</v>
      </c>
      <c r="G329" s="38">
        <f>BTCW!H328</f>
        <v>0</v>
      </c>
      <c r="H329" s="38">
        <f>EZBC!F328</f>
        <v>0</v>
      </c>
      <c r="J329" s="38">
        <f>GBTC!K328</f>
        <v>0</v>
      </c>
      <c r="K329" s="38">
        <f>HODL!H328</f>
        <v>0</v>
      </c>
      <c r="L329" s="38">
        <f>IBIT!G328</f>
        <v>0</v>
      </c>
      <c r="M329" s="98">
        <f>SUM(btc_ratios3[[#This Row],[ARKB]:[IBIT]])</f>
        <v>0</v>
      </c>
      <c r="N329" s="98"/>
      <c r="O329" s="132"/>
      <c r="P329" s="136">
        <f>ARKB!H328</f>
        <v>0</v>
      </c>
      <c r="Q329" s="136"/>
      <c r="R329" s="137"/>
    </row>
    <row r="330" spans="1:18" ht="15" customHeight="1">
      <c r="A330" s="13" t="str">
        <f>scalars[[#This Row],[DOW]]</f>
        <v>Monday</v>
      </c>
      <c r="B330" s="28">
        <f t="shared" si="9"/>
        <v>46405</v>
      </c>
      <c r="C330" s="38">
        <f>ARKB!G329</f>
        <v>0</v>
      </c>
      <c r="D330" s="38">
        <f>BITB!H329</f>
        <v>0</v>
      </c>
      <c r="E330" s="98">
        <f>BRRR!G330</f>
        <v>0</v>
      </c>
      <c r="F330" s="38">
        <f>BTC!J329</f>
        <v>0</v>
      </c>
      <c r="G330" s="38">
        <f>BTCW!H329</f>
        <v>0</v>
      </c>
      <c r="H330" s="38">
        <f>EZBC!F329</f>
        <v>0</v>
      </c>
      <c r="J330" s="38">
        <f>GBTC!K329</f>
        <v>0</v>
      </c>
      <c r="K330" s="38">
        <f>HODL!H329</f>
        <v>0</v>
      </c>
      <c r="L330" s="38">
        <f>IBIT!G329</f>
        <v>0</v>
      </c>
      <c r="M330" s="98">
        <f>SUM(btc_ratios3[[#This Row],[ARKB]:[IBIT]])</f>
        <v>0</v>
      </c>
      <c r="N330" s="98"/>
      <c r="O330" s="132"/>
      <c r="P330" s="136">
        <f>ARKB!H329</f>
        <v>0</v>
      </c>
      <c r="Q330" s="136"/>
      <c r="R330" s="137"/>
    </row>
    <row r="331" spans="1:18" ht="15" customHeight="1">
      <c r="A331" s="13" t="str">
        <f>scalars[[#This Row],[DOW]]</f>
        <v>Tuesday</v>
      </c>
      <c r="B331" s="28">
        <f t="shared" si="9"/>
        <v>46406</v>
      </c>
      <c r="C331" s="38">
        <f>ARKB!G330</f>
        <v>0</v>
      </c>
      <c r="D331" s="38">
        <f>BITB!H330</f>
        <v>0</v>
      </c>
      <c r="E331" s="98">
        <f>BRRR!G331</f>
        <v>0</v>
      </c>
      <c r="F331" s="38">
        <f>BTC!J330</f>
        <v>0</v>
      </c>
      <c r="G331" s="38">
        <f>BTCW!H330</f>
        <v>0</v>
      </c>
      <c r="H331" s="38">
        <f>EZBC!F330</f>
        <v>0</v>
      </c>
      <c r="J331" s="38">
        <f>GBTC!K330</f>
        <v>0</v>
      </c>
      <c r="K331" s="38">
        <f>HODL!H330</f>
        <v>0</v>
      </c>
      <c r="L331" s="38">
        <f>IBIT!G330</f>
        <v>0</v>
      </c>
      <c r="M331" s="98">
        <f>SUM(btc_ratios3[[#This Row],[ARKB]:[IBIT]])</f>
        <v>0</v>
      </c>
      <c r="N331" s="98"/>
      <c r="O331" s="132"/>
      <c r="P331" s="136">
        <f>ARKB!H330</f>
        <v>0</v>
      </c>
      <c r="Q331" s="136"/>
      <c r="R331" s="137"/>
    </row>
    <row r="332" spans="1:18" ht="15" customHeight="1">
      <c r="A332" s="13" t="str">
        <f>scalars[[#This Row],[DOW]]</f>
        <v>Wednesday</v>
      </c>
      <c r="B332" s="28">
        <f t="shared" si="9"/>
        <v>46407</v>
      </c>
      <c r="C332" s="38">
        <f>ARKB!G331</f>
        <v>0</v>
      </c>
      <c r="D332" s="38">
        <f>BITB!H331</f>
        <v>0</v>
      </c>
      <c r="E332" s="98">
        <f>BRRR!G332</f>
        <v>0</v>
      </c>
      <c r="F332" s="38">
        <f>BTC!J331</f>
        <v>0</v>
      </c>
      <c r="G332" s="38">
        <f>BTCW!H331</f>
        <v>0</v>
      </c>
      <c r="H332" s="38">
        <f>EZBC!F331</f>
        <v>0</v>
      </c>
      <c r="J332" s="38">
        <f>GBTC!K331</f>
        <v>0</v>
      </c>
      <c r="K332" s="38">
        <f>HODL!H331</f>
        <v>0</v>
      </c>
      <c r="L332" s="38">
        <f>IBIT!G331</f>
        <v>0</v>
      </c>
      <c r="M332" s="98">
        <f>SUM(btc_ratios3[[#This Row],[ARKB]:[IBIT]])</f>
        <v>0</v>
      </c>
      <c r="N332" s="98"/>
      <c r="O332" s="132"/>
      <c r="P332" s="136">
        <f>ARKB!H331</f>
        <v>0</v>
      </c>
      <c r="Q332" s="136"/>
      <c r="R332" s="137"/>
    </row>
    <row r="333" spans="1:18" ht="15" customHeight="1">
      <c r="A333" s="13" t="str">
        <f>scalars[[#This Row],[DOW]]</f>
        <v>Thursday</v>
      </c>
      <c r="B333" s="28">
        <f t="shared" si="9"/>
        <v>46408</v>
      </c>
      <c r="C333" s="38">
        <f>ARKB!G332</f>
        <v>0</v>
      </c>
      <c r="D333" s="38">
        <f>BITB!H332</f>
        <v>0</v>
      </c>
      <c r="E333" s="98">
        <f>BRRR!G333</f>
        <v>0</v>
      </c>
      <c r="F333" s="38">
        <f>BTC!J332</f>
        <v>0</v>
      </c>
      <c r="G333" s="38">
        <f>BTCW!H332</f>
        <v>0</v>
      </c>
      <c r="H333" s="38">
        <f>EZBC!F332</f>
        <v>0</v>
      </c>
      <c r="J333" s="38">
        <f>GBTC!K332</f>
        <v>0</v>
      </c>
      <c r="K333" s="38">
        <f>HODL!H332</f>
        <v>0</v>
      </c>
      <c r="L333" s="38">
        <f>IBIT!G332</f>
        <v>0</v>
      </c>
      <c r="M333" s="98">
        <f>SUM(btc_ratios3[[#This Row],[ARKB]:[IBIT]])</f>
        <v>0</v>
      </c>
      <c r="N333" s="98"/>
      <c r="O333" s="132"/>
      <c r="P333" s="136">
        <f>ARKB!H332</f>
        <v>0</v>
      </c>
      <c r="Q333" s="136"/>
      <c r="R333" s="137"/>
    </row>
    <row r="334" spans="1:18" ht="15" customHeight="1">
      <c r="A334" s="13" t="str">
        <f>scalars[[#This Row],[DOW]]</f>
        <v>Friday</v>
      </c>
      <c r="B334" s="28">
        <f t="shared" si="9"/>
        <v>46409</v>
      </c>
      <c r="C334" s="38">
        <f>ARKB!G333</f>
        <v>0</v>
      </c>
      <c r="D334" s="38">
        <f>BITB!H333</f>
        <v>0</v>
      </c>
      <c r="E334" s="98">
        <f>BRRR!G334</f>
        <v>0</v>
      </c>
      <c r="F334" s="38">
        <f>BTC!J333</f>
        <v>0</v>
      </c>
      <c r="G334" s="38">
        <f>BTCW!H333</f>
        <v>0</v>
      </c>
      <c r="H334" s="38">
        <f>EZBC!F333</f>
        <v>0</v>
      </c>
      <c r="J334" s="38">
        <f>GBTC!K333</f>
        <v>0</v>
      </c>
      <c r="K334" s="38">
        <f>HODL!H333</f>
        <v>0</v>
      </c>
      <c r="L334" s="38">
        <f>IBIT!G333</f>
        <v>0</v>
      </c>
      <c r="M334" s="98">
        <f>SUM(btc_ratios3[[#This Row],[ARKB]:[IBIT]])</f>
        <v>0</v>
      </c>
      <c r="N334" s="98"/>
      <c r="O334" s="132"/>
      <c r="P334" s="136">
        <f>ARKB!H333</f>
        <v>0</v>
      </c>
      <c r="Q334" s="136"/>
      <c r="R334" s="137"/>
    </row>
    <row r="335" spans="1:18" ht="15" customHeight="1">
      <c r="A335" s="13" t="str">
        <f>scalars[[#This Row],[DOW]]</f>
        <v>Saturday</v>
      </c>
      <c r="B335" s="28">
        <f t="shared" si="9"/>
        <v>46410</v>
      </c>
      <c r="C335" s="38">
        <f>ARKB!G334</f>
        <v>0</v>
      </c>
      <c r="D335" s="38">
        <f>BITB!H334</f>
        <v>0</v>
      </c>
      <c r="E335" s="98">
        <f>BRRR!G335</f>
        <v>0</v>
      </c>
      <c r="F335" s="38">
        <f>BTC!J334</f>
        <v>0</v>
      </c>
      <c r="G335" s="38">
        <f>BTCW!H334</f>
        <v>0</v>
      </c>
      <c r="H335" s="38">
        <f>EZBC!F334</f>
        <v>0</v>
      </c>
      <c r="J335" s="38">
        <f>GBTC!K334</f>
        <v>0</v>
      </c>
      <c r="K335" s="38">
        <f>HODL!H334</f>
        <v>0</v>
      </c>
      <c r="L335" s="38">
        <f>IBIT!G334</f>
        <v>0</v>
      </c>
      <c r="M335" s="98">
        <f>SUM(btc_ratios3[[#This Row],[ARKB]:[IBIT]])</f>
        <v>0</v>
      </c>
      <c r="N335" s="98"/>
      <c r="O335" s="132"/>
      <c r="P335" s="136">
        <f>ARKB!H334</f>
        <v>0</v>
      </c>
      <c r="Q335" s="136"/>
      <c r="R335" s="137"/>
    </row>
    <row r="336" spans="1:18" ht="15" customHeight="1">
      <c r="A336" s="13" t="str">
        <f>scalars[[#This Row],[DOW]]</f>
        <v>Sunday</v>
      </c>
      <c r="B336" s="28">
        <f t="shared" si="9"/>
        <v>46411</v>
      </c>
      <c r="C336" s="38">
        <f>ARKB!G335</f>
        <v>0</v>
      </c>
      <c r="D336" s="38">
        <f>BITB!H335</f>
        <v>0</v>
      </c>
      <c r="E336" s="98">
        <f>BRRR!G336</f>
        <v>0</v>
      </c>
      <c r="F336" s="38">
        <f>BTC!J335</f>
        <v>0</v>
      </c>
      <c r="G336" s="38">
        <f>BTCW!H335</f>
        <v>0</v>
      </c>
      <c r="H336" s="38">
        <f>EZBC!F335</f>
        <v>0</v>
      </c>
      <c r="J336" s="38">
        <f>GBTC!K335</f>
        <v>0</v>
      </c>
      <c r="K336" s="38">
        <f>HODL!H335</f>
        <v>0</v>
      </c>
      <c r="L336" s="38">
        <f>IBIT!G335</f>
        <v>0</v>
      </c>
      <c r="M336" s="98">
        <f>SUM(btc_ratios3[[#This Row],[ARKB]:[IBIT]])</f>
        <v>0</v>
      </c>
      <c r="N336" s="98"/>
      <c r="O336" s="132"/>
      <c r="P336" s="136">
        <f>ARKB!H335</f>
        <v>0</v>
      </c>
      <c r="Q336" s="136"/>
      <c r="R336" s="137"/>
    </row>
    <row r="337" spans="1:18" ht="15" customHeight="1">
      <c r="A337" s="13" t="str">
        <f>scalars[[#This Row],[DOW]]</f>
        <v>Monday</v>
      </c>
      <c r="B337" s="28">
        <f t="shared" si="9"/>
        <v>46412</v>
      </c>
      <c r="C337" s="38">
        <f>ARKB!G336</f>
        <v>0</v>
      </c>
      <c r="D337" s="38">
        <f>BITB!H336</f>
        <v>0</v>
      </c>
      <c r="E337" s="98">
        <f>BRRR!G337</f>
        <v>0</v>
      </c>
      <c r="F337" s="38">
        <f>BTC!J336</f>
        <v>0</v>
      </c>
      <c r="G337" s="38">
        <f>BTCW!H336</f>
        <v>0</v>
      </c>
      <c r="H337" s="38">
        <f>EZBC!F336</f>
        <v>0</v>
      </c>
      <c r="J337" s="38">
        <f>GBTC!K336</f>
        <v>0</v>
      </c>
      <c r="K337" s="38">
        <f>HODL!H336</f>
        <v>0</v>
      </c>
      <c r="L337" s="38">
        <f>IBIT!G336</f>
        <v>0</v>
      </c>
      <c r="M337" s="98">
        <f>SUM(btc_ratios3[[#This Row],[ARKB]:[IBIT]])</f>
        <v>0</v>
      </c>
      <c r="N337" s="98"/>
      <c r="O337" s="132"/>
      <c r="P337" s="136">
        <f>ARKB!H336</f>
        <v>0</v>
      </c>
      <c r="Q337" s="136"/>
      <c r="R337" s="137"/>
    </row>
    <row r="338" spans="1:18" ht="15" customHeight="1">
      <c r="A338" s="13" t="str">
        <f>scalars[[#This Row],[DOW]]</f>
        <v>Tuesday</v>
      </c>
      <c r="B338" s="28">
        <f t="shared" si="9"/>
        <v>46413</v>
      </c>
      <c r="C338" s="38">
        <f>ARKB!G337</f>
        <v>0</v>
      </c>
      <c r="D338" s="38">
        <f>BITB!H337</f>
        <v>0</v>
      </c>
      <c r="E338" s="98">
        <f>BRRR!G338</f>
        <v>0</v>
      </c>
      <c r="F338" s="38">
        <f>BTC!J337</f>
        <v>0</v>
      </c>
      <c r="G338" s="38">
        <f>BTCW!H337</f>
        <v>0</v>
      </c>
      <c r="H338" s="38">
        <f>EZBC!F337</f>
        <v>0</v>
      </c>
      <c r="J338" s="38">
        <f>GBTC!K337</f>
        <v>0</v>
      </c>
      <c r="K338" s="38">
        <f>HODL!H337</f>
        <v>0</v>
      </c>
      <c r="L338" s="38">
        <f>IBIT!G337</f>
        <v>0</v>
      </c>
      <c r="M338" s="98">
        <f>SUM(btc_ratios3[[#This Row],[ARKB]:[IBIT]])</f>
        <v>0</v>
      </c>
      <c r="N338" s="98"/>
      <c r="O338" s="132"/>
      <c r="P338" s="136">
        <f>ARKB!H337</f>
        <v>0</v>
      </c>
      <c r="Q338" s="136"/>
      <c r="R338" s="137"/>
    </row>
    <row r="339" spans="1:18" ht="15" customHeight="1">
      <c r="A339" s="13" t="str">
        <f>scalars[[#This Row],[DOW]]</f>
        <v>Wednesday</v>
      </c>
      <c r="B339" s="28">
        <f t="shared" si="9"/>
        <v>46414</v>
      </c>
      <c r="C339" s="38">
        <f>ARKB!G338</f>
        <v>0</v>
      </c>
      <c r="D339" s="38">
        <f>BITB!H338</f>
        <v>0</v>
      </c>
      <c r="E339" s="98">
        <f>BRRR!G339</f>
        <v>0</v>
      </c>
      <c r="F339" s="38">
        <f>BTC!J338</f>
        <v>0</v>
      </c>
      <c r="G339" s="38">
        <f>BTCW!H338</f>
        <v>0</v>
      </c>
      <c r="H339" s="38">
        <f>EZBC!F338</f>
        <v>0</v>
      </c>
      <c r="J339" s="38">
        <f>GBTC!K338</f>
        <v>0</v>
      </c>
      <c r="K339" s="38">
        <f>HODL!H338</f>
        <v>0</v>
      </c>
      <c r="L339" s="38">
        <f>IBIT!G338</f>
        <v>0</v>
      </c>
      <c r="M339" s="98">
        <f>SUM(btc_ratios3[[#This Row],[ARKB]:[IBIT]])</f>
        <v>0</v>
      </c>
      <c r="N339" s="98"/>
      <c r="O339" s="132"/>
      <c r="P339" s="136">
        <f>ARKB!H338</f>
        <v>0</v>
      </c>
      <c r="Q339" s="136"/>
      <c r="R339" s="137"/>
    </row>
    <row r="340" spans="1:18" ht="15" customHeight="1">
      <c r="A340" s="13" t="str">
        <f>scalars[[#This Row],[DOW]]</f>
        <v>Thursday</v>
      </c>
      <c r="B340" s="28">
        <f t="shared" si="9"/>
        <v>46415</v>
      </c>
      <c r="C340" s="38">
        <f>ARKB!G339</f>
        <v>0</v>
      </c>
      <c r="D340" s="38">
        <f>BITB!H339</f>
        <v>0</v>
      </c>
      <c r="E340" s="98">
        <f>BRRR!G340</f>
        <v>0</v>
      </c>
      <c r="F340" s="38">
        <f>BTC!J339</f>
        <v>0</v>
      </c>
      <c r="G340" s="38">
        <f>BTCW!H339</f>
        <v>0</v>
      </c>
      <c r="H340" s="38">
        <f>EZBC!F339</f>
        <v>0</v>
      </c>
      <c r="J340" s="38">
        <f>GBTC!K339</f>
        <v>0</v>
      </c>
      <c r="K340" s="38">
        <f>HODL!H339</f>
        <v>0</v>
      </c>
      <c r="L340" s="38">
        <f>IBIT!G339</f>
        <v>0</v>
      </c>
      <c r="M340" s="98">
        <f>SUM(btc_ratios3[[#This Row],[ARKB]:[IBIT]])</f>
        <v>0</v>
      </c>
      <c r="N340" s="98"/>
      <c r="O340" s="132"/>
      <c r="P340" s="136">
        <f>ARKB!H339</f>
        <v>0</v>
      </c>
      <c r="Q340" s="136"/>
      <c r="R340" s="137"/>
    </row>
    <row r="341" spans="1:18" ht="15" customHeight="1">
      <c r="A341" s="13" t="str">
        <f>scalars[[#This Row],[DOW]]</f>
        <v>Friday</v>
      </c>
      <c r="B341" s="28">
        <f t="shared" si="9"/>
        <v>46416</v>
      </c>
      <c r="C341" s="38">
        <f>ARKB!G340</f>
        <v>0</v>
      </c>
      <c r="D341" s="38">
        <f>BITB!H340</f>
        <v>0</v>
      </c>
      <c r="E341" s="98">
        <f>BRRR!G341</f>
        <v>0</v>
      </c>
      <c r="F341" s="38">
        <f>BTC!J340</f>
        <v>0</v>
      </c>
      <c r="G341" s="38">
        <f>BTCW!H340</f>
        <v>0</v>
      </c>
      <c r="H341" s="38">
        <f>EZBC!F340</f>
        <v>0</v>
      </c>
      <c r="J341" s="38">
        <f>GBTC!K340</f>
        <v>0</v>
      </c>
      <c r="K341" s="38">
        <f>HODL!H340</f>
        <v>0</v>
      </c>
      <c r="L341" s="38">
        <f>IBIT!G340</f>
        <v>0</v>
      </c>
      <c r="M341" s="98">
        <f>SUM(btc_ratios3[[#This Row],[ARKB]:[IBIT]])</f>
        <v>0</v>
      </c>
      <c r="N341" s="98"/>
      <c r="O341" s="132"/>
      <c r="P341" s="136">
        <f>ARKB!H340</f>
        <v>0</v>
      </c>
      <c r="Q341" s="136"/>
      <c r="R341" s="137"/>
    </row>
    <row r="342" spans="1:18" ht="15" customHeight="1">
      <c r="A342" s="13" t="str">
        <f>scalars[[#This Row],[DOW]]</f>
        <v>Saturday</v>
      </c>
      <c r="B342" s="28">
        <f t="shared" si="9"/>
        <v>46417</v>
      </c>
      <c r="C342" s="38">
        <f>ARKB!G341</f>
        <v>0</v>
      </c>
      <c r="D342" s="38">
        <f>BITB!H341</f>
        <v>0</v>
      </c>
      <c r="E342" s="98">
        <f>BRRR!G342</f>
        <v>0</v>
      </c>
      <c r="F342" s="38">
        <f>BTC!J341</f>
        <v>0</v>
      </c>
      <c r="G342" s="38">
        <f>BTCW!H341</f>
        <v>0</v>
      </c>
      <c r="H342" s="38">
        <f>EZBC!F341</f>
        <v>0</v>
      </c>
      <c r="J342" s="38">
        <f>GBTC!K341</f>
        <v>0</v>
      </c>
      <c r="K342" s="38">
        <f>HODL!H341</f>
        <v>0</v>
      </c>
      <c r="L342" s="38">
        <f>IBIT!G341</f>
        <v>0</v>
      </c>
      <c r="M342" s="98">
        <f>SUM(btc_ratios3[[#This Row],[ARKB]:[IBIT]])</f>
        <v>0</v>
      </c>
      <c r="N342" s="98"/>
      <c r="O342" s="132"/>
      <c r="P342" s="136">
        <f>ARKB!H341</f>
        <v>0</v>
      </c>
      <c r="Q342" s="136"/>
      <c r="R342" s="137"/>
    </row>
    <row r="343" spans="1:18" ht="15" customHeight="1">
      <c r="A343" s="13" t="str">
        <f>scalars[[#This Row],[DOW]]</f>
        <v>Sunday</v>
      </c>
      <c r="B343" s="28">
        <f t="shared" si="9"/>
        <v>46418</v>
      </c>
      <c r="C343" s="38">
        <f>ARKB!G342</f>
        <v>0</v>
      </c>
      <c r="D343" s="38">
        <f>BITB!H342</f>
        <v>0</v>
      </c>
      <c r="E343" s="98">
        <f>BRRR!G343</f>
        <v>0</v>
      </c>
      <c r="F343" s="38">
        <f>BTC!J342</f>
        <v>0</v>
      </c>
      <c r="G343" s="38">
        <f>BTCW!H342</f>
        <v>0</v>
      </c>
      <c r="H343" s="38">
        <f>EZBC!F342</f>
        <v>0</v>
      </c>
      <c r="J343" s="38">
        <f>GBTC!K342</f>
        <v>0</v>
      </c>
      <c r="K343" s="38">
        <f>HODL!H342</f>
        <v>0</v>
      </c>
      <c r="L343" s="38">
        <f>IBIT!G342</f>
        <v>0</v>
      </c>
      <c r="M343" s="98">
        <f>SUM(btc_ratios3[[#This Row],[ARKB]:[IBIT]])</f>
        <v>0</v>
      </c>
      <c r="N343" s="98"/>
      <c r="O343" s="132"/>
      <c r="P343" s="136">
        <f>ARKB!H342</f>
        <v>0</v>
      </c>
      <c r="Q343" s="136"/>
      <c r="R343" s="137"/>
    </row>
    <row r="344" spans="1:18" ht="15" customHeight="1">
      <c r="A344" s="13" t="str">
        <f>scalars[[#This Row],[DOW]]</f>
        <v>Monday</v>
      </c>
      <c r="B344" s="28">
        <f t="shared" si="9"/>
        <v>46419</v>
      </c>
      <c r="C344" s="38">
        <f>ARKB!G343</f>
        <v>0</v>
      </c>
      <c r="D344" s="38">
        <f>BITB!H343</f>
        <v>0</v>
      </c>
      <c r="E344" s="98">
        <f>BRRR!G344</f>
        <v>0</v>
      </c>
      <c r="F344" s="38">
        <f>BTC!J343</f>
        <v>0</v>
      </c>
      <c r="G344" s="38">
        <f>BTCW!H343</f>
        <v>0</v>
      </c>
      <c r="H344" s="38">
        <f>EZBC!F343</f>
        <v>0</v>
      </c>
      <c r="J344" s="38">
        <f>GBTC!K343</f>
        <v>0</v>
      </c>
      <c r="K344" s="38">
        <f>HODL!H343</f>
        <v>0</v>
      </c>
      <c r="L344" s="38">
        <f>IBIT!G343</f>
        <v>0</v>
      </c>
      <c r="M344" s="98">
        <f>SUM(btc_ratios3[[#This Row],[ARKB]:[IBIT]])</f>
        <v>0</v>
      </c>
      <c r="N344" s="98"/>
      <c r="O344" s="132"/>
      <c r="P344" s="136">
        <f>ARKB!H343</f>
        <v>0</v>
      </c>
      <c r="Q344" s="136"/>
      <c r="R344" s="137"/>
    </row>
    <row r="345" spans="1:18" ht="15" customHeight="1">
      <c r="A345" s="13" t="str">
        <f>scalars[[#This Row],[DOW]]</f>
        <v>Tuesday</v>
      </c>
      <c r="B345" s="28">
        <f t="shared" si="9"/>
        <v>46420</v>
      </c>
      <c r="C345" s="38">
        <f>ARKB!G344</f>
        <v>0</v>
      </c>
      <c r="D345" s="38">
        <f>BITB!H344</f>
        <v>0</v>
      </c>
      <c r="E345" s="98">
        <f>BRRR!G345</f>
        <v>0</v>
      </c>
      <c r="F345" s="38">
        <f>BTC!J344</f>
        <v>0</v>
      </c>
      <c r="G345" s="38">
        <f>BTCW!H344</f>
        <v>0</v>
      </c>
      <c r="H345" s="38">
        <f>EZBC!F344</f>
        <v>0</v>
      </c>
      <c r="J345" s="38">
        <f>GBTC!K344</f>
        <v>0</v>
      </c>
      <c r="K345" s="38">
        <f>HODL!H344</f>
        <v>0</v>
      </c>
      <c r="L345" s="38">
        <f>IBIT!G344</f>
        <v>0</v>
      </c>
      <c r="M345" s="98">
        <f>SUM(btc_ratios3[[#This Row],[ARKB]:[IBIT]])</f>
        <v>0</v>
      </c>
      <c r="N345" s="98"/>
      <c r="O345" s="132"/>
      <c r="P345" s="136">
        <f>ARKB!H344</f>
        <v>0</v>
      </c>
      <c r="Q345" s="136"/>
      <c r="R345" s="137"/>
    </row>
    <row r="346" spans="1:18" ht="15" customHeight="1">
      <c r="A346" s="13" t="str">
        <f>scalars[[#This Row],[DOW]]</f>
        <v>Wednesday</v>
      </c>
      <c r="B346" s="28">
        <f t="shared" si="9"/>
        <v>46421</v>
      </c>
      <c r="C346" s="38">
        <f>ARKB!G345</f>
        <v>0</v>
      </c>
      <c r="D346" s="38">
        <f>BITB!H345</f>
        <v>0</v>
      </c>
      <c r="E346" s="98">
        <f>BRRR!G346</f>
        <v>0</v>
      </c>
      <c r="F346" s="38">
        <f>BTC!J345</f>
        <v>0</v>
      </c>
      <c r="G346" s="38">
        <f>BTCW!H345</f>
        <v>0</v>
      </c>
      <c r="H346" s="38">
        <f>EZBC!F345</f>
        <v>0</v>
      </c>
      <c r="J346" s="38">
        <f>GBTC!K345</f>
        <v>0</v>
      </c>
      <c r="K346" s="38">
        <f>HODL!H345</f>
        <v>0</v>
      </c>
      <c r="L346" s="38">
        <f>IBIT!G345</f>
        <v>0</v>
      </c>
      <c r="M346" s="98">
        <f>SUM(btc_ratios3[[#This Row],[ARKB]:[IBIT]])</f>
        <v>0</v>
      </c>
      <c r="N346" s="98"/>
      <c r="O346" s="132"/>
      <c r="P346" s="136">
        <f>ARKB!H345</f>
        <v>0</v>
      </c>
      <c r="Q346" s="136"/>
      <c r="R346" s="137"/>
    </row>
    <row r="347" spans="1:18" ht="15" customHeight="1">
      <c r="A347" s="13" t="str">
        <f>scalars[[#This Row],[DOW]]</f>
        <v>Thursday</v>
      </c>
      <c r="B347" s="28">
        <f t="shared" si="9"/>
        <v>46422</v>
      </c>
      <c r="C347" s="38">
        <f>ARKB!G346</f>
        <v>0</v>
      </c>
      <c r="D347" s="38">
        <f>BITB!H346</f>
        <v>0</v>
      </c>
      <c r="E347" s="98">
        <f>BRRR!G347</f>
        <v>0</v>
      </c>
      <c r="F347" s="38">
        <f>BTC!J346</f>
        <v>0</v>
      </c>
      <c r="G347" s="38">
        <f>BTCW!H346</f>
        <v>0</v>
      </c>
      <c r="H347" s="38">
        <f>EZBC!F346</f>
        <v>0</v>
      </c>
      <c r="J347" s="38">
        <f>GBTC!K346</f>
        <v>0</v>
      </c>
      <c r="K347" s="38">
        <f>HODL!H346</f>
        <v>0</v>
      </c>
      <c r="L347" s="38">
        <f>IBIT!G346</f>
        <v>0</v>
      </c>
      <c r="M347" s="98">
        <f>SUM(btc_ratios3[[#This Row],[ARKB]:[IBIT]])</f>
        <v>0</v>
      </c>
      <c r="N347" s="98"/>
      <c r="O347" s="132"/>
      <c r="P347" s="136">
        <f>ARKB!H346</f>
        <v>0</v>
      </c>
      <c r="Q347" s="136"/>
      <c r="R347" s="137"/>
    </row>
    <row r="348" spans="1:18" ht="15" customHeight="1">
      <c r="A348" s="13" t="str">
        <f>scalars[[#This Row],[DOW]]</f>
        <v>Friday</v>
      </c>
      <c r="B348" s="28">
        <f t="shared" si="9"/>
        <v>46423</v>
      </c>
      <c r="C348" s="38">
        <f>ARKB!G347</f>
        <v>0</v>
      </c>
      <c r="D348" s="38">
        <f>BITB!H347</f>
        <v>0</v>
      </c>
      <c r="E348" s="98">
        <f>BRRR!G348</f>
        <v>0</v>
      </c>
      <c r="F348" s="38">
        <f>BTC!J347</f>
        <v>0</v>
      </c>
      <c r="G348" s="38">
        <f>BTCW!H347</f>
        <v>0</v>
      </c>
      <c r="H348" s="38">
        <f>EZBC!F347</f>
        <v>0</v>
      </c>
      <c r="J348" s="38">
        <f>GBTC!K347</f>
        <v>0</v>
      </c>
      <c r="K348" s="38">
        <f>HODL!H347</f>
        <v>0</v>
      </c>
      <c r="L348" s="38">
        <f>IBIT!G347</f>
        <v>0</v>
      </c>
      <c r="M348" s="98">
        <f>SUM(btc_ratios3[[#This Row],[ARKB]:[IBIT]])</f>
        <v>0</v>
      </c>
      <c r="N348" s="98"/>
      <c r="O348" s="132"/>
      <c r="P348" s="136">
        <f>ARKB!H347</f>
        <v>0</v>
      </c>
      <c r="Q348" s="136"/>
      <c r="R348" s="137"/>
    </row>
    <row r="349" spans="1:18" ht="15" customHeight="1">
      <c r="A349" s="13" t="str">
        <f>scalars[[#This Row],[DOW]]</f>
        <v>Saturday</v>
      </c>
      <c r="B349" s="28">
        <f t="shared" si="9"/>
        <v>46424</v>
      </c>
      <c r="C349" s="38">
        <f>ARKB!G348</f>
        <v>0</v>
      </c>
      <c r="D349" s="38">
        <f>BITB!H348</f>
        <v>0</v>
      </c>
      <c r="E349" s="98">
        <f>BRRR!G349</f>
        <v>0</v>
      </c>
      <c r="F349" s="38">
        <f>BTC!J348</f>
        <v>0</v>
      </c>
      <c r="G349" s="38">
        <f>BTCW!H348</f>
        <v>0</v>
      </c>
      <c r="H349" s="38">
        <f>EZBC!F348</f>
        <v>0</v>
      </c>
      <c r="J349" s="38">
        <f>GBTC!K348</f>
        <v>0</v>
      </c>
      <c r="K349" s="38">
        <f>HODL!H348</f>
        <v>0</v>
      </c>
      <c r="L349" s="38">
        <f>IBIT!G348</f>
        <v>0</v>
      </c>
      <c r="M349" s="98">
        <f>SUM(btc_ratios3[[#This Row],[ARKB]:[IBIT]])</f>
        <v>0</v>
      </c>
      <c r="N349" s="98"/>
      <c r="O349" s="132"/>
      <c r="P349" s="136">
        <f>ARKB!H348</f>
        <v>0</v>
      </c>
      <c r="Q349" s="136"/>
      <c r="R349" s="137"/>
    </row>
    <row r="350" spans="1:18" ht="15" customHeight="1">
      <c r="A350" s="13" t="str">
        <f>scalars[[#This Row],[DOW]]</f>
        <v>Sunday</v>
      </c>
      <c r="B350" s="28">
        <f t="shared" si="9"/>
        <v>46425</v>
      </c>
      <c r="C350" s="38">
        <f>ARKB!G349</f>
        <v>0</v>
      </c>
      <c r="D350" s="38">
        <f>BITB!H349</f>
        <v>0</v>
      </c>
      <c r="E350" s="98">
        <f>BRRR!G350</f>
        <v>0</v>
      </c>
      <c r="F350" s="38">
        <f>BTC!J349</f>
        <v>0</v>
      </c>
      <c r="G350" s="38">
        <f>BTCW!H349</f>
        <v>0</v>
      </c>
      <c r="H350" s="38">
        <f>EZBC!F349</f>
        <v>0</v>
      </c>
      <c r="J350" s="38">
        <f>GBTC!K349</f>
        <v>0</v>
      </c>
      <c r="K350" s="38">
        <f>HODL!H349</f>
        <v>0</v>
      </c>
      <c r="L350" s="38">
        <f>IBIT!G349</f>
        <v>0</v>
      </c>
      <c r="M350" s="98">
        <f>SUM(btc_ratios3[[#This Row],[ARKB]:[IBIT]])</f>
        <v>0</v>
      </c>
      <c r="N350" s="98"/>
      <c r="O350" s="132"/>
      <c r="P350" s="136">
        <f>ARKB!H349</f>
        <v>0</v>
      </c>
      <c r="Q350" s="136"/>
      <c r="R350" s="137"/>
    </row>
    <row r="351" spans="1:18" ht="15" customHeight="1">
      <c r="A351" s="13" t="str">
        <f>scalars[[#This Row],[DOW]]</f>
        <v>Monday</v>
      </c>
      <c r="B351" s="28">
        <f t="shared" si="9"/>
        <v>46426</v>
      </c>
      <c r="C351" s="38">
        <f>ARKB!G350</f>
        <v>0</v>
      </c>
      <c r="D351" s="38">
        <f>BITB!H350</f>
        <v>0</v>
      </c>
      <c r="E351" s="98">
        <f>BRRR!G351</f>
        <v>0</v>
      </c>
      <c r="F351" s="38">
        <f>BTC!J350</f>
        <v>0</v>
      </c>
      <c r="G351" s="38">
        <f>BTCW!H350</f>
        <v>0</v>
      </c>
      <c r="H351" s="38">
        <f>EZBC!F350</f>
        <v>0</v>
      </c>
      <c r="J351" s="38">
        <f>GBTC!K350</f>
        <v>0</v>
      </c>
      <c r="K351" s="38">
        <f>HODL!H350</f>
        <v>0</v>
      </c>
      <c r="L351" s="38">
        <f>IBIT!G350</f>
        <v>0</v>
      </c>
      <c r="M351" s="98">
        <f>SUM(btc_ratios3[[#This Row],[ARKB]:[IBIT]])</f>
        <v>0</v>
      </c>
      <c r="N351" s="98"/>
      <c r="O351" s="132"/>
      <c r="P351" s="136">
        <f>ARKB!H350</f>
        <v>0</v>
      </c>
      <c r="Q351" s="136"/>
      <c r="R351" s="137"/>
    </row>
    <row r="352" spans="1:18" ht="15" customHeight="1">
      <c r="A352" s="13" t="str">
        <f>scalars[[#This Row],[DOW]]</f>
        <v>Tuesday</v>
      </c>
      <c r="B352" s="28">
        <f t="shared" si="9"/>
        <v>46427</v>
      </c>
      <c r="C352" s="38">
        <f>ARKB!G351</f>
        <v>0</v>
      </c>
      <c r="D352" s="38">
        <f>BITB!H351</f>
        <v>0</v>
      </c>
      <c r="E352" s="98">
        <f>BRRR!G352</f>
        <v>0</v>
      </c>
      <c r="F352" s="38">
        <f>BTC!J351</f>
        <v>0</v>
      </c>
      <c r="G352" s="38">
        <f>BTCW!H351</f>
        <v>0</v>
      </c>
      <c r="H352" s="38">
        <f>EZBC!F351</f>
        <v>0</v>
      </c>
      <c r="J352" s="38">
        <f>GBTC!K351</f>
        <v>0</v>
      </c>
      <c r="K352" s="38">
        <f>HODL!H351</f>
        <v>0</v>
      </c>
      <c r="L352" s="38">
        <f>IBIT!G351</f>
        <v>0</v>
      </c>
      <c r="M352" s="98">
        <f>SUM(btc_ratios3[[#This Row],[ARKB]:[IBIT]])</f>
        <v>0</v>
      </c>
      <c r="N352" s="98"/>
      <c r="O352" s="132"/>
      <c r="P352" s="136">
        <f>ARKB!H351</f>
        <v>0</v>
      </c>
      <c r="Q352" s="136"/>
      <c r="R352" s="137"/>
    </row>
    <row r="353" spans="1:18" ht="15" customHeight="1">
      <c r="A353" s="13" t="str">
        <f>scalars[[#This Row],[DOW]]</f>
        <v>Wednesday</v>
      </c>
      <c r="B353" s="28">
        <f t="shared" si="9"/>
        <v>46428</v>
      </c>
      <c r="C353" s="38">
        <f>ARKB!G352</f>
        <v>0</v>
      </c>
      <c r="D353" s="38">
        <f>BITB!H352</f>
        <v>0</v>
      </c>
      <c r="E353" s="98">
        <f>BRRR!G353</f>
        <v>0</v>
      </c>
      <c r="F353" s="38">
        <f>BTC!J352</f>
        <v>0</v>
      </c>
      <c r="G353" s="38">
        <f>BTCW!H352</f>
        <v>0</v>
      </c>
      <c r="H353" s="38">
        <f>EZBC!F352</f>
        <v>0</v>
      </c>
      <c r="J353" s="38">
        <f>GBTC!K352</f>
        <v>0</v>
      </c>
      <c r="K353" s="38">
        <f>HODL!H352</f>
        <v>0</v>
      </c>
      <c r="L353" s="38">
        <f>IBIT!G352</f>
        <v>0</v>
      </c>
      <c r="M353" s="98">
        <f>SUM(btc_ratios3[[#This Row],[ARKB]:[IBIT]])</f>
        <v>0</v>
      </c>
      <c r="N353" s="98"/>
      <c r="O353" s="132"/>
      <c r="P353" s="136">
        <f>ARKB!H352</f>
        <v>0</v>
      </c>
      <c r="Q353" s="136"/>
      <c r="R353" s="137"/>
    </row>
    <row r="354" spans="1:18" ht="15" customHeight="1">
      <c r="A354" s="13" t="str">
        <f>scalars[[#This Row],[DOW]]</f>
        <v>Thursday</v>
      </c>
      <c r="B354" s="28">
        <f t="shared" si="9"/>
        <v>46429</v>
      </c>
      <c r="C354" s="38">
        <f>ARKB!G353</f>
        <v>0</v>
      </c>
      <c r="D354" s="38">
        <f>BITB!H353</f>
        <v>0</v>
      </c>
      <c r="E354" s="98">
        <f>BRRR!G354</f>
        <v>0</v>
      </c>
      <c r="F354" s="38">
        <f>BTC!J353</f>
        <v>0</v>
      </c>
      <c r="G354" s="38">
        <f>BTCW!H353</f>
        <v>0</v>
      </c>
      <c r="H354" s="38">
        <f>EZBC!F353</f>
        <v>0</v>
      </c>
      <c r="J354" s="38">
        <f>GBTC!K353</f>
        <v>0</v>
      </c>
      <c r="K354" s="38">
        <f>HODL!H353</f>
        <v>0</v>
      </c>
      <c r="L354" s="38">
        <f>IBIT!G353</f>
        <v>0</v>
      </c>
      <c r="M354" s="98">
        <f>SUM(btc_ratios3[[#This Row],[ARKB]:[IBIT]])</f>
        <v>0</v>
      </c>
      <c r="N354" s="98"/>
      <c r="O354" s="132"/>
      <c r="P354" s="136">
        <f>ARKB!H353</f>
        <v>0</v>
      </c>
      <c r="Q354" s="136"/>
      <c r="R354" s="137"/>
    </row>
    <row r="355" spans="1:18" ht="15" customHeight="1">
      <c r="A355" s="13" t="str">
        <f>scalars[[#This Row],[DOW]]</f>
        <v>Friday</v>
      </c>
      <c r="B355" s="28">
        <f t="shared" si="9"/>
        <v>46430</v>
      </c>
      <c r="C355" s="38">
        <f>ARKB!G354</f>
        <v>0</v>
      </c>
      <c r="D355" s="38">
        <f>BITB!H354</f>
        <v>0</v>
      </c>
      <c r="E355" s="98">
        <f>BRRR!G355</f>
        <v>0</v>
      </c>
      <c r="F355" s="38">
        <f>BTC!J354</f>
        <v>0</v>
      </c>
      <c r="G355" s="38">
        <f>BTCW!H354</f>
        <v>0</v>
      </c>
      <c r="H355" s="38">
        <f>EZBC!F354</f>
        <v>0</v>
      </c>
      <c r="J355" s="38">
        <f>GBTC!K354</f>
        <v>0</v>
      </c>
      <c r="K355" s="38">
        <f>HODL!H354</f>
        <v>0</v>
      </c>
      <c r="L355" s="38">
        <f>IBIT!G354</f>
        <v>0</v>
      </c>
      <c r="M355" s="98">
        <f>SUM(btc_ratios3[[#This Row],[ARKB]:[IBIT]])</f>
        <v>0</v>
      </c>
      <c r="N355" s="98"/>
      <c r="O355" s="132"/>
      <c r="P355" s="136">
        <f>ARKB!H354</f>
        <v>0</v>
      </c>
      <c r="Q355" s="136"/>
      <c r="R355" s="137"/>
    </row>
    <row r="356" spans="1:18" ht="15" customHeight="1">
      <c r="A356" s="13" t="str">
        <f>scalars[[#This Row],[DOW]]</f>
        <v>Saturday</v>
      </c>
      <c r="B356" s="28">
        <f t="shared" si="9"/>
        <v>46431</v>
      </c>
      <c r="C356" s="38">
        <f>ARKB!G355</f>
        <v>0</v>
      </c>
      <c r="D356" s="38">
        <f>BITB!H355</f>
        <v>0</v>
      </c>
      <c r="E356" s="98">
        <f>BRRR!G356</f>
        <v>0</v>
      </c>
      <c r="F356" s="38">
        <f>BTC!J355</f>
        <v>0</v>
      </c>
      <c r="G356" s="38">
        <f>BTCW!H355</f>
        <v>0</v>
      </c>
      <c r="H356" s="38">
        <f>EZBC!F355</f>
        <v>0</v>
      </c>
      <c r="J356" s="38">
        <f>GBTC!K355</f>
        <v>0</v>
      </c>
      <c r="K356" s="38">
        <f>HODL!H355</f>
        <v>0</v>
      </c>
      <c r="L356" s="38">
        <f>IBIT!G355</f>
        <v>0</v>
      </c>
      <c r="M356" s="98">
        <f>SUM(btc_ratios3[[#This Row],[ARKB]:[IBIT]])</f>
        <v>0</v>
      </c>
      <c r="N356" s="98"/>
      <c r="O356" s="132"/>
      <c r="P356" s="136">
        <f>ARKB!H355</f>
        <v>0</v>
      </c>
      <c r="Q356" s="136"/>
      <c r="R356" s="137"/>
    </row>
    <row r="357" spans="1:18" ht="15" customHeight="1">
      <c r="A357" s="13" t="str">
        <f>scalars[[#This Row],[DOW]]</f>
        <v>Sunday</v>
      </c>
      <c r="B357" s="28">
        <f t="shared" si="9"/>
        <v>46432</v>
      </c>
      <c r="C357" s="38">
        <f>ARKB!G356</f>
        <v>0</v>
      </c>
      <c r="D357" s="38">
        <f>BITB!H356</f>
        <v>0</v>
      </c>
      <c r="E357" s="98">
        <f>BRRR!G357</f>
        <v>0</v>
      </c>
      <c r="F357" s="38">
        <f>BTC!J356</f>
        <v>0</v>
      </c>
      <c r="G357" s="38">
        <f>BTCW!H356</f>
        <v>0</v>
      </c>
      <c r="H357" s="38">
        <f>EZBC!F356</f>
        <v>0</v>
      </c>
      <c r="J357" s="38">
        <f>GBTC!K356</f>
        <v>0</v>
      </c>
      <c r="K357" s="38">
        <f>HODL!H356</f>
        <v>0</v>
      </c>
      <c r="L357" s="38">
        <f>IBIT!G356</f>
        <v>0</v>
      </c>
      <c r="M357" s="98">
        <f>SUM(btc_ratios3[[#This Row],[ARKB]:[IBIT]])</f>
        <v>0</v>
      </c>
      <c r="N357" s="98"/>
      <c r="O357" s="132"/>
      <c r="P357" s="136">
        <f>ARKB!H356</f>
        <v>0</v>
      </c>
      <c r="Q357" s="136"/>
      <c r="R357" s="137"/>
    </row>
    <row r="358" spans="1:18" ht="15" customHeight="1">
      <c r="A358" s="13" t="str">
        <f>scalars[[#This Row],[DOW]]</f>
        <v>Monday</v>
      </c>
      <c r="B358" s="28">
        <f t="shared" si="9"/>
        <v>46433</v>
      </c>
      <c r="C358" s="38">
        <f>ARKB!G357</f>
        <v>0</v>
      </c>
      <c r="D358" s="38">
        <f>BITB!H357</f>
        <v>0</v>
      </c>
      <c r="E358" s="98">
        <f>BRRR!G358</f>
        <v>0</v>
      </c>
      <c r="F358" s="38">
        <f>BTC!J357</f>
        <v>0</v>
      </c>
      <c r="G358" s="38">
        <f>BTCW!H357</f>
        <v>0</v>
      </c>
      <c r="H358" s="38">
        <f>EZBC!F357</f>
        <v>0</v>
      </c>
      <c r="J358" s="38">
        <f>GBTC!K357</f>
        <v>0</v>
      </c>
      <c r="K358" s="38">
        <f>HODL!H357</f>
        <v>0</v>
      </c>
      <c r="L358" s="38">
        <f>IBIT!G357</f>
        <v>0</v>
      </c>
      <c r="M358" s="98">
        <f>SUM(btc_ratios3[[#This Row],[ARKB]:[IBIT]])</f>
        <v>0</v>
      </c>
      <c r="N358" s="98"/>
      <c r="O358" s="132"/>
      <c r="P358" s="136">
        <f>ARKB!H357</f>
        <v>0</v>
      </c>
      <c r="Q358" s="136"/>
      <c r="R358" s="137"/>
    </row>
    <row r="359" spans="1:18" ht="15" customHeight="1">
      <c r="A359" s="13" t="str">
        <f>scalars[[#This Row],[DOW]]</f>
        <v>Tuesday</v>
      </c>
      <c r="B359" s="28">
        <f t="shared" si="9"/>
        <v>46434</v>
      </c>
      <c r="C359" s="38">
        <f>ARKB!G358</f>
        <v>0</v>
      </c>
      <c r="D359" s="38">
        <f>BITB!H358</f>
        <v>0</v>
      </c>
      <c r="E359" s="98">
        <f>BRRR!G359</f>
        <v>0</v>
      </c>
      <c r="F359" s="38">
        <f>BTC!J358</f>
        <v>0</v>
      </c>
      <c r="G359" s="38">
        <f>BTCW!H358</f>
        <v>0</v>
      </c>
      <c r="H359" s="38">
        <f>EZBC!F358</f>
        <v>0</v>
      </c>
      <c r="J359" s="38">
        <f>GBTC!K358</f>
        <v>0</v>
      </c>
      <c r="K359" s="38">
        <f>HODL!H358</f>
        <v>0</v>
      </c>
      <c r="L359" s="38">
        <f>IBIT!G358</f>
        <v>0</v>
      </c>
      <c r="M359" s="98">
        <f>SUM(btc_ratios3[[#This Row],[ARKB]:[IBIT]])</f>
        <v>0</v>
      </c>
      <c r="N359" s="98"/>
      <c r="O359" s="132"/>
      <c r="P359" s="136">
        <f>ARKB!H358</f>
        <v>0</v>
      </c>
      <c r="Q359" s="136"/>
      <c r="R359" s="137"/>
    </row>
    <row r="360" spans="1:18" ht="15" customHeight="1">
      <c r="A360" s="13" t="str">
        <f>scalars[[#This Row],[DOW]]</f>
        <v>Wednesday</v>
      </c>
      <c r="B360" s="28">
        <f t="shared" si="9"/>
        <v>46435</v>
      </c>
      <c r="C360" s="38">
        <f>ARKB!G359</f>
        <v>0</v>
      </c>
      <c r="D360" s="38">
        <f>BITB!H359</f>
        <v>0</v>
      </c>
      <c r="E360" s="98">
        <f>BRRR!G360</f>
        <v>0</v>
      </c>
      <c r="F360" s="38">
        <f>BTC!J359</f>
        <v>0</v>
      </c>
      <c r="G360" s="38">
        <f>BTCW!H359</f>
        <v>0</v>
      </c>
      <c r="H360" s="38">
        <f>EZBC!F359</f>
        <v>0</v>
      </c>
      <c r="J360" s="38">
        <f>GBTC!K359</f>
        <v>0</v>
      </c>
      <c r="K360" s="38">
        <f>HODL!H359</f>
        <v>0</v>
      </c>
      <c r="L360" s="38">
        <f>IBIT!G359</f>
        <v>0</v>
      </c>
      <c r="M360" s="98">
        <f>SUM(btc_ratios3[[#This Row],[ARKB]:[IBIT]])</f>
        <v>0</v>
      </c>
      <c r="N360" s="98"/>
      <c r="O360" s="132"/>
      <c r="P360" s="136">
        <f>ARKB!H359</f>
        <v>0</v>
      </c>
      <c r="Q360" s="136"/>
      <c r="R360" s="137"/>
    </row>
    <row r="361" spans="1:18" ht="15" customHeight="1">
      <c r="A361" s="13" t="str">
        <f>scalars[[#This Row],[DOW]]</f>
        <v>Thursday</v>
      </c>
      <c r="B361" s="28">
        <f t="shared" si="9"/>
        <v>46436</v>
      </c>
      <c r="C361" s="38">
        <f>ARKB!G360</f>
        <v>0</v>
      </c>
      <c r="D361" s="38">
        <f>BITB!H360</f>
        <v>0</v>
      </c>
      <c r="E361" s="98">
        <f>BRRR!G361</f>
        <v>0</v>
      </c>
      <c r="F361" s="38">
        <f>BTC!J360</f>
        <v>0</v>
      </c>
      <c r="G361" s="38">
        <f>BTCW!H360</f>
        <v>0</v>
      </c>
      <c r="H361" s="38">
        <f>EZBC!F360</f>
        <v>0</v>
      </c>
      <c r="J361" s="38">
        <f>GBTC!K360</f>
        <v>0</v>
      </c>
      <c r="K361" s="38">
        <f>HODL!H360</f>
        <v>0</v>
      </c>
      <c r="L361" s="38">
        <f>IBIT!G360</f>
        <v>0</v>
      </c>
      <c r="M361" s="98">
        <f>SUM(btc_ratios3[[#This Row],[ARKB]:[IBIT]])</f>
        <v>0</v>
      </c>
      <c r="N361" s="98"/>
      <c r="O361" s="132"/>
      <c r="P361" s="136">
        <f>ARKB!H360</f>
        <v>0</v>
      </c>
      <c r="Q361" s="136"/>
      <c r="R361" s="137"/>
    </row>
    <row r="362" spans="1:18" ht="15" customHeight="1">
      <c r="A362" s="13" t="str">
        <f>scalars[[#This Row],[DOW]]</f>
        <v>Friday</v>
      </c>
      <c r="B362" s="28">
        <f t="shared" si="9"/>
        <v>46437</v>
      </c>
      <c r="C362" s="38">
        <f>ARKB!G361</f>
        <v>0</v>
      </c>
      <c r="D362" s="38">
        <f>BITB!H361</f>
        <v>0</v>
      </c>
      <c r="E362" s="98">
        <f>BRRR!G362</f>
        <v>0</v>
      </c>
      <c r="F362" s="38">
        <f>BTC!J361</f>
        <v>0</v>
      </c>
      <c r="G362" s="38">
        <f>BTCW!H361</f>
        <v>0</v>
      </c>
      <c r="H362" s="38">
        <f>EZBC!F361</f>
        <v>0</v>
      </c>
      <c r="J362" s="38">
        <f>GBTC!K361</f>
        <v>0</v>
      </c>
      <c r="K362" s="38">
        <f>HODL!H361</f>
        <v>0</v>
      </c>
      <c r="L362" s="38">
        <f>IBIT!G361</f>
        <v>0</v>
      </c>
      <c r="M362" s="98">
        <f>SUM(btc_ratios3[[#This Row],[ARKB]:[IBIT]])</f>
        <v>0</v>
      </c>
      <c r="N362" s="98"/>
      <c r="O362" s="132"/>
      <c r="P362" s="136">
        <f>ARKB!H361</f>
        <v>0</v>
      </c>
      <c r="Q362" s="136"/>
      <c r="R362" s="137"/>
    </row>
    <row r="363" spans="1:18" ht="15" customHeight="1">
      <c r="A363" s="13" t="str">
        <f>scalars[[#This Row],[DOW]]</f>
        <v>Saturday</v>
      </c>
      <c r="B363" s="28">
        <f t="shared" si="9"/>
        <v>46438</v>
      </c>
      <c r="C363" s="38">
        <f>ARKB!G362</f>
        <v>0</v>
      </c>
      <c r="D363" s="38">
        <f>BITB!H362</f>
        <v>0</v>
      </c>
      <c r="E363" s="98">
        <f>BRRR!G363</f>
        <v>0</v>
      </c>
      <c r="F363" s="38">
        <f>BTC!J362</f>
        <v>0</v>
      </c>
      <c r="G363" s="38">
        <f>BTCW!H362</f>
        <v>0</v>
      </c>
      <c r="H363" s="38">
        <f>EZBC!F362</f>
        <v>0</v>
      </c>
      <c r="J363" s="38">
        <f>GBTC!K362</f>
        <v>0</v>
      </c>
      <c r="K363" s="38">
        <f>HODL!H362</f>
        <v>0</v>
      </c>
      <c r="L363" s="38">
        <f>IBIT!G362</f>
        <v>0</v>
      </c>
      <c r="M363" s="98">
        <f>SUM(btc_ratios3[[#This Row],[ARKB]:[IBIT]])</f>
        <v>0</v>
      </c>
      <c r="N363" s="98"/>
      <c r="O363" s="132"/>
      <c r="P363" s="136">
        <f>ARKB!H362</f>
        <v>0</v>
      </c>
      <c r="Q363" s="136"/>
      <c r="R363" s="137"/>
    </row>
    <row r="364" spans="1:18" ht="15" customHeight="1">
      <c r="A364" s="13" t="str">
        <f>scalars[[#This Row],[DOW]]</f>
        <v>Sunday</v>
      </c>
      <c r="B364" s="28">
        <f t="shared" si="9"/>
        <v>46439</v>
      </c>
      <c r="C364" s="38">
        <f>ARKB!G363</f>
        <v>0</v>
      </c>
      <c r="D364" s="38">
        <f>BITB!H363</f>
        <v>0</v>
      </c>
      <c r="E364" s="98">
        <f>BRRR!G364</f>
        <v>0</v>
      </c>
      <c r="F364" s="38">
        <f>BTC!J363</f>
        <v>0</v>
      </c>
      <c r="G364" s="38">
        <f>BTCW!H363</f>
        <v>0</v>
      </c>
      <c r="H364" s="38">
        <f>EZBC!F363</f>
        <v>0</v>
      </c>
      <c r="J364" s="38">
        <f>GBTC!K363</f>
        <v>0</v>
      </c>
      <c r="K364" s="38">
        <f>HODL!H363</f>
        <v>0</v>
      </c>
      <c r="L364" s="38">
        <f>IBIT!G363</f>
        <v>0</v>
      </c>
      <c r="M364" s="98">
        <f>SUM(btc_ratios3[[#This Row],[ARKB]:[IBIT]])</f>
        <v>0</v>
      </c>
      <c r="N364" s="98"/>
      <c r="O364" s="132"/>
      <c r="P364" s="136">
        <f>ARKB!H363</f>
        <v>0</v>
      </c>
      <c r="Q364" s="136"/>
      <c r="R364" s="137"/>
    </row>
    <row r="365" spans="1:18" ht="15" customHeight="1">
      <c r="A365" s="13" t="str">
        <f>scalars[[#This Row],[DOW]]</f>
        <v>Monday</v>
      </c>
      <c r="B365" s="28">
        <f t="shared" si="9"/>
        <v>46440</v>
      </c>
      <c r="C365" s="38">
        <f>ARKB!G364</f>
        <v>0</v>
      </c>
      <c r="D365" s="38">
        <f>BITB!H364</f>
        <v>0</v>
      </c>
      <c r="E365" s="98">
        <f>BRRR!G365</f>
        <v>0</v>
      </c>
      <c r="F365" s="38">
        <f>BTC!J364</f>
        <v>0</v>
      </c>
      <c r="G365" s="38">
        <f>BTCW!H364</f>
        <v>0</v>
      </c>
      <c r="H365" s="38">
        <f>EZBC!F364</f>
        <v>0</v>
      </c>
      <c r="J365" s="38">
        <f>GBTC!K364</f>
        <v>0</v>
      </c>
      <c r="K365" s="38">
        <f>HODL!H364</f>
        <v>0</v>
      </c>
      <c r="L365" s="38">
        <f>IBIT!G364</f>
        <v>0</v>
      </c>
      <c r="M365" s="98">
        <f>SUM(btc_ratios3[[#This Row],[ARKB]:[IBIT]])</f>
        <v>0</v>
      </c>
      <c r="N365" s="98"/>
      <c r="O365" s="132"/>
      <c r="P365" s="136">
        <f>ARKB!H364</f>
        <v>0</v>
      </c>
      <c r="Q365" s="136"/>
      <c r="R365" s="137"/>
    </row>
    <row r="366" spans="1:18" ht="15" customHeight="1">
      <c r="A366" s="13" t="str">
        <f>scalars[[#This Row],[DOW]]</f>
        <v>Tuesday</v>
      </c>
      <c r="B366" s="28">
        <f t="shared" si="9"/>
        <v>46441</v>
      </c>
      <c r="C366" s="38">
        <f>ARKB!G365</f>
        <v>0</v>
      </c>
      <c r="D366" s="38">
        <f>BITB!H365</f>
        <v>0</v>
      </c>
      <c r="E366" s="98">
        <f>BRRR!G366</f>
        <v>0</v>
      </c>
      <c r="F366" s="38">
        <f>BTC!J365</f>
        <v>0</v>
      </c>
      <c r="G366" s="38">
        <f>BTCW!H365</f>
        <v>0</v>
      </c>
      <c r="H366" s="38">
        <f>EZBC!F365</f>
        <v>0</v>
      </c>
      <c r="J366" s="38">
        <f>GBTC!K365</f>
        <v>0</v>
      </c>
      <c r="K366" s="38">
        <f>HODL!H365</f>
        <v>0</v>
      </c>
      <c r="L366" s="38">
        <f>IBIT!G365</f>
        <v>0</v>
      </c>
      <c r="M366" s="98">
        <f>SUM(btc_ratios3[[#This Row],[ARKB]:[IBIT]])</f>
        <v>0</v>
      </c>
      <c r="N366" s="98"/>
      <c r="O366" s="132"/>
      <c r="P366" s="136">
        <f>ARKB!H365</f>
        <v>0</v>
      </c>
      <c r="Q366" s="136"/>
      <c r="R366" s="137"/>
    </row>
    <row r="367" spans="1:18" ht="15" customHeight="1">
      <c r="A367" s="13" t="str">
        <f>scalars[[#This Row],[DOW]]</f>
        <v>Wednesday</v>
      </c>
      <c r="B367" s="28">
        <f t="shared" si="9"/>
        <v>46442</v>
      </c>
      <c r="C367" s="38">
        <f>ARKB!G366</f>
        <v>0</v>
      </c>
      <c r="D367" s="38">
        <f>BITB!H366</f>
        <v>0</v>
      </c>
      <c r="E367" s="98">
        <f>BRRR!G367</f>
        <v>0</v>
      </c>
      <c r="F367" s="38">
        <f>BTC!J366</f>
        <v>0</v>
      </c>
      <c r="G367" s="38">
        <f>BTCW!H366</f>
        <v>0</v>
      </c>
      <c r="H367" s="38">
        <f>EZBC!F366</f>
        <v>0</v>
      </c>
      <c r="J367" s="38">
        <f>GBTC!K366</f>
        <v>0</v>
      </c>
      <c r="K367" s="38">
        <f>HODL!H366</f>
        <v>0</v>
      </c>
      <c r="L367" s="38">
        <f>IBIT!G366</f>
        <v>0</v>
      </c>
      <c r="M367" s="98">
        <f>SUM(btc_ratios3[[#This Row],[ARKB]:[IBIT]])</f>
        <v>0</v>
      </c>
      <c r="N367" s="98"/>
      <c r="O367" s="132"/>
      <c r="P367" s="136">
        <f>ARKB!H366</f>
        <v>0</v>
      </c>
      <c r="Q367" s="136"/>
      <c r="R367" s="137"/>
    </row>
    <row r="368" spans="1:18" ht="15" customHeight="1">
      <c r="A368" s="13" t="str">
        <f>scalars[[#This Row],[DOW]]</f>
        <v>Thursday</v>
      </c>
      <c r="B368" s="28">
        <f t="shared" si="9"/>
        <v>46443</v>
      </c>
      <c r="C368" s="38">
        <f>ARKB!G367</f>
        <v>0</v>
      </c>
      <c r="D368" s="38">
        <f>BITB!H367</f>
        <v>0</v>
      </c>
      <c r="E368" s="98">
        <f>BRRR!G368</f>
        <v>0</v>
      </c>
      <c r="F368" s="38">
        <f>BTC!J367</f>
        <v>0</v>
      </c>
      <c r="G368" s="38">
        <f>BTCW!H367</f>
        <v>0</v>
      </c>
      <c r="H368" s="38">
        <f>EZBC!F367</f>
        <v>0</v>
      </c>
      <c r="J368" s="38">
        <f>GBTC!K367</f>
        <v>0</v>
      </c>
      <c r="K368" s="38">
        <f>HODL!H367</f>
        <v>0</v>
      </c>
      <c r="L368" s="38">
        <f>IBIT!G367</f>
        <v>0</v>
      </c>
      <c r="M368" s="98">
        <f>SUM(btc_ratios3[[#This Row],[ARKB]:[IBIT]])</f>
        <v>0</v>
      </c>
      <c r="N368" s="98"/>
      <c r="O368" s="132"/>
      <c r="P368" s="136">
        <f>ARKB!H367</f>
        <v>0</v>
      </c>
      <c r="Q368" s="136"/>
      <c r="R368" s="137"/>
    </row>
    <row r="369" spans="1:18" ht="15" customHeight="1">
      <c r="A369" s="13" t="str">
        <f>scalars[[#This Row],[DOW]]</f>
        <v>Friday</v>
      </c>
      <c r="B369" s="28">
        <f t="shared" si="9"/>
        <v>46444</v>
      </c>
      <c r="C369" s="38">
        <f>ARKB!G368</f>
        <v>0</v>
      </c>
      <c r="D369" s="38">
        <f>BITB!H368</f>
        <v>0</v>
      </c>
      <c r="E369" s="98">
        <f>BRRR!G369</f>
        <v>0</v>
      </c>
      <c r="F369" s="38">
        <f>BTC!J368</f>
        <v>0</v>
      </c>
      <c r="G369" s="38">
        <f>BTCW!H368</f>
        <v>0</v>
      </c>
      <c r="H369" s="38">
        <f>EZBC!F368</f>
        <v>0</v>
      </c>
      <c r="J369" s="38">
        <f>GBTC!K368</f>
        <v>0</v>
      </c>
      <c r="K369" s="38">
        <f>HODL!H368</f>
        <v>0</v>
      </c>
      <c r="L369" s="38">
        <f>IBIT!G368</f>
        <v>0</v>
      </c>
      <c r="M369" s="98">
        <f>SUM(btc_ratios3[[#This Row],[ARKB]:[IBIT]])</f>
        <v>0</v>
      </c>
      <c r="N369" s="98"/>
      <c r="O369" s="132"/>
      <c r="P369" s="136">
        <f>ARKB!H368</f>
        <v>0</v>
      </c>
      <c r="Q369" s="136"/>
      <c r="R369" s="137"/>
    </row>
    <row r="370" spans="1:18" ht="15" customHeight="1">
      <c r="A370" s="13" t="str">
        <f>scalars[[#This Row],[DOW]]</f>
        <v>Saturday</v>
      </c>
      <c r="B370" s="28">
        <f t="shared" si="9"/>
        <v>46445</v>
      </c>
      <c r="C370" s="38">
        <f>ARKB!G369</f>
        <v>0</v>
      </c>
      <c r="D370" s="38">
        <f>BITB!H369</f>
        <v>0</v>
      </c>
      <c r="E370" s="98">
        <f>BRRR!G370</f>
        <v>0</v>
      </c>
      <c r="F370" s="38">
        <f>BTC!J369</f>
        <v>0</v>
      </c>
      <c r="G370" s="38">
        <f>BTCW!H369</f>
        <v>0</v>
      </c>
      <c r="H370" s="38">
        <f>EZBC!F369</f>
        <v>0</v>
      </c>
      <c r="J370" s="38">
        <f>GBTC!K369</f>
        <v>0</v>
      </c>
      <c r="K370" s="38">
        <f>HODL!H369</f>
        <v>0</v>
      </c>
      <c r="L370" s="38">
        <f>IBIT!G369</f>
        <v>0</v>
      </c>
      <c r="M370" s="98">
        <f>SUM(btc_ratios3[[#This Row],[ARKB]:[IBIT]])</f>
        <v>0</v>
      </c>
      <c r="N370" s="98"/>
      <c r="O370" s="132"/>
      <c r="P370" s="136">
        <f>ARKB!H369</f>
        <v>0</v>
      </c>
      <c r="Q370" s="136"/>
      <c r="R370" s="137"/>
    </row>
    <row r="371" spans="1:18" ht="15" customHeight="1">
      <c r="A371" s="13" t="str">
        <f>scalars[[#This Row],[DOW]]</f>
        <v>Sunday</v>
      </c>
      <c r="B371" s="28">
        <f t="shared" si="9"/>
        <v>46446</v>
      </c>
      <c r="C371" s="38">
        <f>ARKB!G370</f>
        <v>0</v>
      </c>
      <c r="D371" s="38">
        <f>BITB!H370</f>
        <v>0</v>
      </c>
      <c r="E371" s="98">
        <f>BRRR!G371</f>
        <v>0</v>
      </c>
      <c r="F371" s="38">
        <f>BTC!J370</f>
        <v>0</v>
      </c>
      <c r="G371" s="38">
        <f>BTCW!H370</f>
        <v>0</v>
      </c>
      <c r="H371" s="38">
        <f>EZBC!F370</f>
        <v>0</v>
      </c>
      <c r="J371" s="38">
        <f>GBTC!K370</f>
        <v>0</v>
      </c>
      <c r="K371" s="38">
        <f>HODL!H370</f>
        <v>0</v>
      </c>
      <c r="L371" s="38">
        <f>IBIT!G370</f>
        <v>0</v>
      </c>
      <c r="M371" s="98">
        <f>SUM(btc_ratios3[[#This Row],[ARKB]:[IBIT]])</f>
        <v>0</v>
      </c>
      <c r="N371" s="98"/>
      <c r="O371" s="132"/>
      <c r="P371" s="136">
        <f>btc_ratios3[[#This Row],[Change]]-N370</f>
        <v>0</v>
      </c>
      <c r="Q371" s="136"/>
      <c r="R371" s="137"/>
    </row>
  </sheetData>
  <pageMargins left="0.7" right="0.7" top="0.75" bottom="0.75" header="0.3" footer="0.3"/>
  <ignoredErrors>
    <ignoredError sqref="C22:D26 A7:B7 A8:A371 C343:D371 C61:D61 F61:N61 C65:D65 C64:D64 C67:D68 C66:D66 H66:N66 C71:D71 C72:D72 H72:N72 C73:D73 H73:N73 C74:D74 H74:N74 C75:D75 H75:N75 C80:D80 C79:D79 H79:N79 C78:D78 C87:D88 C81:D81 H81:N81 C82:D82 C86:D86 H86:N86 C89:D89 M89:N89 C96:D96 C93:D93 F23:N26 F65:N65 F64:M64 F67:N68 F66 F71:M71 F72 F73 F74 F75 F80:N80 F79 F78:M78 F87:N88 F81 F82:M82 F86 F89:K89 C94:D95 F94:N95 F93:M93 C106:D110 F343:M371 F96:N96 F107:N110 F100:N102 F99:L99 F106:M106 F103:M103 F114:N115 F113:M113 C120:D124 D116 F121:N123 F116:M116 F120:M120 F128:N130 F124:M124 F135:N135 C134:D138 C127:D130 F127:M127 C113:D115 C99:D103 C85:D85 F85:M85 C57:D60 F57:N60 C50:D54 F50:N54 C43:D47 F43:N47 C36:D39 F36:N39 C30:D33 F30:N33 F134:M134 F136:M138 C141:D145 F141:M141 F143:M145 F142:J142 L142:M142 C148:D152 F148:M150 F151:L152 C156:D342 C155 F156:M342 F155 H155:M155 F22:G22 I22:N22" calculatedColumn="1"/>
  </ignoredErrors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9563-CEA8-4154-920B-91A10B8B7E53}">
  <sheetPr codeName="Sheet7">
    <tabColor theme="4" tint="0.79998168889431442"/>
  </sheetPr>
  <dimension ref="A1:W371"/>
  <sheetViews>
    <sheetView tabSelected="1" workbookViewId="0">
      <pane ySplit="6" topLeftCell="A184" activePane="bottomLeft" state="frozen"/>
      <selection pane="bottomLeft" activeCell="G191" sqref="G191"/>
    </sheetView>
  </sheetViews>
  <sheetFormatPr defaultColWidth="8.85546875" defaultRowHeight="15" customHeight="1"/>
  <cols>
    <col min="1" max="1" width="15.140625" style="13" customWidth="1"/>
    <col min="2" max="2" width="15.140625" style="28" customWidth="1"/>
    <col min="3" max="12" width="15.5703125" style="38" customWidth="1"/>
    <col min="13" max="14" width="8.85546875" style="13"/>
    <col min="15" max="15" width="10.28515625" style="13" bestFit="1" customWidth="1"/>
    <col min="16" max="16384" width="8.85546875" style="13"/>
  </cols>
  <sheetData>
    <row r="1" spans="1:23" ht="15" customHeight="1">
      <c r="B1" s="29" t="s">
        <v>36</v>
      </c>
      <c r="C1" s="31" t="s">
        <v>34</v>
      </c>
      <c r="D1" s="31" t="s">
        <v>34</v>
      </c>
      <c r="E1" s="32" t="s">
        <v>34</v>
      </c>
      <c r="F1" s="32" t="s">
        <v>13</v>
      </c>
      <c r="G1" s="32" t="s">
        <v>34</v>
      </c>
      <c r="H1" s="32" t="s">
        <v>34</v>
      </c>
      <c r="I1" s="32" t="s">
        <v>37</v>
      </c>
      <c r="J1" s="32" t="s">
        <v>13</v>
      </c>
      <c r="K1" s="114" t="s">
        <v>35</v>
      </c>
      <c r="L1" s="32" t="s">
        <v>34</v>
      </c>
      <c r="N1" s="10" t="s">
        <v>78</v>
      </c>
    </row>
    <row r="2" spans="1:23" s="31" customFormat="1" ht="15" customHeight="1">
      <c r="B2" s="33" t="s">
        <v>54</v>
      </c>
      <c r="C2" s="31">
        <v>677037663</v>
      </c>
      <c r="D2" s="31">
        <v>677037658</v>
      </c>
      <c r="E2" s="31">
        <v>677037676</v>
      </c>
      <c r="F2" s="31">
        <v>741192224</v>
      </c>
      <c r="G2" s="31">
        <v>676783288</v>
      </c>
      <c r="H2" s="31">
        <v>676783282</v>
      </c>
      <c r="I2" s="31">
        <v>676783301</v>
      </c>
      <c r="J2" s="31">
        <v>349966059</v>
      </c>
      <c r="K2" s="115">
        <v>677037670</v>
      </c>
      <c r="L2" s="31">
        <v>677037673</v>
      </c>
      <c r="N2" s="13" t="s">
        <v>80</v>
      </c>
    </row>
    <row r="3" spans="1:23" s="34" customFormat="1" ht="15" customHeight="1">
      <c r="B3" s="29" t="s">
        <v>52</v>
      </c>
      <c r="C3" s="35">
        <v>2.0999999999999999E-3</v>
      </c>
      <c r="D3" s="35">
        <v>2E-3</v>
      </c>
      <c r="E3" s="35">
        <v>2.5000000000000001E-3</v>
      </c>
      <c r="F3" s="35">
        <v>1.5E-3</v>
      </c>
      <c r="G3" s="35">
        <v>2.5000000000000001E-3</v>
      </c>
      <c r="H3" s="35">
        <v>1.9E-3</v>
      </c>
      <c r="I3" s="35">
        <v>2.5000000000000001E-3</v>
      </c>
      <c r="J3" s="35">
        <v>1.4999999999999999E-2</v>
      </c>
      <c r="K3" s="116">
        <v>0</v>
      </c>
      <c r="L3" s="35">
        <v>2.5000000000000001E-3</v>
      </c>
      <c r="N3" s="52" t="s">
        <v>32</v>
      </c>
    </row>
    <row r="4" spans="1:23" ht="15" customHeight="1">
      <c r="A4" s="36">
        <v>365</v>
      </c>
      <c r="B4" s="29" t="s">
        <v>53</v>
      </c>
      <c r="C4" s="37">
        <f t="shared" ref="C4:L4" si="0">C3/$A4</f>
        <v>5.7534246575342464E-6</v>
      </c>
      <c r="D4" s="37">
        <f t="shared" si="0"/>
        <v>5.4794520547945209E-6</v>
      </c>
      <c r="E4" s="37">
        <f t="shared" si="0"/>
        <v>6.8493150684931509E-6</v>
      </c>
      <c r="F4" s="37">
        <f t="shared" si="0"/>
        <v>4.1095890410958909E-6</v>
      </c>
      <c r="G4" s="37">
        <f t="shared" si="0"/>
        <v>6.8493150684931509E-6</v>
      </c>
      <c r="H4" s="37">
        <f t="shared" si="0"/>
        <v>5.2054794520547945E-6</v>
      </c>
      <c r="I4" s="37">
        <f t="shared" si="0"/>
        <v>6.8493150684931509E-6</v>
      </c>
      <c r="J4" s="37">
        <f t="shared" si="0"/>
        <v>4.1095890410958905E-5</v>
      </c>
      <c r="K4" s="117">
        <f t="shared" si="0"/>
        <v>0</v>
      </c>
      <c r="L4" s="37">
        <f t="shared" si="0"/>
        <v>6.8493150684931509E-6</v>
      </c>
    </row>
    <row r="5" spans="1:23" ht="15" customHeight="1">
      <c r="A5" s="36"/>
      <c r="B5" s="29" t="s">
        <v>75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114">
        <v>0</v>
      </c>
      <c r="L5" s="32">
        <v>0</v>
      </c>
    </row>
    <row r="6" spans="1:23" s="17" customFormat="1" ht="15" customHeight="1" thickBot="1">
      <c r="A6" s="17" t="s">
        <v>42</v>
      </c>
      <c r="B6" s="125" t="s">
        <v>30</v>
      </c>
      <c r="C6" s="126" t="s">
        <v>21</v>
      </c>
      <c r="D6" s="126" t="s">
        <v>22</v>
      </c>
      <c r="E6" s="126" t="s">
        <v>23</v>
      </c>
      <c r="F6" s="126" t="s">
        <v>31</v>
      </c>
      <c r="G6" s="126" t="s">
        <v>24</v>
      </c>
      <c r="H6" s="126" t="s">
        <v>25</v>
      </c>
      <c r="I6" s="126" t="s">
        <v>26</v>
      </c>
      <c r="J6" s="126" t="s">
        <v>27</v>
      </c>
      <c r="K6" s="126" t="s">
        <v>28</v>
      </c>
      <c r="L6" s="126" t="s">
        <v>29</v>
      </c>
      <c r="M6" s="126"/>
      <c r="N6" s="17" t="s">
        <v>50</v>
      </c>
      <c r="O6" s="17" t="s">
        <v>51</v>
      </c>
    </row>
    <row r="7" spans="1:23" ht="15" customHeight="1">
      <c r="A7" s="11" t="s">
        <v>43</v>
      </c>
      <c r="B7" s="79">
        <v>46082</v>
      </c>
      <c r="C7" s="107">
        <f>3012.9766+C5</f>
        <v>3012.9766</v>
      </c>
      <c r="D7" s="107">
        <f>1840.9691+D5</f>
        <v>1840.9691</v>
      </c>
      <c r="E7" s="107">
        <f>3543.8163+E5</f>
        <v>3543.8163</v>
      </c>
      <c r="F7" s="107">
        <f>2260.2814+F5</f>
        <v>2260.2813999999998</v>
      </c>
      <c r="G7" s="107">
        <f>945.3954+G5</f>
        <v>945.3954</v>
      </c>
      <c r="H7" s="107">
        <f>1729.0918+H5</f>
        <v>1729.0917999999999</v>
      </c>
      <c r="I7" s="107">
        <f>1147.9526+I5</f>
        <v>1147.9526000000001</v>
      </c>
      <c r="J7" s="107">
        <f>1282.9366+J5</f>
        <v>1282.9366</v>
      </c>
      <c r="K7" s="107">
        <f>3535.8029+K5</f>
        <v>3535.8029000000001</v>
      </c>
      <c r="L7" s="107">
        <f>1763.6799+L5</f>
        <v>1763.6799000000001</v>
      </c>
      <c r="M7" s="78"/>
      <c r="N7" s="39">
        <v>1</v>
      </c>
      <c r="O7" s="40" t="s">
        <v>43</v>
      </c>
      <c r="R7" s="55"/>
      <c r="S7" s="55"/>
      <c r="T7" s="55"/>
      <c r="U7" s="55"/>
      <c r="V7" s="55"/>
      <c r="W7" s="55"/>
    </row>
    <row r="8" spans="1:23" ht="15" customHeight="1">
      <c r="A8" s="13" t="str">
        <f t="shared" ref="A8:A71" si="1">VLOOKUP(WEEKDAY(B8),$N$7:$O$13,2)</f>
        <v>Monday</v>
      </c>
      <c r="B8" s="28">
        <f>B7+1</f>
        <v>46083</v>
      </c>
      <c r="C8" s="108">
        <f>ROUND(C7*(1+C$4),4)</f>
        <v>3012.9938999999999</v>
      </c>
      <c r="D8" s="108">
        <f t="shared" ref="D8:L8" si="2">ROUND(D7*(1+D$4),4)</f>
        <v>1840.9792</v>
      </c>
      <c r="E8" s="108">
        <f t="shared" si="2"/>
        <v>3543.8406</v>
      </c>
      <c r="F8" s="108">
        <f t="shared" si="2"/>
        <v>2260.2907</v>
      </c>
      <c r="G8" s="108">
        <f t="shared" si="2"/>
        <v>945.40189999999996</v>
      </c>
      <c r="H8" s="108">
        <f t="shared" si="2"/>
        <v>1729.1007999999999</v>
      </c>
      <c r="I8" s="108">
        <f t="shared" si="2"/>
        <v>1147.9604999999999</v>
      </c>
      <c r="J8" s="108">
        <f>ROUND(J7*(1+J$4),4)</f>
        <v>1282.9893</v>
      </c>
      <c r="K8" s="108">
        <f t="shared" si="2"/>
        <v>3535.8029000000001</v>
      </c>
      <c r="L8" s="108">
        <f t="shared" si="2"/>
        <v>1763.692</v>
      </c>
      <c r="M8" s="77"/>
      <c r="N8" s="12">
        <v>2</v>
      </c>
      <c r="O8" s="41" t="s">
        <v>44</v>
      </c>
      <c r="R8" s="16"/>
      <c r="S8" s="16"/>
      <c r="T8" s="16"/>
      <c r="U8" s="16"/>
      <c r="V8" s="16"/>
      <c r="W8" s="16"/>
    </row>
    <row r="9" spans="1:23" ht="15" customHeight="1">
      <c r="A9" s="13" t="str">
        <f t="shared" si="1"/>
        <v>Tuesday</v>
      </c>
      <c r="B9" s="28">
        <f t="shared" ref="B9:B72" si="3">B8+1</f>
        <v>46084</v>
      </c>
      <c r="C9" s="108">
        <f t="shared" ref="C9:C72" si="4">ROUND(C8*(1+C$4),4)</f>
        <v>3013.0111999999999</v>
      </c>
      <c r="D9" s="108">
        <f t="shared" ref="D9:D72" si="5">ROUND(D8*(1+D$4),4)</f>
        <v>1840.9893</v>
      </c>
      <c r="E9" s="108">
        <f t="shared" ref="E9:E72" si="6">ROUND(E8*(1+E$4),4)</f>
        <v>3543.8649</v>
      </c>
      <c r="F9" s="108">
        <f t="shared" ref="F9:F72" si="7">ROUND(F8*(1+F$4),4)</f>
        <v>2260.3000000000002</v>
      </c>
      <c r="G9" s="108">
        <f t="shared" ref="G9:G72" si="8">ROUND(G8*(1+G$4),4)</f>
        <v>945.40840000000003</v>
      </c>
      <c r="H9" s="108">
        <f t="shared" ref="H9:H72" si="9">ROUND(H8*(1+H$4),4)</f>
        <v>1729.1098</v>
      </c>
      <c r="I9" s="108">
        <f t="shared" ref="I9:I72" si="10">ROUND(I8*(1+I$4),4)</f>
        <v>1147.9684</v>
      </c>
      <c r="J9" s="108">
        <f>ROUND(J8*(1+J$4),4)</f>
        <v>1283.0419999999999</v>
      </c>
      <c r="K9" s="108">
        <f t="shared" ref="K9:K72" si="11">ROUND(K8*(1+K$4),4)</f>
        <v>3535.8029000000001</v>
      </c>
      <c r="L9" s="108">
        <f t="shared" ref="L9:L72" si="12">ROUND(L8*(1+L$4),4)</f>
        <v>1763.7040999999999</v>
      </c>
      <c r="M9" s="77"/>
      <c r="N9" s="12">
        <v>3</v>
      </c>
      <c r="O9" s="41" t="s">
        <v>45</v>
      </c>
    </row>
    <row r="10" spans="1:23" ht="15" customHeight="1">
      <c r="A10" s="13" t="str">
        <f t="shared" si="1"/>
        <v>Wednesday</v>
      </c>
      <c r="B10" s="28">
        <f t="shared" si="3"/>
        <v>46085</v>
      </c>
      <c r="C10" s="108">
        <f t="shared" si="4"/>
        <v>3013.0284999999999</v>
      </c>
      <c r="D10" s="108">
        <f t="shared" si="5"/>
        <v>1840.9993999999999</v>
      </c>
      <c r="E10" s="108">
        <f t="shared" si="6"/>
        <v>3543.8892000000001</v>
      </c>
      <c r="F10" s="108">
        <f t="shared" si="7"/>
        <v>2260.3092999999999</v>
      </c>
      <c r="G10" s="108">
        <f t="shared" si="8"/>
        <v>945.41489999999999</v>
      </c>
      <c r="H10" s="108">
        <f t="shared" si="9"/>
        <v>1729.1188</v>
      </c>
      <c r="I10" s="108">
        <f t="shared" si="10"/>
        <v>1147.9763</v>
      </c>
      <c r="J10" s="108">
        <f t="shared" ref="J10:J72" si="13">ROUND(J9*(1+J$4),4)</f>
        <v>1283.0947000000001</v>
      </c>
      <c r="K10" s="108">
        <f t="shared" si="11"/>
        <v>3535.8029000000001</v>
      </c>
      <c r="L10" s="108">
        <f t="shared" si="12"/>
        <v>1763.7162000000001</v>
      </c>
      <c r="M10" s="77"/>
      <c r="N10" s="12">
        <v>4</v>
      </c>
      <c r="O10" s="41" t="s">
        <v>46</v>
      </c>
    </row>
    <row r="11" spans="1:23" ht="15" customHeight="1">
      <c r="A11" s="13" t="str">
        <f t="shared" si="1"/>
        <v>Thursday</v>
      </c>
      <c r="B11" s="28">
        <f t="shared" si="3"/>
        <v>46086</v>
      </c>
      <c r="C11" s="108">
        <f t="shared" si="4"/>
        <v>3013.0457999999999</v>
      </c>
      <c r="D11" s="108">
        <f t="shared" si="5"/>
        <v>1841.0094999999999</v>
      </c>
      <c r="E11" s="108">
        <f t="shared" si="6"/>
        <v>3543.9135000000001</v>
      </c>
      <c r="F11" s="108">
        <f t="shared" si="7"/>
        <v>2260.3186000000001</v>
      </c>
      <c r="G11" s="108">
        <f t="shared" si="8"/>
        <v>945.42139999999995</v>
      </c>
      <c r="H11" s="108">
        <f t="shared" si="9"/>
        <v>1729.1278</v>
      </c>
      <c r="I11" s="108">
        <f t="shared" si="10"/>
        <v>1147.9842000000001</v>
      </c>
      <c r="J11" s="108">
        <f t="shared" si="13"/>
        <v>1283.1474000000001</v>
      </c>
      <c r="K11" s="108">
        <f t="shared" si="11"/>
        <v>3535.8029000000001</v>
      </c>
      <c r="L11" s="108">
        <f t="shared" si="12"/>
        <v>1763.7283</v>
      </c>
      <c r="M11" s="77"/>
      <c r="N11" s="12">
        <v>5</v>
      </c>
      <c r="O11" s="41" t="s">
        <v>47</v>
      </c>
    </row>
    <row r="12" spans="1:23" ht="15" customHeight="1">
      <c r="A12" s="13" t="str">
        <f t="shared" si="1"/>
        <v>Friday</v>
      </c>
      <c r="B12" s="28">
        <f t="shared" si="3"/>
        <v>46087</v>
      </c>
      <c r="C12" s="108">
        <f t="shared" si="4"/>
        <v>3013.0630999999998</v>
      </c>
      <c r="D12" s="108">
        <f t="shared" si="5"/>
        <v>1841.0196000000001</v>
      </c>
      <c r="E12" s="108">
        <f t="shared" si="6"/>
        <v>3543.9378000000002</v>
      </c>
      <c r="F12" s="108">
        <f t="shared" si="7"/>
        <v>2260.3279000000002</v>
      </c>
      <c r="G12" s="108">
        <f t="shared" si="8"/>
        <v>945.42790000000002</v>
      </c>
      <c r="H12" s="108">
        <f t="shared" si="9"/>
        <v>1729.1368</v>
      </c>
      <c r="I12" s="108">
        <f t="shared" si="10"/>
        <v>1147.9920999999999</v>
      </c>
      <c r="J12" s="108">
        <f t="shared" si="13"/>
        <v>1283.2001</v>
      </c>
      <c r="K12" s="108">
        <f t="shared" si="11"/>
        <v>3535.8029000000001</v>
      </c>
      <c r="L12" s="108">
        <f t="shared" si="12"/>
        <v>1763.7403999999999</v>
      </c>
      <c r="M12" s="77"/>
      <c r="N12" s="12">
        <v>6</v>
      </c>
      <c r="O12" s="41" t="s">
        <v>48</v>
      </c>
    </row>
    <row r="13" spans="1:23" ht="15" customHeight="1" thickBot="1">
      <c r="A13" s="13" t="str">
        <f t="shared" si="1"/>
        <v>Saturday</v>
      </c>
      <c r="B13" s="28">
        <f t="shared" si="3"/>
        <v>46088</v>
      </c>
      <c r="C13" s="108">
        <f t="shared" si="4"/>
        <v>3013.0803999999998</v>
      </c>
      <c r="D13" s="108">
        <f t="shared" si="5"/>
        <v>1841.0297</v>
      </c>
      <c r="E13" s="108">
        <f t="shared" si="6"/>
        <v>3543.9621000000002</v>
      </c>
      <c r="F13" s="108">
        <f t="shared" si="7"/>
        <v>2260.3371999999999</v>
      </c>
      <c r="G13" s="108">
        <f t="shared" si="8"/>
        <v>945.43439999999998</v>
      </c>
      <c r="H13" s="108">
        <f t="shared" si="9"/>
        <v>1729.1458</v>
      </c>
      <c r="I13" s="108">
        <f t="shared" si="10"/>
        <v>1148</v>
      </c>
      <c r="J13" s="108">
        <f t="shared" si="13"/>
        <v>1283.2528</v>
      </c>
      <c r="K13" s="108">
        <f t="shared" si="11"/>
        <v>3535.8029000000001</v>
      </c>
      <c r="L13" s="108">
        <f t="shared" si="12"/>
        <v>1763.7525000000001</v>
      </c>
      <c r="M13" s="77"/>
      <c r="N13" s="42">
        <v>7</v>
      </c>
      <c r="O13" s="43" t="s">
        <v>49</v>
      </c>
    </row>
    <row r="14" spans="1:23" ht="15" customHeight="1">
      <c r="A14" s="13" t="str">
        <f t="shared" si="1"/>
        <v>Sunday</v>
      </c>
      <c r="B14" s="28">
        <f t="shared" si="3"/>
        <v>46089</v>
      </c>
      <c r="C14" s="108">
        <f t="shared" si="4"/>
        <v>3013.0976999999998</v>
      </c>
      <c r="D14" s="108">
        <f t="shared" si="5"/>
        <v>1841.0398</v>
      </c>
      <c r="E14" s="108">
        <f t="shared" si="6"/>
        <v>3543.9863999999998</v>
      </c>
      <c r="F14" s="108">
        <f t="shared" si="7"/>
        <v>2260.3465000000001</v>
      </c>
      <c r="G14" s="108">
        <f t="shared" si="8"/>
        <v>945.44090000000006</v>
      </c>
      <c r="H14" s="108">
        <f t="shared" si="9"/>
        <v>1729.1548</v>
      </c>
      <c r="I14" s="108">
        <f t="shared" si="10"/>
        <v>1148.0079000000001</v>
      </c>
      <c r="J14" s="108">
        <f t="shared" si="13"/>
        <v>1283.3054999999999</v>
      </c>
      <c r="K14" s="108">
        <f t="shared" si="11"/>
        <v>3535.8029000000001</v>
      </c>
      <c r="L14" s="108">
        <f t="shared" si="12"/>
        <v>1763.7646</v>
      </c>
      <c r="M14" s="77"/>
    </row>
    <row r="15" spans="1:23" ht="15" customHeight="1">
      <c r="A15" s="13" t="str">
        <f t="shared" si="1"/>
        <v>Monday</v>
      </c>
      <c r="B15" s="28">
        <f t="shared" si="3"/>
        <v>46090</v>
      </c>
      <c r="C15" s="108">
        <f t="shared" si="4"/>
        <v>3013.1149999999998</v>
      </c>
      <c r="D15" s="108">
        <f t="shared" si="5"/>
        <v>1841.0499</v>
      </c>
      <c r="E15" s="108">
        <f t="shared" si="6"/>
        <v>3544.0106999999998</v>
      </c>
      <c r="F15" s="108">
        <f t="shared" si="7"/>
        <v>2260.3557999999998</v>
      </c>
      <c r="G15" s="108">
        <f t="shared" si="8"/>
        <v>945.44740000000002</v>
      </c>
      <c r="H15" s="108">
        <f t="shared" si="9"/>
        <v>1729.1638</v>
      </c>
      <c r="I15" s="108">
        <f t="shared" si="10"/>
        <v>1148.0157999999999</v>
      </c>
      <c r="J15" s="108">
        <f t="shared" si="13"/>
        <v>1283.3581999999999</v>
      </c>
      <c r="K15" s="108">
        <f t="shared" si="11"/>
        <v>3535.8029000000001</v>
      </c>
      <c r="L15" s="108">
        <f t="shared" si="12"/>
        <v>1763.7766999999999</v>
      </c>
      <c r="M15" s="77"/>
    </row>
    <row r="16" spans="1:23" ht="15" customHeight="1">
      <c r="A16" s="13" t="str">
        <f t="shared" si="1"/>
        <v>Tuesday</v>
      </c>
      <c r="B16" s="28">
        <f t="shared" si="3"/>
        <v>46091</v>
      </c>
      <c r="C16" s="108">
        <f t="shared" si="4"/>
        <v>3013.1323000000002</v>
      </c>
      <c r="D16" s="108">
        <f t="shared" si="5"/>
        <v>1841.06</v>
      </c>
      <c r="E16" s="108">
        <f t="shared" si="6"/>
        <v>3544.0349999999999</v>
      </c>
      <c r="F16" s="108">
        <f t="shared" si="7"/>
        <v>2260.3651</v>
      </c>
      <c r="G16" s="108">
        <f t="shared" si="8"/>
        <v>945.45389999999998</v>
      </c>
      <c r="H16" s="108">
        <f t="shared" si="9"/>
        <v>1729.1728000000001</v>
      </c>
      <c r="I16" s="108">
        <f t="shared" si="10"/>
        <v>1148.0237</v>
      </c>
      <c r="J16" s="108">
        <f t="shared" si="13"/>
        <v>1283.4109000000001</v>
      </c>
      <c r="K16" s="108">
        <f t="shared" si="11"/>
        <v>3535.8029000000001</v>
      </c>
      <c r="L16" s="108">
        <f t="shared" si="12"/>
        <v>1763.7888</v>
      </c>
      <c r="M16" s="77"/>
    </row>
    <row r="17" spans="1:15" ht="15" customHeight="1">
      <c r="A17" s="13" t="str">
        <f t="shared" si="1"/>
        <v>Wednesday</v>
      </c>
      <c r="B17" s="28">
        <f t="shared" si="3"/>
        <v>46092</v>
      </c>
      <c r="C17" s="108">
        <f t="shared" si="4"/>
        <v>3013.1496000000002</v>
      </c>
      <c r="D17" s="108">
        <f t="shared" si="5"/>
        <v>1841.0700999999999</v>
      </c>
      <c r="E17" s="108">
        <f t="shared" si="6"/>
        <v>3544.0592999999999</v>
      </c>
      <c r="F17" s="108">
        <f t="shared" si="7"/>
        <v>2260.3744000000002</v>
      </c>
      <c r="G17" s="108">
        <f t="shared" si="8"/>
        <v>945.46040000000005</v>
      </c>
      <c r="H17" s="108">
        <f t="shared" si="9"/>
        <v>1729.1818000000001</v>
      </c>
      <c r="I17" s="108">
        <f t="shared" si="10"/>
        <v>1148.0316</v>
      </c>
      <c r="J17" s="108">
        <f t="shared" si="13"/>
        <v>1283.4636</v>
      </c>
      <c r="K17" s="108">
        <f t="shared" si="11"/>
        <v>3535.8029000000001</v>
      </c>
      <c r="L17" s="108">
        <f t="shared" si="12"/>
        <v>1763.8009</v>
      </c>
      <c r="M17" s="77"/>
    </row>
    <row r="18" spans="1:15" s="11" customFormat="1" ht="15" customHeight="1">
      <c r="A18" s="13" t="str">
        <f t="shared" si="1"/>
        <v>Thursday</v>
      </c>
      <c r="B18" s="28">
        <f t="shared" si="3"/>
        <v>46093</v>
      </c>
      <c r="C18" s="108">
        <f t="shared" si="4"/>
        <v>3013.1669000000002</v>
      </c>
      <c r="D18" s="108">
        <f t="shared" si="5"/>
        <v>1841.0802000000001</v>
      </c>
      <c r="E18" s="108">
        <f t="shared" si="6"/>
        <v>3544.0835999999999</v>
      </c>
      <c r="F18" s="108">
        <f t="shared" si="7"/>
        <v>2260.3836999999999</v>
      </c>
      <c r="G18" s="108">
        <f t="shared" si="8"/>
        <v>945.46690000000001</v>
      </c>
      <c r="H18" s="108">
        <f t="shared" si="9"/>
        <v>1729.1908000000001</v>
      </c>
      <c r="I18" s="108">
        <f t="shared" si="10"/>
        <v>1148.0395000000001</v>
      </c>
      <c r="J18" s="108">
        <f t="shared" si="13"/>
        <v>1283.5163</v>
      </c>
      <c r="K18" s="108">
        <f t="shared" si="11"/>
        <v>3535.8029000000001</v>
      </c>
      <c r="L18" s="108">
        <f t="shared" si="12"/>
        <v>1763.8130000000001</v>
      </c>
      <c r="M18" s="77"/>
      <c r="O18" s="13"/>
    </row>
    <row r="19" spans="1:15" ht="15" customHeight="1">
      <c r="A19" s="13" t="str">
        <f t="shared" si="1"/>
        <v>Friday</v>
      </c>
      <c r="B19" s="28">
        <f t="shared" si="3"/>
        <v>46094</v>
      </c>
      <c r="C19" s="108">
        <f t="shared" si="4"/>
        <v>3013.1842000000001</v>
      </c>
      <c r="D19" s="108">
        <f t="shared" si="5"/>
        <v>1841.0903000000001</v>
      </c>
      <c r="E19" s="108">
        <f t="shared" si="6"/>
        <v>3544.1079</v>
      </c>
      <c r="F19" s="108">
        <f t="shared" si="7"/>
        <v>2260.393</v>
      </c>
      <c r="G19" s="108">
        <f t="shared" si="8"/>
        <v>945.47339999999997</v>
      </c>
      <c r="H19" s="108">
        <f t="shared" si="9"/>
        <v>1729.1998000000001</v>
      </c>
      <c r="I19" s="108">
        <f t="shared" si="10"/>
        <v>1148.0473999999999</v>
      </c>
      <c r="J19" s="108">
        <f t="shared" si="13"/>
        <v>1283.569</v>
      </c>
      <c r="K19" s="108">
        <f t="shared" si="11"/>
        <v>3535.8029000000001</v>
      </c>
      <c r="L19" s="108">
        <f t="shared" si="12"/>
        <v>1763.8251</v>
      </c>
      <c r="M19" s="77"/>
    </row>
    <row r="20" spans="1:15" ht="15" customHeight="1">
      <c r="A20" s="13" t="str">
        <f t="shared" si="1"/>
        <v>Saturday</v>
      </c>
      <c r="B20" s="28">
        <f t="shared" si="3"/>
        <v>46095</v>
      </c>
      <c r="C20" s="108">
        <f t="shared" si="4"/>
        <v>3013.2015000000001</v>
      </c>
      <c r="D20" s="108">
        <f t="shared" si="5"/>
        <v>1841.1004</v>
      </c>
      <c r="E20" s="108">
        <f t="shared" si="6"/>
        <v>3544.1322</v>
      </c>
      <c r="F20" s="108">
        <f t="shared" si="7"/>
        <v>2260.4023000000002</v>
      </c>
      <c r="G20" s="108">
        <f t="shared" si="8"/>
        <v>945.47990000000004</v>
      </c>
      <c r="H20" s="108">
        <f t="shared" si="9"/>
        <v>1729.2088000000001</v>
      </c>
      <c r="I20" s="108">
        <f t="shared" si="10"/>
        <v>1148.0553</v>
      </c>
      <c r="J20" s="108">
        <f t="shared" si="13"/>
        <v>1283.6216999999999</v>
      </c>
      <c r="K20" s="108">
        <f t="shared" si="11"/>
        <v>3535.8029000000001</v>
      </c>
      <c r="L20" s="108">
        <f t="shared" si="12"/>
        <v>1763.8371999999999</v>
      </c>
      <c r="M20" s="77"/>
    </row>
    <row r="21" spans="1:15" ht="15" customHeight="1">
      <c r="A21" s="13" t="str">
        <f t="shared" si="1"/>
        <v>Sunday</v>
      </c>
      <c r="B21" s="28">
        <f t="shared" si="3"/>
        <v>46096</v>
      </c>
      <c r="C21" s="108">
        <f t="shared" si="4"/>
        <v>3013.2188000000001</v>
      </c>
      <c r="D21" s="108">
        <f t="shared" si="5"/>
        <v>1841.1105</v>
      </c>
      <c r="E21" s="108">
        <f t="shared" si="6"/>
        <v>3544.1565000000001</v>
      </c>
      <c r="F21" s="108">
        <f t="shared" si="7"/>
        <v>2260.4115999999999</v>
      </c>
      <c r="G21" s="108">
        <f t="shared" si="8"/>
        <v>945.4864</v>
      </c>
      <c r="H21" s="108">
        <f t="shared" si="9"/>
        <v>1729.2177999999999</v>
      </c>
      <c r="I21" s="108">
        <f t="shared" si="10"/>
        <v>1148.0632000000001</v>
      </c>
      <c r="J21" s="108">
        <f t="shared" si="13"/>
        <v>1283.6745000000001</v>
      </c>
      <c r="K21" s="108">
        <f t="shared" si="11"/>
        <v>3535.8029000000001</v>
      </c>
      <c r="L21" s="108">
        <f t="shared" si="12"/>
        <v>1763.8493000000001</v>
      </c>
      <c r="M21" s="77"/>
    </row>
    <row r="22" spans="1:15" ht="15" customHeight="1">
      <c r="A22" s="13" t="str">
        <f t="shared" si="1"/>
        <v>Monday</v>
      </c>
      <c r="B22" s="28">
        <f t="shared" si="3"/>
        <v>46097</v>
      </c>
      <c r="C22" s="108">
        <f t="shared" si="4"/>
        <v>3013.2361000000001</v>
      </c>
      <c r="D22" s="108">
        <f t="shared" si="5"/>
        <v>1841.1206</v>
      </c>
      <c r="E22" s="108">
        <f t="shared" si="6"/>
        <v>3544.1808000000001</v>
      </c>
      <c r="F22" s="108">
        <f t="shared" si="7"/>
        <v>2260.4209000000001</v>
      </c>
      <c r="G22" s="108">
        <f t="shared" si="8"/>
        <v>945.49289999999996</v>
      </c>
      <c r="H22" s="108">
        <f t="shared" si="9"/>
        <v>1729.2267999999999</v>
      </c>
      <c r="I22" s="108">
        <f t="shared" si="10"/>
        <v>1148.0710999999999</v>
      </c>
      <c r="J22" s="108">
        <f t="shared" si="13"/>
        <v>1283.7273</v>
      </c>
      <c r="K22" s="108">
        <f t="shared" si="11"/>
        <v>3535.8029000000001</v>
      </c>
      <c r="L22" s="108">
        <f t="shared" si="12"/>
        <v>1763.8614</v>
      </c>
      <c r="M22" s="77"/>
    </row>
    <row r="23" spans="1:15" ht="15" customHeight="1">
      <c r="A23" s="13" t="str">
        <f t="shared" si="1"/>
        <v>Tuesday</v>
      </c>
      <c r="B23" s="28">
        <f t="shared" si="3"/>
        <v>46098</v>
      </c>
      <c r="C23" s="108">
        <f t="shared" si="4"/>
        <v>3013.2534000000001</v>
      </c>
      <c r="D23" s="108">
        <f t="shared" si="5"/>
        <v>1841.1306999999999</v>
      </c>
      <c r="E23" s="108">
        <f t="shared" si="6"/>
        <v>3544.2051000000001</v>
      </c>
      <c r="F23" s="108">
        <f t="shared" si="7"/>
        <v>2260.4301999999998</v>
      </c>
      <c r="G23" s="108">
        <f t="shared" si="8"/>
        <v>945.49940000000004</v>
      </c>
      <c r="H23" s="108">
        <f t="shared" si="9"/>
        <v>1729.2357999999999</v>
      </c>
      <c r="I23" s="108">
        <f t="shared" si="10"/>
        <v>1148.079</v>
      </c>
      <c r="J23" s="108">
        <f t="shared" si="13"/>
        <v>1283.7800999999999</v>
      </c>
      <c r="K23" s="108">
        <f t="shared" si="11"/>
        <v>3535.8029000000001</v>
      </c>
      <c r="L23" s="108">
        <f t="shared" si="12"/>
        <v>1763.8734999999999</v>
      </c>
      <c r="M23" s="77"/>
    </row>
    <row r="24" spans="1:15" s="18" customFormat="1" ht="15" customHeight="1">
      <c r="A24" s="18" t="str">
        <f t="shared" si="1"/>
        <v>Wednesday</v>
      </c>
      <c r="B24" s="62">
        <f t="shared" si="3"/>
        <v>46099</v>
      </c>
      <c r="C24" s="108">
        <f t="shared" si="4"/>
        <v>3013.2707</v>
      </c>
      <c r="D24" s="108">
        <f t="shared" si="5"/>
        <v>1841.1407999999999</v>
      </c>
      <c r="E24" s="108">
        <f t="shared" si="6"/>
        <v>3544.2294000000002</v>
      </c>
      <c r="F24" s="108">
        <f t="shared" si="7"/>
        <v>2260.4395</v>
      </c>
      <c r="G24" s="108">
        <f t="shared" si="8"/>
        <v>945.5059</v>
      </c>
      <c r="H24" s="108">
        <f t="shared" si="9"/>
        <v>1729.2447999999999</v>
      </c>
      <c r="I24" s="108">
        <f t="shared" si="10"/>
        <v>1148.0869</v>
      </c>
      <c r="J24" s="108">
        <f t="shared" si="13"/>
        <v>1283.8329000000001</v>
      </c>
      <c r="K24" s="108">
        <f t="shared" si="11"/>
        <v>3535.8029000000001</v>
      </c>
      <c r="L24" s="108">
        <f t="shared" si="12"/>
        <v>1763.8856000000001</v>
      </c>
      <c r="M24" s="77"/>
      <c r="N24" s="13"/>
    </row>
    <row r="25" spans="1:15" ht="15" customHeight="1">
      <c r="A25" s="13" t="str">
        <f t="shared" si="1"/>
        <v>Thursday</v>
      </c>
      <c r="B25" s="28">
        <f t="shared" si="3"/>
        <v>46100</v>
      </c>
      <c r="C25" s="108">
        <f t="shared" si="4"/>
        <v>3013.288</v>
      </c>
      <c r="D25" s="108">
        <f t="shared" si="5"/>
        <v>1841.1509000000001</v>
      </c>
      <c r="E25" s="108">
        <f t="shared" si="6"/>
        <v>3544.2537000000002</v>
      </c>
      <c r="F25" s="108">
        <f t="shared" si="7"/>
        <v>2260.4488000000001</v>
      </c>
      <c r="G25" s="108">
        <f t="shared" si="8"/>
        <v>945.51239999999996</v>
      </c>
      <c r="H25" s="108">
        <f t="shared" si="9"/>
        <v>1729.2538</v>
      </c>
      <c r="I25" s="108">
        <f t="shared" si="10"/>
        <v>1148.0948000000001</v>
      </c>
      <c r="J25" s="108">
        <f t="shared" si="13"/>
        <v>1283.8857</v>
      </c>
      <c r="K25" s="108">
        <f t="shared" si="11"/>
        <v>3535.8029000000001</v>
      </c>
      <c r="L25" s="108">
        <f t="shared" si="12"/>
        <v>1763.8977</v>
      </c>
      <c r="M25" s="77"/>
    </row>
    <row r="26" spans="1:15" ht="15" customHeight="1">
      <c r="A26" s="13" t="str">
        <f t="shared" si="1"/>
        <v>Friday</v>
      </c>
      <c r="B26" s="28">
        <f t="shared" si="3"/>
        <v>46101</v>
      </c>
      <c r="C26" s="108">
        <f t="shared" si="4"/>
        <v>3013.3053</v>
      </c>
      <c r="D26" s="108">
        <f t="shared" si="5"/>
        <v>1841.1610000000001</v>
      </c>
      <c r="E26" s="108">
        <f t="shared" si="6"/>
        <v>3544.2779999999998</v>
      </c>
      <c r="F26" s="108">
        <f t="shared" si="7"/>
        <v>2260.4580999999998</v>
      </c>
      <c r="G26" s="108">
        <f t="shared" si="8"/>
        <v>945.51890000000003</v>
      </c>
      <c r="H26" s="108">
        <f t="shared" si="9"/>
        <v>1729.2628</v>
      </c>
      <c r="I26" s="108">
        <f t="shared" si="10"/>
        <v>1148.1026999999999</v>
      </c>
      <c r="J26" s="108">
        <f t="shared" si="13"/>
        <v>1283.9385</v>
      </c>
      <c r="K26" s="108">
        <f t="shared" si="11"/>
        <v>3535.8029000000001</v>
      </c>
      <c r="L26" s="108">
        <f t="shared" si="12"/>
        <v>1763.9097999999999</v>
      </c>
      <c r="M26" s="77"/>
    </row>
    <row r="27" spans="1:15" ht="15" customHeight="1">
      <c r="A27" s="13" t="str">
        <f t="shared" si="1"/>
        <v>Saturday</v>
      </c>
      <c r="B27" s="28">
        <f t="shared" si="3"/>
        <v>46102</v>
      </c>
      <c r="C27" s="108">
        <f t="shared" si="4"/>
        <v>3013.3226</v>
      </c>
      <c r="D27" s="108">
        <f t="shared" si="5"/>
        <v>1841.1711</v>
      </c>
      <c r="E27" s="108">
        <f t="shared" si="6"/>
        <v>3544.3022999999998</v>
      </c>
      <c r="F27" s="108">
        <f t="shared" si="7"/>
        <v>2260.4674</v>
      </c>
      <c r="G27" s="108">
        <f t="shared" si="8"/>
        <v>945.52539999999999</v>
      </c>
      <c r="H27" s="108">
        <f t="shared" si="9"/>
        <v>1729.2718</v>
      </c>
      <c r="I27" s="108">
        <f t="shared" si="10"/>
        <v>1148.1106</v>
      </c>
      <c r="J27" s="108">
        <f t="shared" si="13"/>
        <v>1283.9912999999999</v>
      </c>
      <c r="K27" s="108">
        <f t="shared" si="11"/>
        <v>3535.8029000000001</v>
      </c>
      <c r="L27" s="108">
        <f t="shared" si="12"/>
        <v>1763.9219000000001</v>
      </c>
      <c r="M27" s="77"/>
    </row>
    <row r="28" spans="1:15" ht="15" customHeight="1">
      <c r="A28" s="13" t="str">
        <f t="shared" si="1"/>
        <v>Sunday</v>
      </c>
      <c r="B28" s="28">
        <f t="shared" si="3"/>
        <v>46103</v>
      </c>
      <c r="C28" s="108">
        <f t="shared" si="4"/>
        <v>3013.3398999999999</v>
      </c>
      <c r="D28" s="108">
        <f t="shared" si="5"/>
        <v>1841.1812</v>
      </c>
      <c r="E28" s="108">
        <f t="shared" si="6"/>
        <v>3544.3265999999999</v>
      </c>
      <c r="F28" s="108">
        <f t="shared" si="7"/>
        <v>2260.4767000000002</v>
      </c>
      <c r="G28" s="108">
        <f t="shared" si="8"/>
        <v>945.53189999999995</v>
      </c>
      <c r="H28" s="108">
        <f t="shared" si="9"/>
        <v>1729.2808</v>
      </c>
      <c r="I28" s="108">
        <f t="shared" si="10"/>
        <v>1148.1185</v>
      </c>
      <c r="J28" s="108">
        <f t="shared" si="13"/>
        <v>1284.0441000000001</v>
      </c>
      <c r="K28" s="108">
        <f t="shared" si="11"/>
        <v>3535.8029000000001</v>
      </c>
      <c r="L28" s="108">
        <f t="shared" si="12"/>
        <v>1763.934</v>
      </c>
      <c r="M28" s="77"/>
    </row>
    <row r="29" spans="1:15" ht="15" customHeight="1">
      <c r="A29" s="13" t="str">
        <f t="shared" si="1"/>
        <v>Monday</v>
      </c>
      <c r="B29" s="28">
        <f t="shared" si="3"/>
        <v>46104</v>
      </c>
      <c r="C29" s="108">
        <f t="shared" si="4"/>
        <v>3013.3571999999999</v>
      </c>
      <c r="D29" s="108">
        <f t="shared" si="5"/>
        <v>1841.1913</v>
      </c>
      <c r="E29" s="108">
        <f t="shared" si="6"/>
        <v>3544.3508999999999</v>
      </c>
      <c r="F29" s="108">
        <f t="shared" si="7"/>
        <v>2260.4859999999999</v>
      </c>
      <c r="G29" s="108">
        <f t="shared" si="8"/>
        <v>945.53840000000002</v>
      </c>
      <c r="H29" s="108">
        <f t="shared" si="9"/>
        <v>1729.2898</v>
      </c>
      <c r="I29" s="108">
        <f t="shared" si="10"/>
        <v>1148.1264000000001</v>
      </c>
      <c r="J29" s="108">
        <f t="shared" si="13"/>
        <v>1284.0969</v>
      </c>
      <c r="K29" s="108">
        <f t="shared" si="11"/>
        <v>3535.8029000000001</v>
      </c>
      <c r="L29" s="108">
        <f t="shared" si="12"/>
        <v>1763.9460999999999</v>
      </c>
      <c r="M29" s="77"/>
    </row>
    <row r="30" spans="1:15" ht="15" customHeight="1">
      <c r="A30" s="13" t="str">
        <f t="shared" si="1"/>
        <v>Tuesday</v>
      </c>
      <c r="B30" s="28">
        <f t="shared" si="3"/>
        <v>46105</v>
      </c>
      <c r="C30" s="108">
        <f t="shared" si="4"/>
        <v>3013.3744999999999</v>
      </c>
      <c r="D30" s="108">
        <f t="shared" si="5"/>
        <v>1841.2013999999999</v>
      </c>
      <c r="E30" s="108">
        <f t="shared" si="6"/>
        <v>3544.3751999999999</v>
      </c>
      <c r="F30" s="108">
        <f t="shared" si="7"/>
        <v>2260.4953</v>
      </c>
      <c r="G30" s="108">
        <f t="shared" si="8"/>
        <v>945.54489999999998</v>
      </c>
      <c r="H30" s="108">
        <f t="shared" si="9"/>
        <v>1729.2988</v>
      </c>
      <c r="I30" s="108">
        <f t="shared" si="10"/>
        <v>1148.1342999999999</v>
      </c>
      <c r="J30" s="108">
        <f t="shared" si="13"/>
        <v>1284.1496999999999</v>
      </c>
      <c r="K30" s="108">
        <f t="shared" si="11"/>
        <v>3535.8029000000001</v>
      </c>
      <c r="L30" s="108">
        <f t="shared" si="12"/>
        <v>1763.9582</v>
      </c>
      <c r="M30" s="77"/>
    </row>
    <row r="31" spans="1:15" ht="15" customHeight="1">
      <c r="A31" s="13" t="str">
        <f t="shared" si="1"/>
        <v>Wednesday</v>
      </c>
      <c r="B31" s="28">
        <f t="shared" si="3"/>
        <v>46106</v>
      </c>
      <c r="C31" s="108">
        <f t="shared" si="4"/>
        <v>3013.3917999999999</v>
      </c>
      <c r="D31" s="108">
        <f t="shared" si="5"/>
        <v>1841.2114999999999</v>
      </c>
      <c r="E31" s="108">
        <f t="shared" si="6"/>
        <v>3544.3995</v>
      </c>
      <c r="F31" s="108">
        <f t="shared" si="7"/>
        <v>2260.5046000000002</v>
      </c>
      <c r="G31" s="108">
        <f t="shared" si="8"/>
        <v>945.55139999999994</v>
      </c>
      <c r="H31" s="108">
        <f t="shared" si="9"/>
        <v>1729.3078</v>
      </c>
      <c r="I31" s="108">
        <f t="shared" si="10"/>
        <v>1148.1422</v>
      </c>
      <c r="J31" s="108">
        <f t="shared" si="13"/>
        <v>1284.2025000000001</v>
      </c>
      <c r="K31" s="108">
        <f t="shared" si="11"/>
        <v>3535.8029000000001</v>
      </c>
      <c r="L31" s="108">
        <f t="shared" si="12"/>
        <v>1763.9703</v>
      </c>
      <c r="M31" s="77"/>
    </row>
    <row r="32" spans="1:15" ht="15" customHeight="1">
      <c r="A32" s="13" t="str">
        <f t="shared" si="1"/>
        <v>Thursday</v>
      </c>
      <c r="B32" s="28">
        <f t="shared" si="3"/>
        <v>46107</v>
      </c>
      <c r="C32" s="108">
        <f t="shared" si="4"/>
        <v>3013.4090999999999</v>
      </c>
      <c r="D32" s="108">
        <f t="shared" si="5"/>
        <v>1841.2216000000001</v>
      </c>
      <c r="E32" s="108">
        <f t="shared" si="6"/>
        <v>3544.4238</v>
      </c>
      <c r="F32" s="108">
        <f t="shared" si="7"/>
        <v>2260.5138999999999</v>
      </c>
      <c r="G32" s="108">
        <f t="shared" si="8"/>
        <v>945.55790000000002</v>
      </c>
      <c r="H32" s="108">
        <f t="shared" si="9"/>
        <v>1729.3168000000001</v>
      </c>
      <c r="I32" s="108">
        <f t="shared" si="10"/>
        <v>1148.1501000000001</v>
      </c>
      <c r="J32" s="108">
        <f t="shared" si="13"/>
        <v>1284.2553</v>
      </c>
      <c r="K32" s="108">
        <f t="shared" si="11"/>
        <v>3535.8029000000001</v>
      </c>
      <c r="L32" s="108">
        <f t="shared" si="12"/>
        <v>1763.9824000000001</v>
      </c>
      <c r="M32" s="77"/>
    </row>
    <row r="33" spans="1:13" ht="15" customHeight="1">
      <c r="A33" s="13" t="str">
        <f t="shared" si="1"/>
        <v>Friday</v>
      </c>
      <c r="B33" s="28">
        <f t="shared" si="3"/>
        <v>46108</v>
      </c>
      <c r="C33" s="108">
        <f t="shared" si="4"/>
        <v>3013.4263999999998</v>
      </c>
      <c r="D33" s="108">
        <f t="shared" si="5"/>
        <v>1841.2317</v>
      </c>
      <c r="E33" s="108">
        <f t="shared" si="6"/>
        <v>3544.4481000000001</v>
      </c>
      <c r="F33" s="108">
        <f t="shared" si="7"/>
        <v>2260.5232000000001</v>
      </c>
      <c r="G33" s="108">
        <f t="shared" si="8"/>
        <v>945.56439999999998</v>
      </c>
      <c r="H33" s="108">
        <f t="shared" si="9"/>
        <v>1729.3258000000001</v>
      </c>
      <c r="I33" s="108">
        <f t="shared" si="10"/>
        <v>1148.1579999999999</v>
      </c>
      <c r="J33" s="108">
        <f t="shared" si="13"/>
        <v>1284.3081</v>
      </c>
      <c r="K33" s="108">
        <f t="shared" si="11"/>
        <v>3535.8029000000001</v>
      </c>
      <c r="L33" s="108">
        <f t="shared" si="12"/>
        <v>1763.9945</v>
      </c>
      <c r="M33" s="77"/>
    </row>
    <row r="34" spans="1:13" ht="15" customHeight="1">
      <c r="A34" s="13" t="str">
        <f t="shared" si="1"/>
        <v>Saturday</v>
      </c>
      <c r="B34" s="28">
        <f t="shared" si="3"/>
        <v>46109</v>
      </c>
      <c r="C34" s="108">
        <f t="shared" si="4"/>
        <v>3013.4436999999998</v>
      </c>
      <c r="D34" s="108">
        <f t="shared" si="5"/>
        <v>1841.2418</v>
      </c>
      <c r="E34" s="108">
        <f t="shared" si="6"/>
        <v>3544.4724000000001</v>
      </c>
      <c r="F34" s="108">
        <f t="shared" si="7"/>
        <v>2260.5324999999998</v>
      </c>
      <c r="G34" s="108">
        <f t="shared" si="8"/>
        <v>945.57090000000005</v>
      </c>
      <c r="H34" s="108">
        <f t="shared" si="9"/>
        <v>1729.3348000000001</v>
      </c>
      <c r="I34" s="108">
        <f t="shared" si="10"/>
        <v>1148.1659</v>
      </c>
      <c r="J34" s="108">
        <f t="shared" si="13"/>
        <v>1284.3608999999999</v>
      </c>
      <c r="K34" s="108">
        <f t="shared" si="11"/>
        <v>3535.8029000000001</v>
      </c>
      <c r="L34" s="108">
        <f t="shared" si="12"/>
        <v>1764.0065999999999</v>
      </c>
      <c r="M34" s="77"/>
    </row>
    <row r="35" spans="1:13" ht="15" customHeight="1">
      <c r="A35" s="13" t="str">
        <f t="shared" si="1"/>
        <v>Sunday</v>
      </c>
      <c r="B35" s="28">
        <f t="shared" si="3"/>
        <v>46110</v>
      </c>
      <c r="C35" s="108">
        <f t="shared" si="4"/>
        <v>3013.4609999999998</v>
      </c>
      <c r="D35" s="108">
        <f t="shared" si="5"/>
        <v>1841.2519</v>
      </c>
      <c r="E35" s="108">
        <f t="shared" si="6"/>
        <v>3544.4967000000001</v>
      </c>
      <c r="F35" s="108">
        <f t="shared" si="7"/>
        <v>2260.5418</v>
      </c>
      <c r="G35" s="108">
        <f t="shared" si="8"/>
        <v>945.57740000000001</v>
      </c>
      <c r="H35" s="108">
        <f t="shared" si="9"/>
        <v>1729.3438000000001</v>
      </c>
      <c r="I35" s="108">
        <f t="shared" si="10"/>
        <v>1148.1738</v>
      </c>
      <c r="J35" s="108">
        <f t="shared" si="13"/>
        <v>1284.4137000000001</v>
      </c>
      <c r="K35" s="108">
        <f t="shared" si="11"/>
        <v>3535.8029000000001</v>
      </c>
      <c r="L35" s="108">
        <f t="shared" si="12"/>
        <v>1764.0187000000001</v>
      </c>
      <c r="M35" s="77"/>
    </row>
    <row r="36" spans="1:13" s="18" customFormat="1" ht="15" customHeight="1">
      <c r="A36" s="18" t="str">
        <f t="shared" si="1"/>
        <v>Monday</v>
      </c>
      <c r="B36" s="62">
        <f t="shared" si="3"/>
        <v>46111</v>
      </c>
      <c r="C36" s="108">
        <f t="shared" si="4"/>
        <v>3013.4783000000002</v>
      </c>
      <c r="D36" s="108">
        <f t="shared" si="5"/>
        <v>1841.2619999999999</v>
      </c>
      <c r="E36" s="108">
        <f t="shared" si="6"/>
        <v>3544.5210000000002</v>
      </c>
      <c r="F36" s="108">
        <f t="shared" si="7"/>
        <v>2260.5511000000001</v>
      </c>
      <c r="G36" s="108">
        <f t="shared" si="8"/>
        <v>945.58389999999997</v>
      </c>
      <c r="H36" s="108">
        <f t="shared" si="9"/>
        <v>1729.3527999999999</v>
      </c>
      <c r="I36" s="108">
        <f t="shared" si="10"/>
        <v>1148.1817000000001</v>
      </c>
      <c r="J36" s="108">
        <f t="shared" si="13"/>
        <v>1284.4665</v>
      </c>
      <c r="K36" s="108">
        <f t="shared" si="11"/>
        <v>3535.8029000000001</v>
      </c>
      <c r="L36" s="108">
        <f t="shared" si="12"/>
        <v>1764.0308</v>
      </c>
      <c r="M36" s="77"/>
    </row>
    <row r="37" spans="1:13" ht="15" customHeight="1">
      <c r="A37" s="13" t="str">
        <f t="shared" si="1"/>
        <v>Tuesday</v>
      </c>
      <c r="B37" s="28">
        <f t="shared" si="3"/>
        <v>46112</v>
      </c>
      <c r="C37" s="108">
        <f t="shared" si="4"/>
        <v>3013.4956000000002</v>
      </c>
      <c r="D37" s="108">
        <f t="shared" si="5"/>
        <v>1841.2720999999999</v>
      </c>
      <c r="E37" s="108">
        <f t="shared" si="6"/>
        <v>3544.5453000000002</v>
      </c>
      <c r="F37" s="108">
        <f t="shared" si="7"/>
        <v>2260.5603999999998</v>
      </c>
      <c r="G37" s="108">
        <f t="shared" si="8"/>
        <v>945.59040000000005</v>
      </c>
      <c r="H37" s="108">
        <f t="shared" si="9"/>
        <v>1729.3617999999999</v>
      </c>
      <c r="I37" s="108">
        <f t="shared" si="10"/>
        <v>1148.1895999999999</v>
      </c>
      <c r="J37" s="108">
        <f t="shared" si="13"/>
        <v>1284.5192999999999</v>
      </c>
      <c r="K37" s="108">
        <f t="shared" si="11"/>
        <v>3535.8029000000001</v>
      </c>
      <c r="L37" s="108">
        <f t="shared" si="12"/>
        <v>1764.0428999999999</v>
      </c>
      <c r="M37" s="77"/>
    </row>
    <row r="38" spans="1:13" s="11" customFormat="1" ht="15" customHeight="1">
      <c r="A38" s="13" t="str">
        <f t="shared" si="1"/>
        <v>Wednesday</v>
      </c>
      <c r="B38" s="28">
        <f t="shared" si="3"/>
        <v>46113</v>
      </c>
      <c r="C38" s="108">
        <f t="shared" si="4"/>
        <v>3013.5129000000002</v>
      </c>
      <c r="D38" s="108">
        <f t="shared" si="5"/>
        <v>1841.2822000000001</v>
      </c>
      <c r="E38" s="108">
        <f t="shared" si="6"/>
        <v>3544.5695999999998</v>
      </c>
      <c r="F38" s="108">
        <f t="shared" si="7"/>
        <v>2260.5697</v>
      </c>
      <c r="G38" s="108">
        <f t="shared" si="8"/>
        <v>945.59690000000001</v>
      </c>
      <c r="H38" s="108">
        <f t="shared" si="9"/>
        <v>1729.3707999999999</v>
      </c>
      <c r="I38" s="108">
        <f t="shared" si="10"/>
        <v>1148.1975</v>
      </c>
      <c r="J38" s="108">
        <f t="shared" si="13"/>
        <v>1284.5721000000001</v>
      </c>
      <c r="K38" s="108">
        <f t="shared" si="11"/>
        <v>3535.8029000000001</v>
      </c>
      <c r="L38" s="108">
        <f t="shared" si="12"/>
        <v>1764.0550000000001</v>
      </c>
      <c r="M38" s="77"/>
    </row>
    <row r="39" spans="1:13" ht="15" customHeight="1">
      <c r="A39" s="13" t="str">
        <f t="shared" si="1"/>
        <v>Thursday</v>
      </c>
      <c r="B39" s="28">
        <f t="shared" si="3"/>
        <v>46114</v>
      </c>
      <c r="C39" s="108">
        <f t="shared" si="4"/>
        <v>3013.5302000000001</v>
      </c>
      <c r="D39" s="108">
        <f t="shared" si="5"/>
        <v>1841.2923000000001</v>
      </c>
      <c r="E39" s="108">
        <f t="shared" si="6"/>
        <v>3544.5938999999998</v>
      </c>
      <c r="F39" s="108">
        <f t="shared" si="7"/>
        <v>2260.5790000000002</v>
      </c>
      <c r="G39" s="108">
        <f t="shared" si="8"/>
        <v>945.60339999999997</v>
      </c>
      <c r="H39" s="108">
        <f t="shared" si="9"/>
        <v>1729.3797999999999</v>
      </c>
      <c r="I39" s="108">
        <f t="shared" si="10"/>
        <v>1148.2054000000001</v>
      </c>
      <c r="J39" s="108">
        <f t="shared" si="13"/>
        <v>1284.6249</v>
      </c>
      <c r="K39" s="108">
        <f t="shared" si="11"/>
        <v>3535.8029000000001</v>
      </c>
      <c r="L39" s="108">
        <f t="shared" si="12"/>
        <v>1764.0671</v>
      </c>
      <c r="M39" s="77"/>
    </row>
    <row r="40" spans="1:13" ht="15" customHeight="1">
      <c r="A40" s="13" t="str">
        <f t="shared" si="1"/>
        <v>Friday</v>
      </c>
      <c r="B40" s="28">
        <f t="shared" si="3"/>
        <v>46115</v>
      </c>
      <c r="C40" s="108">
        <f t="shared" si="4"/>
        <v>3013.5475000000001</v>
      </c>
      <c r="D40" s="108">
        <f t="shared" si="5"/>
        <v>1841.3024</v>
      </c>
      <c r="E40" s="108">
        <f t="shared" si="6"/>
        <v>3544.6181999999999</v>
      </c>
      <c r="F40" s="108">
        <f t="shared" si="7"/>
        <v>2260.5882999999999</v>
      </c>
      <c r="G40" s="108">
        <f t="shared" si="8"/>
        <v>945.60990000000004</v>
      </c>
      <c r="H40" s="108">
        <f t="shared" si="9"/>
        <v>1729.3887999999999</v>
      </c>
      <c r="I40" s="108">
        <f t="shared" si="10"/>
        <v>1148.2132999999999</v>
      </c>
      <c r="J40" s="108">
        <f t="shared" si="13"/>
        <v>1284.6777</v>
      </c>
      <c r="K40" s="108">
        <f t="shared" si="11"/>
        <v>3535.8029000000001</v>
      </c>
      <c r="L40" s="108">
        <f t="shared" si="12"/>
        <v>1764.0791999999999</v>
      </c>
      <c r="M40" s="77"/>
    </row>
    <row r="41" spans="1:13" ht="15" customHeight="1">
      <c r="A41" s="13" t="str">
        <f t="shared" si="1"/>
        <v>Saturday</v>
      </c>
      <c r="B41" s="28">
        <f t="shared" si="3"/>
        <v>46116</v>
      </c>
      <c r="C41" s="108">
        <f t="shared" si="4"/>
        <v>3013.5648000000001</v>
      </c>
      <c r="D41" s="108">
        <f t="shared" si="5"/>
        <v>1841.3125</v>
      </c>
      <c r="E41" s="108">
        <f t="shared" si="6"/>
        <v>3544.6424999999999</v>
      </c>
      <c r="F41" s="108">
        <f t="shared" si="7"/>
        <v>2260.5976000000001</v>
      </c>
      <c r="G41" s="108">
        <f t="shared" si="8"/>
        <v>945.6164</v>
      </c>
      <c r="H41" s="108">
        <f t="shared" si="9"/>
        <v>1729.3978</v>
      </c>
      <c r="I41" s="108">
        <f t="shared" si="10"/>
        <v>1148.2212</v>
      </c>
      <c r="J41" s="108">
        <f t="shared" si="13"/>
        <v>1284.7304999999999</v>
      </c>
      <c r="K41" s="108">
        <f t="shared" si="11"/>
        <v>3535.8029000000001</v>
      </c>
      <c r="L41" s="108">
        <f t="shared" si="12"/>
        <v>1764.0913</v>
      </c>
      <c r="M41" s="77"/>
    </row>
    <row r="42" spans="1:13" ht="15" customHeight="1">
      <c r="A42" s="13" t="str">
        <f t="shared" si="1"/>
        <v>Sunday</v>
      </c>
      <c r="B42" s="28">
        <f t="shared" si="3"/>
        <v>46117</v>
      </c>
      <c r="C42" s="108">
        <f t="shared" si="4"/>
        <v>3013.5821000000001</v>
      </c>
      <c r="D42" s="108">
        <f t="shared" si="5"/>
        <v>1841.3226</v>
      </c>
      <c r="E42" s="108">
        <f t="shared" si="6"/>
        <v>3544.6668</v>
      </c>
      <c r="F42" s="108">
        <f t="shared" si="7"/>
        <v>2260.6069000000002</v>
      </c>
      <c r="G42" s="108">
        <f t="shared" si="8"/>
        <v>945.62289999999996</v>
      </c>
      <c r="H42" s="108">
        <f t="shared" si="9"/>
        <v>1729.4068</v>
      </c>
      <c r="I42" s="108">
        <f t="shared" si="10"/>
        <v>1148.2291</v>
      </c>
      <c r="J42" s="108">
        <f t="shared" si="13"/>
        <v>1284.7833000000001</v>
      </c>
      <c r="K42" s="108">
        <f t="shared" si="11"/>
        <v>3535.8029000000001</v>
      </c>
      <c r="L42" s="108">
        <f t="shared" si="12"/>
        <v>1764.1034</v>
      </c>
      <c r="M42" s="77"/>
    </row>
    <row r="43" spans="1:13" ht="15" customHeight="1">
      <c r="A43" s="13" t="str">
        <f t="shared" si="1"/>
        <v>Monday</v>
      </c>
      <c r="B43" s="28">
        <f t="shared" si="3"/>
        <v>46118</v>
      </c>
      <c r="C43" s="108">
        <f t="shared" si="4"/>
        <v>3013.5994000000001</v>
      </c>
      <c r="D43" s="108">
        <f t="shared" si="5"/>
        <v>1841.3326999999999</v>
      </c>
      <c r="E43" s="108">
        <f t="shared" si="6"/>
        <v>3544.6911</v>
      </c>
      <c r="F43" s="108">
        <f t="shared" si="7"/>
        <v>2260.6161999999999</v>
      </c>
      <c r="G43" s="108">
        <f t="shared" si="8"/>
        <v>945.62940000000003</v>
      </c>
      <c r="H43" s="108">
        <f t="shared" si="9"/>
        <v>1729.4158</v>
      </c>
      <c r="I43" s="108">
        <f t="shared" si="10"/>
        <v>1148.2370000000001</v>
      </c>
      <c r="J43" s="108">
        <f t="shared" si="13"/>
        <v>1284.8361</v>
      </c>
      <c r="K43" s="108">
        <f t="shared" si="11"/>
        <v>3535.8029000000001</v>
      </c>
      <c r="L43" s="108">
        <f t="shared" si="12"/>
        <v>1764.1155000000001</v>
      </c>
      <c r="M43" s="77"/>
    </row>
    <row r="44" spans="1:13" ht="15" customHeight="1">
      <c r="A44" s="13" t="str">
        <f t="shared" si="1"/>
        <v>Tuesday</v>
      </c>
      <c r="B44" s="28">
        <f t="shared" si="3"/>
        <v>46119</v>
      </c>
      <c r="C44" s="108">
        <f t="shared" si="4"/>
        <v>3013.6167</v>
      </c>
      <c r="D44" s="108">
        <f t="shared" si="5"/>
        <v>1841.3427999999999</v>
      </c>
      <c r="E44" s="108">
        <f t="shared" si="6"/>
        <v>3544.7154</v>
      </c>
      <c r="F44" s="108">
        <f t="shared" si="7"/>
        <v>2260.6255000000001</v>
      </c>
      <c r="G44" s="108">
        <f t="shared" si="8"/>
        <v>945.63589999999999</v>
      </c>
      <c r="H44" s="108">
        <f t="shared" si="9"/>
        <v>1729.4248</v>
      </c>
      <c r="I44" s="108">
        <f t="shared" si="10"/>
        <v>1148.2448999999999</v>
      </c>
      <c r="J44" s="108">
        <f t="shared" si="13"/>
        <v>1284.8888999999999</v>
      </c>
      <c r="K44" s="108">
        <f t="shared" si="11"/>
        <v>3535.8029000000001</v>
      </c>
      <c r="L44" s="108">
        <f t="shared" si="12"/>
        <v>1764.1276</v>
      </c>
      <c r="M44" s="77"/>
    </row>
    <row r="45" spans="1:13" ht="15" customHeight="1">
      <c r="A45" s="13" t="str">
        <f t="shared" si="1"/>
        <v>Wednesday</v>
      </c>
      <c r="B45" s="28">
        <f t="shared" si="3"/>
        <v>46120</v>
      </c>
      <c r="C45" s="108">
        <f t="shared" si="4"/>
        <v>3013.634</v>
      </c>
      <c r="D45" s="108">
        <f t="shared" si="5"/>
        <v>1841.3529000000001</v>
      </c>
      <c r="E45" s="108">
        <f t="shared" si="6"/>
        <v>3544.7397000000001</v>
      </c>
      <c r="F45" s="108">
        <f t="shared" si="7"/>
        <v>2260.6347999999998</v>
      </c>
      <c r="G45" s="108">
        <f t="shared" si="8"/>
        <v>945.64239999999995</v>
      </c>
      <c r="H45" s="108">
        <f t="shared" si="9"/>
        <v>1729.4338</v>
      </c>
      <c r="I45" s="108">
        <f t="shared" si="10"/>
        <v>1148.2528</v>
      </c>
      <c r="J45" s="108">
        <f t="shared" si="13"/>
        <v>1284.9417000000001</v>
      </c>
      <c r="K45" s="108">
        <f t="shared" si="11"/>
        <v>3535.8029000000001</v>
      </c>
      <c r="L45" s="108">
        <f t="shared" si="12"/>
        <v>1764.1396999999999</v>
      </c>
      <c r="M45" s="77"/>
    </row>
    <row r="46" spans="1:13" ht="15" customHeight="1">
      <c r="A46" s="13" t="str">
        <f t="shared" si="1"/>
        <v>Thursday</v>
      </c>
      <c r="B46" s="28">
        <f t="shared" si="3"/>
        <v>46121</v>
      </c>
      <c r="C46" s="108">
        <f t="shared" si="4"/>
        <v>3013.6513</v>
      </c>
      <c r="D46" s="108">
        <f t="shared" si="5"/>
        <v>1841.3630000000001</v>
      </c>
      <c r="E46" s="108">
        <f t="shared" si="6"/>
        <v>3544.7640000000001</v>
      </c>
      <c r="F46" s="108">
        <f t="shared" si="7"/>
        <v>2260.6441</v>
      </c>
      <c r="G46" s="108">
        <f t="shared" si="8"/>
        <v>945.64890000000003</v>
      </c>
      <c r="H46" s="108">
        <f t="shared" si="9"/>
        <v>1729.4428</v>
      </c>
      <c r="I46" s="108">
        <f t="shared" si="10"/>
        <v>1148.2607</v>
      </c>
      <c r="J46" s="108">
        <f t="shared" si="13"/>
        <v>1284.9945</v>
      </c>
      <c r="K46" s="108">
        <f t="shared" si="11"/>
        <v>3535.8029000000001</v>
      </c>
      <c r="L46" s="108">
        <f t="shared" si="12"/>
        <v>1764.1518000000001</v>
      </c>
      <c r="M46" s="77"/>
    </row>
    <row r="47" spans="1:13" ht="15" customHeight="1">
      <c r="A47" s="13" t="str">
        <f t="shared" si="1"/>
        <v>Friday</v>
      </c>
      <c r="B47" s="28">
        <f t="shared" si="3"/>
        <v>46122</v>
      </c>
      <c r="C47" s="108">
        <f t="shared" si="4"/>
        <v>3013.6686</v>
      </c>
      <c r="D47" s="108">
        <f t="shared" si="5"/>
        <v>1841.3731</v>
      </c>
      <c r="E47" s="108">
        <f t="shared" si="6"/>
        <v>3544.7883000000002</v>
      </c>
      <c r="F47" s="108">
        <f t="shared" si="7"/>
        <v>2260.6534000000001</v>
      </c>
      <c r="G47" s="108">
        <f t="shared" si="8"/>
        <v>945.65539999999999</v>
      </c>
      <c r="H47" s="108">
        <f t="shared" si="9"/>
        <v>1729.4518</v>
      </c>
      <c r="I47" s="108">
        <f t="shared" si="10"/>
        <v>1148.2686000000001</v>
      </c>
      <c r="J47" s="108">
        <f t="shared" si="13"/>
        <v>1285.0473</v>
      </c>
      <c r="K47" s="108">
        <f t="shared" si="11"/>
        <v>3535.8029000000001</v>
      </c>
      <c r="L47" s="108">
        <f t="shared" si="12"/>
        <v>1764.1639</v>
      </c>
      <c r="M47" s="77"/>
    </row>
    <row r="48" spans="1:13" ht="15" customHeight="1">
      <c r="A48" s="13" t="str">
        <f t="shared" si="1"/>
        <v>Saturday</v>
      </c>
      <c r="B48" s="28">
        <f t="shared" si="3"/>
        <v>46123</v>
      </c>
      <c r="C48" s="108">
        <f t="shared" si="4"/>
        <v>3013.6858999999999</v>
      </c>
      <c r="D48" s="108">
        <f t="shared" si="5"/>
        <v>1841.3832</v>
      </c>
      <c r="E48" s="108">
        <f t="shared" si="6"/>
        <v>3544.8126000000002</v>
      </c>
      <c r="F48" s="108">
        <f t="shared" si="7"/>
        <v>2260.6626999999999</v>
      </c>
      <c r="G48" s="108">
        <f t="shared" si="8"/>
        <v>945.66189999999995</v>
      </c>
      <c r="H48" s="108">
        <f t="shared" si="9"/>
        <v>1729.4608000000001</v>
      </c>
      <c r="I48" s="108">
        <f t="shared" si="10"/>
        <v>1148.2764999999999</v>
      </c>
      <c r="J48" s="108">
        <f t="shared" si="13"/>
        <v>1285.1001000000001</v>
      </c>
      <c r="K48" s="108">
        <f t="shared" si="11"/>
        <v>3535.8029000000001</v>
      </c>
      <c r="L48" s="108">
        <f t="shared" si="12"/>
        <v>1764.1759999999999</v>
      </c>
      <c r="M48" s="77"/>
    </row>
    <row r="49" spans="1:13" ht="15" customHeight="1">
      <c r="A49" s="13" t="str">
        <f t="shared" si="1"/>
        <v>Sunday</v>
      </c>
      <c r="B49" s="28">
        <f t="shared" si="3"/>
        <v>46124</v>
      </c>
      <c r="C49" s="108">
        <f t="shared" si="4"/>
        <v>3013.7031999999999</v>
      </c>
      <c r="D49" s="108">
        <f t="shared" si="5"/>
        <v>1841.3933</v>
      </c>
      <c r="E49" s="108">
        <f t="shared" si="6"/>
        <v>3544.8368999999998</v>
      </c>
      <c r="F49" s="108">
        <f t="shared" si="7"/>
        <v>2260.672</v>
      </c>
      <c r="G49" s="108">
        <f t="shared" si="8"/>
        <v>945.66840000000002</v>
      </c>
      <c r="H49" s="108">
        <f t="shared" si="9"/>
        <v>1729.4698000000001</v>
      </c>
      <c r="I49" s="108">
        <f t="shared" si="10"/>
        <v>1148.2844</v>
      </c>
      <c r="J49" s="108">
        <f t="shared" si="13"/>
        <v>1285.1529</v>
      </c>
      <c r="K49" s="108">
        <f t="shared" si="11"/>
        <v>3535.8029000000001</v>
      </c>
      <c r="L49" s="108">
        <f t="shared" si="12"/>
        <v>1764.1881000000001</v>
      </c>
      <c r="M49" s="77"/>
    </row>
    <row r="50" spans="1:13" ht="15" customHeight="1">
      <c r="A50" s="13" t="str">
        <f t="shared" si="1"/>
        <v>Monday</v>
      </c>
      <c r="B50" s="28">
        <f t="shared" si="3"/>
        <v>46125</v>
      </c>
      <c r="C50" s="108">
        <f t="shared" si="4"/>
        <v>3013.7204999999999</v>
      </c>
      <c r="D50" s="108">
        <f t="shared" si="5"/>
        <v>1841.4033999999999</v>
      </c>
      <c r="E50" s="108">
        <f t="shared" si="6"/>
        <v>3544.8611999999998</v>
      </c>
      <c r="F50" s="108">
        <f t="shared" si="7"/>
        <v>2260.6813000000002</v>
      </c>
      <c r="G50" s="108">
        <f t="shared" si="8"/>
        <v>945.67489999999998</v>
      </c>
      <c r="H50" s="108">
        <f t="shared" si="9"/>
        <v>1729.4788000000001</v>
      </c>
      <c r="I50" s="108">
        <f t="shared" si="10"/>
        <v>1148.2923000000001</v>
      </c>
      <c r="J50" s="108">
        <f t="shared" si="13"/>
        <v>1285.2057</v>
      </c>
      <c r="K50" s="108">
        <f t="shared" si="11"/>
        <v>3535.8029000000001</v>
      </c>
      <c r="L50" s="108">
        <f t="shared" si="12"/>
        <v>1764.2002</v>
      </c>
      <c r="M50" s="77"/>
    </row>
    <row r="51" spans="1:13" ht="15" customHeight="1">
      <c r="A51" s="13" t="str">
        <f t="shared" si="1"/>
        <v>Tuesday</v>
      </c>
      <c r="B51" s="28">
        <f t="shared" si="3"/>
        <v>46126</v>
      </c>
      <c r="C51" s="108">
        <f t="shared" si="4"/>
        <v>3013.7377999999999</v>
      </c>
      <c r="D51" s="108">
        <f t="shared" si="5"/>
        <v>1841.4135000000001</v>
      </c>
      <c r="E51" s="108">
        <f t="shared" si="6"/>
        <v>3544.8854999999999</v>
      </c>
      <c r="F51" s="108">
        <f t="shared" si="7"/>
        <v>2260.6905999999999</v>
      </c>
      <c r="G51" s="108">
        <f t="shared" si="8"/>
        <v>945.68140000000005</v>
      </c>
      <c r="H51" s="108">
        <f t="shared" si="9"/>
        <v>1729.4878000000001</v>
      </c>
      <c r="I51" s="108">
        <f t="shared" si="10"/>
        <v>1148.3001999999999</v>
      </c>
      <c r="J51" s="108">
        <f t="shared" si="13"/>
        <v>1285.2584999999999</v>
      </c>
      <c r="K51" s="108">
        <f t="shared" si="11"/>
        <v>3535.8029000000001</v>
      </c>
      <c r="L51" s="108">
        <f t="shared" si="12"/>
        <v>1764.2122999999999</v>
      </c>
      <c r="M51" s="77"/>
    </row>
    <row r="52" spans="1:13" ht="15" customHeight="1">
      <c r="A52" s="13" t="str">
        <f t="shared" si="1"/>
        <v>Wednesday</v>
      </c>
      <c r="B52" s="28">
        <f t="shared" si="3"/>
        <v>46127</v>
      </c>
      <c r="C52" s="108">
        <f t="shared" si="4"/>
        <v>3013.7550999999999</v>
      </c>
      <c r="D52" s="108">
        <f t="shared" si="5"/>
        <v>1841.4236000000001</v>
      </c>
      <c r="E52" s="108">
        <f t="shared" si="6"/>
        <v>3544.9097999999999</v>
      </c>
      <c r="F52" s="108">
        <f t="shared" si="7"/>
        <v>2260.6999000000001</v>
      </c>
      <c r="G52" s="108">
        <f t="shared" si="8"/>
        <v>945.68790000000001</v>
      </c>
      <c r="H52" s="108">
        <f t="shared" si="9"/>
        <v>1729.4967999999999</v>
      </c>
      <c r="I52" s="108">
        <f t="shared" si="10"/>
        <v>1148.3081</v>
      </c>
      <c r="J52" s="108">
        <f t="shared" si="13"/>
        <v>1285.3113000000001</v>
      </c>
      <c r="K52" s="108">
        <f t="shared" si="11"/>
        <v>3535.8029000000001</v>
      </c>
      <c r="L52" s="108">
        <f t="shared" si="12"/>
        <v>1764.2244000000001</v>
      </c>
      <c r="M52" s="77"/>
    </row>
    <row r="53" spans="1:13" ht="15" customHeight="1">
      <c r="A53" s="13" t="str">
        <f t="shared" si="1"/>
        <v>Thursday</v>
      </c>
      <c r="B53" s="28">
        <f t="shared" si="3"/>
        <v>46128</v>
      </c>
      <c r="C53" s="108">
        <f t="shared" si="4"/>
        <v>3013.7723999999998</v>
      </c>
      <c r="D53" s="108">
        <f t="shared" si="5"/>
        <v>1841.4337</v>
      </c>
      <c r="E53" s="108">
        <f t="shared" si="6"/>
        <v>3544.9340999999999</v>
      </c>
      <c r="F53" s="108">
        <f t="shared" si="7"/>
        <v>2260.7091999999998</v>
      </c>
      <c r="G53" s="108">
        <f t="shared" si="8"/>
        <v>945.69439999999997</v>
      </c>
      <c r="H53" s="108">
        <f t="shared" si="9"/>
        <v>1729.5057999999999</v>
      </c>
      <c r="I53" s="108">
        <f t="shared" si="10"/>
        <v>1148.316</v>
      </c>
      <c r="J53" s="108">
        <f t="shared" si="13"/>
        <v>1285.3641</v>
      </c>
      <c r="K53" s="108">
        <f t="shared" si="11"/>
        <v>3535.8029000000001</v>
      </c>
      <c r="L53" s="108">
        <f t="shared" si="12"/>
        <v>1764.2365</v>
      </c>
      <c r="M53" s="77"/>
    </row>
    <row r="54" spans="1:13" ht="15" customHeight="1">
      <c r="A54" s="13" t="str">
        <f t="shared" si="1"/>
        <v>Friday</v>
      </c>
      <c r="B54" s="28">
        <f t="shared" si="3"/>
        <v>46129</v>
      </c>
      <c r="C54" s="108">
        <f t="shared" si="4"/>
        <v>3013.7896999999998</v>
      </c>
      <c r="D54" s="108">
        <f t="shared" si="5"/>
        <v>1841.4438</v>
      </c>
      <c r="E54" s="108">
        <f t="shared" si="6"/>
        <v>3544.9584</v>
      </c>
      <c r="F54" s="108">
        <f t="shared" si="7"/>
        <v>2260.7184999999999</v>
      </c>
      <c r="G54" s="108">
        <f t="shared" si="8"/>
        <v>945.70090000000005</v>
      </c>
      <c r="H54" s="108">
        <f t="shared" si="9"/>
        <v>1729.5147999999999</v>
      </c>
      <c r="I54" s="108">
        <f t="shared" si="10"/>
        <v>1148.3239000000001</v>
      </c>
      <c r="J54" s="108">
        <f t="shared" si="13"/>
        <v>1285.4168999999999</v>
      </c>
      <c r="K54" s="108">
        <f t="shared" si="11"/>
        <v>3535.8029000000001</v>
      </c>
      <c r="L54" s="108">
        <f t="shared" si="12"/>
        <v>1764.2485999999999</v>
      </c>
      <c r="M54" s="77"/>
    </row>
    <row r="55" spans="1:13" ht="15" customHeight="1">
      <c r="A55" s="13" t="str">
        <f t="shared" si="1"/>
        <v>Saturday</v>
      </c>
      <c r="B55" s="28">
        <f t="shared" si="3"/>
        <v>46130</v>
      </c>
      <c r="C55" s="108">
        <f t="shared" si="4"/>
        <v>3013.8069999999998</v>
      </c>
      <c r="D55" s="108">
        <f t="shared" si="5"/>
        <v>1841.4539</v>
      </c>
      <c r="E55" s="108">
        <f t="shared" si="6"/>
        <v>3544.9827</v>
      </c>
      <c r="F55" s="108">
        <f t="shared" si="7"/>
        <v>2260.7278000000001</v>
      </c>
      <c r="G55" s="108">
        <f t="shared" si="8"/>
        <v>945.70740000000001</v>
      </c>
      <c r="H55" s="108">
        <f t="shared" si="9"/>
        <v>1729.5237999999999</v>
      </c>
      <c r="I55" s="108">
        <f t="shared" si="10"/>
        <v>1148.3317999999999</v>
      </c>
      <c r="J55" s="108">
        <f t="shared" si="13"/>
        <v>1285.4697000000001</v>
      </c>
      <c r="K55" s="108">
        <f t="shared" si="11"/>
        <v>3535.8029000000001</v>
      </c>
      <c r="L55" s="108">
        <f t="shared" si="12"/>
        <v>1764.2607</v>
      </c>
      <c r="M55" s="77"/>
    </row>
    <row r="56" spans="1:13" ht="15" customHeight="1">
      <c r="A56" s="13" t="str">
        <f t="shared" si="1"/>
        <v>Sunday</v>
      </c>
      <c r="B56" s="28">
        <f t="shared" si="3"/>
        <v>46131</v>
      </c>
      <c r="C56" s="108">
        <f t="shared" si="4"/>
        <v>3013.8243000000002</v>
      </c>
      <c r="D56" s="108">
        <f t="shared" si="5"/>
        <v>1841.4639999999999</v>
      </c>
      <c r="E56" s="108">
        <f t="shared" si="6"/>
        <v>3545.0070000000001</v>
      </c>
      <c r="F56" s="108">
        <f t="shared" si="7"/>
        <v>2260.7370999999998</v>
      </c>
      <c r="G56" s="108">
        <f t="shared" si="8"/>
        <v>945.71389999999997</v>
      </c>
      <c r="H56" s="108">
        <f t="shared" si="9"/>
        <v>1729.5328</v>
      </c>
      <c r="I56" s="108">
        <f t="shared" si="10"/>
        <v>1148.3397</v>
      </c>
      <c r="J56" s="108">
        <f t="shared" si="13"/>
        <v>1285.5225</v>
      </c>
      <c r="K56" s="108">
        <f t="shared" si="11"/>
        <v>3535.8029000000001</v>
      </c>
      <c r="L56" s="108">
        <f t="shared" si="12"/>
        <v>1764.2728</v>
      </c>
      <c r="M56" s="77"/>
    </row>
    <row r="57" spans="1:13" ht="15" customHeight="1">
      <c r="A57" s="13" t="str">
        <f t="shared" si="1"/>
        <v>Monday</v>
      </c>
      <c r="B57" s="28">
        <f t="shared" si="3"/>
        <v>46132</v>
      </c>
      <c r="C57" s="108">
        <f t="shared" si="4"/>
        <v>3013.8416000000002</v>
      </c>
      <c r="D57" s="108">
        <f t="shared" si="5"/>
        <v>1841.4740999999999</v>
      </c>
      <c r="E57" s="108">
        <f t="shared" si="6"/>
        <v>3545.0313000000001</v>
      </c>
      <c r="F57" s="108">
        <f t="shared" si="7"/>
        <v>2260.7464</v>
      </c>
      <c r="G57" s="108">
        <f t="shared" si="8"/>
        <v>945.72040000000004</v>
      </c>
      <c r="H57" s="108">
        <f t="shared" si="9"/>
        <v>1729.5418</v>
      </c>
      <c r="I57" s="108">
        <f t="shared" si="10"/>
        <v>1148.3476000000001</v>
      </c>
      <c r="J57" s="108">
        <f t="shared" si="13"/>
        <v>1285.5753</v>
      </c>
      <c r="K57" s="108">
        <f t="shared" si="11"/>
        <v>3535.8029000000001</v>
      </c>
      <c r="L57" s="108">
        <f t="shared" si="12"/>
        <v>1764.2849000000001</v>
      </c>
      <c r="M57" s="77"/>
    </row>
    <row r="58" spans="1:13" ht="15" customHeight="1">
      <c r="A58" s="13" t="str">
        <f t="shared" si="1"/>
        <v>Tuesday</v>
      </c>
      <c r="B58" s="28">
        <f t="shared" si="3"/>
        <v>46133</v>
      </c>
      <c r="C58" s="108">
        <f t="shared" si="4"/>
        <v>3013.8589000000002</v>
      </c>
      <c r="D58" s="108">
        <f t="shared" si="5"/>
        <v>1841.4842000000001</v>
      </c>
      <c r="E58" s="108">
        <f t="shared" si="6"/>
        <v>3545.0556000000001</v>
      </c>
      <c r="F58" s="108">
        <f t="shared" si="7"/>
        <v>2260.7557000000002</v>
      </c>
      <c r="G58" s="108">
        <f t="shared" si="8"/>
        <v>945.7269</v>
      </c>
      <c r="H58" s="108">
        <f t="shared" si="9"/>
        <v>1729.5508</v>
      </c>
      <c r="I58" s="108">
        <f t="shared" si="10"/>
        <v>1148.3554999999999</v>
      </c>
      <c r="J58" s="108">
        <f t="shared" si="13"/>
        <v>1285.6280999999999</v>
      </c>
      <c r="K58" s="108">
        <f t="shared" si="11"/>
        <v>3535.8029000000001</v>
      </c>
      <c r="L58" s="108">
        <f t="shared" si="12"/>
        <v>1764.297</v>
      </c>
      <c r="M58" s="77"/>
    </row>
    <row r="59" spans="1:13" ht="15" customHeight="1">
      <c r="A59" s="13" t="str">
        <f t="shared" si="1"/>
        <v>Wednesday</v>
      </c>
      <c r="B59" s="28">
        <f t="shared" si="3"/>
        <v>46134</v>
      </c>
      <c r="C59" s="108">
        <f t="shared" si="4"/>
        <v>3013.8762000000002</v>
      </c>
      <c r="D59" s="108">
        <f t="shared" si="5"/>
        <v>1841.4943000000001</v>
      </c>
      <c r="E59" s="108">
        <f t="shared" si="6"/>
        <v>3545.0799000000002</v>
      </c>
      <c r="F59" s="108">
        <f t="shared" si="7"/>
        <v>2260.7649999999999</v>
      </c>
      <c r="G59" s="108">
        <f t="shared" si="8"/>
        <v>945.73339999999996</v>
      </c>
      <c r="H59" s="108">
        <f t="shared" si="9"/>
        <v>1729.5598</v>
      </c>
      <c r="I59" s="108">
        <f t="shared" si="10"/>
        <v>1148.3634</v>
      </c>
      <c r="J59" s="108">
        <f t="shared" si="13"/>
        <v>1285.6809000000001</v>
      </c>
      <c r="K59" s="108">
        <f t="shared" si="11"/>
        <v>3535.8029000000001</v>
      </c>
      <c r="L59" s="108">
        <f t="shared" si="12"/>
        <v>1764.3090999999999</v>
      </c>
      <c r="M59" s="77"/>
    </row>
    <row r="60" spans="1:13" ht="15" customHeight="1">
      <c r="A60" s="13" t="str">
        <f t="shared" si="1"/>
        <v>Thursday</v>
      </c>
      <c r="B60" s="28">
        <f t="shared" si="3"/>
        <v>46135</v>
      </c>
      <c r="C60" s="108">
        <f t="shared" si="4"/>
        <v>3013.8935000000001</v>
      </c>
      <c r="D60" s="108">
        <f t="shared" si="5"/>
        <v>1841.5044</v>
      </c>
      <c r="E60" s="108">
        <f t="shared" si="6"/>
        <v>3545.1042000000002</v>
      </c>
      <c r="F60" s="108">
        <f t="shared" si="7"/>
        <v>2260.7743</v>
      </c>
      <c r="G60" s="108">
        <f t="shared" si="8"/>
        <v>945.73990000000003</v>
      </c>
      <c r="H60" s="108">
        <f t="shared" si="9"/>
        <v>1729.5688</v>
      </c>
      <c r="I60" s="108">
        <f t="shared" si="10"/>
        <v>1148.3713</v>
      </c>
      <c r="J60" s="108">
        <f t="shared" si="13"/>
        <v>1285.7337</v>
      </c>
      <c r="K60" s="108">
        <f t="shared" si="11"/>
        <v>3535.8029000000001</v>
      </c>
      <c r="L60" s="108">
        <f t="shared" si="12"/>
        <v>1764.3212000000001</v>
      </c>
      <c r="M60" s="77"/>
    </row>
    <row r="61" spans="1:13" ht="15" customHeight="1">
      <c r="A61" s="13" t="str">
        <f t="shared" si="1"/>
        <v>Friday</v>
      </c>
      <c r="B61" s="28">
        <f t="shared" si="3"/>
        <v>46136</v>
      </c>
      <c r="C61" s="108">
        <f t="shared" si="4"/>
        <v>3013.9108000000001</v>
      </c>
      <c r="D61" s="108">
        <f t="shared" si="5"/>
        <v>1841.5145</v>
      </c>
      <c r="E61" s="108">
        <f t="shared" si="6"/>
        <v>3545.1284999999998</v>
      </c>
      <c r="F61" s="108">
        <f t="shared" si="7"/>
        <v>2260.7836000000002</v>
      </c>
      <c r="G61" s="108">
        <f t="shared" si="8"/>
        <v>945.74639999999999</v>
      </c>
      <c r="H61" s="108">
        <f t="shared" si="9"/>
        <v>1729.5778</v>
      </c>
      <c r="I61" s="108">
        <f t="shared" si="10"/>
        <v>1148.3792000000001</v>
      </c>
      <c r="J61" s="108">
        <f t="shared" si="13"/>
        <v>1285.7864999999999</v>
      </c>
      <c r="K61" s="108">
        <f t="shared" si="11"/>
        <v>3535.8029000000001</v>
      </c>
      <c r="L61" s="108">
        <f t="shared" si="12"/>
        <v>1764.3333</v>
      </c>
      <c r="M61" s="77"/>
    </row>
    <row r="62" spans="1:13" ht="15" customHeight="1">
      <c r="A62" s="13" t="str">
        <f t="shared" si="1"/>
        <v>Saturday</v>
      </c>
      <c r="B62" s="28">
        <f t="shared" si="3"/>
        <v>46137</v>
      </c>
      <c r="C62" s="108">
        <f t="shared" si="4"/>
        <v>3013.9281000000001</v>
      </c>
      <c r="D62" s="108">
        <f t="shared" si="5"/>
        <v>1841.5246</v>
      </c>
      <c r="E62" s="108">
        <f t="shared" si="6"/>
        <v>3545.1527999999998</v>
      </c>
      <c r="F62" s="108">
        <f t="shared" si="7"/>
        <v>2260.7928999999999</v>
      </c>
      <c r="G62" s="108">
        <f t="shared" si="8"/>
        <v>945.75289999999995</v>
      </c>
      <c r="H62" s="108">
        <f t="shared" si="9"/>
        <v>1729.5868</v>
      </c>
      <c r="I62" s="108">
        <f t="shared" si="10"/>
        <v>1148.3870999999999</v>
      </c>
      <c r="J62" s="108">
        <f t="shared" si="13"/>
        <v>1285.8393000000001</v>
      </c>
      <c r="K62" s="108">
        <f t="shared" si="11"/>
        <v>3535.8029000000001</v>
      </c>
      <c r="L62" s="108">
        <f t="shared" si="12"/>
        <v>1764.3453999999999</v>
      </c>
      <c r="M62" s="77"/>
    </row>
    <row r="63" spans="1:13" ht="15" customHeight="1">
      <c r="A63" s="13" t="str">
        <f t="shared" si="1"/>
        <v>Sunday</v>
      </c>
      <c r="B63" s="28">
        <f t="shared" si="3"/>
        <v>46138</v>
      </c>
      <c r="C63" s="108">
        <f t="shared" si="4"/>
        <v>3013.9454000000001</v>
      </c>
      <c r="D63" s="108">
        <f t="shared" si="5"/>
        <v>1841.5346999999999</v>
      </c>
      <c r="E63" s="108">
        <f t="shared" si="6"/>
        <v>3545.1770999999999</v>
      </c>
      <c r="F63" s="108">
        <f t="shared" si="7"/>
        <v>2260.8022000000001</v>
      </c>
      <c r="G63" s="108">
        <f t="shared" si="8"/>
        <v>945.75940000000003</v>
      </c>
      <c r="H63" s="108">
        <f t="shared" si="9"/>
        <v>1729.5958000000001</v>
      </c>
      <c r="I63" s="108">
        <f t="shared" si="10"/>
        <v>1148.395</v>
      </c>
      <c r="J63" s="108">
        <f t="shared" si="13"/>
        <v>1285.8921</v>
      </c>
      <c r="K63" s="108">
        <f t="shared" si="11"/>
        <v>3535.8029000000001</v>
      </c>
      <c r="L63" s="108">
        <f t="shared" si="12"/>
        <v>1764.3575000000001</v>
      </c>
      <c r="M63" s="77"/>
    </row>
    <row r="64" spans="1:13" ht="15" customHeight="1">
      <c r="A64" s="13" t="str">
        <f t="shared" si="1"/>
        <v>Monday</v>
      </c>
      <c r="B64" s="28">
        <f t="shared" si="3"/>
        <v>46139</v>
      </c>
      <c r="C64" s="108">
        <f t="shared" si="4"/>
        <v>3013.9627</v>
      </c>
      <c r="D64" s="108">
        <f t="shared" si="5"/>
        <v>1841.5447999999999</v>
      </c>
      <c r="E64" s="108">
        <f t="shared" si="6"/>
        <v>3545.2013999999999</v>
      </c>
      <c r="F64" s="108">
        <f t="shared" si="7"/>
        <v>2260.8114999999998</v>
      </c>
      <c r="G64" s="108">
        <f t="shared" si="8"/>
        <v>945.76589999999999</v>
      </c>
      <c r="H64" s="108">
        <f t="shared" si="9"/>
        <v>1729.6048000000001</v>
      </c>
      <c r="I64" s="108">
        <f t="shared" si="10"/>
        <v>1148.4029</v>
      </c>
      <c r="J64" s="108">
        <f t="shared" si="13"/>
        <v>1285.9449</v>
      </c>
      <c r="K64" s="108">
        <f t="shared" si="11"/>
        <v>3535.8029000000001</v>
      </c>
      <c r="L64" s="108">
        <f t="shared" si="12"/>
        <v>1764.3696</v>
      </c>
      <c r="M64" s="77"/>
    </row>
    <row r="65" spans="1:13" ht="15" customHeight="1">
      <c r="A65" s="13" t="str">
        <f t="shared" si="1"/>
        <v>Tuesday</v>
      </c>
      <c r="B65" s="28">
        <f t="shared" si="3"/>
        <v>46140</v>
      </c>
      <c r="C65" s="108">
        <f t="shared" si="4"/>
        <v>3013.98</v>
      </c>
      <c r="D65" s="108">
        <f t="shared" si="5"/>
        <v>1841.5549000000001</v>
      </c>
      <c r="E65" s="108">
        <f t="shared" si="6"/>
        <v>3545.2257</v>
      </c>
      <c r="F65" s="108">
        <f t="shared" si="7"/>
        <v>2260.8208</v>
      </c>
      <c r="G65" s="108">
        <f t="shared" si="8"/>
        <v>945.77239999999995</v>
      </c>
      <c r="H65" s="108">
        <f t="shared" si="9"/>
        <v>1729.6138000000001</v>
      </c>
      <c r="I65" s="108">
        <f t="shared" si="10"/>
        <v>1148.4108000000001</v>
      </c>
      <c r="J65" s="108">
        <f t="shared" si="13"/>
        <v>1285.9976999999999</v>
      </c>
      <c r="K65" s="108">
        <f t="shared" si="11"/>
        <v>3535.8029000000001</v>
      </c>
      <c r="L65" s="108">
        <f t="shared" si="12"/>
        <v>1764.3816999999999</v>
      </c>
      <c r="M65" s="77"/>
    </row>
    <row r="66" spans="1:13" ht="15" customHeight="1">
      <c r="A66" s="13" t="str">
        <f t="shared" si="1"/>
        <v>Wednesday</v>
      </c>
      <c r="B66" s="28">
        <f t="shared" si="3"/>
        <v>46141</v>
      </c>
      <c r="C66" s="108">
        <f t="shared" si="4"/>
        <v>3013.9973</v>
      </c>
      <c r="D66" s="108">
        <f t="shared" si="5"/>
        <v>1841.5650000000001</v>
      </c>
      <c r="E66" s="108">
        <f t="shared" si="6"/>
        <v>3545.25</v>
      </c>
      <c r="F66" s="108">
        <f t="shared" si="7"/>
        <v>2260.8301000000001</v>
      </c>
      <c r="G66" s="108">
        <f t="shared" si="8"/>
        <v>945.77890000000002</v>
      </c>
      <c r="H66" s="108">
        <f t="shared" si="9"/>
        <v>1729.6228000000001</v>
      </c>
      <c r="I66" s="108">
        <f t="shared" si="10"/>
        <v>1148.4186999999999</v>
      </c>
      <c r="J66" s="108">
        <f t="shared" si="13"/>
        <v>1286.0505000000001</v>
      </c>
      <c r="K66" s="108">
        <f t="shared" si="11"/>
        <v>3535.8029000000001</v>
      </c>
      <c r="L66" s="108">
        <f t="shared" si="12"/>
        <v>1764.3938000000001</v>
      </c>
      <c r="M66" s="77"/>
    </row>
    <row r="67" spans="1:13" ht="15" customHeight="1">
      <c r="A67" s="13" t="str">
        <f t="shared" si="1"/>
        <v>Thursday</v>
      </c>
      <c r="B67" s="28">
        <f t="shared" si="3"/>
        <v>46142</v>
      </c>
      <c r="C67" s="108">
        <f t="shared" si="4"/>
        <v>3014.0146</v>
      </c>
      <c r="D67" s="108">
        <f t="shared" si="5"/>
        <v>1841.5751</v>
      </c>
      <c r="E67" s="108">
        <f t="shared" si="6"/>
        <v>3545.2743</v>
      </c>
      <c r="F67" s="108">
        <f t="shared" si="7"/>
        <v>2260.8393999999998</v>
      </c>
      <c r="G67" s="108">
        <f t="shared" si="8"/>
        <v>945.78539999999998</v>
      </c>
      <c r="H67" s="108">
        <f t="shared" si="9"/>
        <v>1729.6318000000001</v>
      </c>
      <c r="I67" s="108">
        <f t="shared" si="10"/>
        <v>1148.4266</v>
      </c>
      <c r="J67" s="108">
        <f t="shared" si="13"/>
        <v>1286.1034</v>
      </c>
      <c r="K67" s="108">
        <f t="shared" si="11"/>
        <v>3535.8029000000001</v>
      </c>
      <c r="L67" s="108">
        <f t="shared" si="12"/>
        <v>1764.4059</v>
      </c>
      <c r="M67" s="77"/>
    </row>
    <row r="68" spans="1:13" ht="15" customHeight="1">
      <c r="A68" s="13" t="str">
        <f t="shared" si="1"/>
        <v>Friday</v>
      </c>
      <c r="B68" s="28">
        <f t="shared" si="3"/>
        <v>46143</v>
      </c>
      <c r="C68" s="108">
        <f t="shared" si="4"/>
        <v>3014.0319</v>
      </c>
      <c r="D68" s="108">
        <f t="shared" si="5"/>
        <v>1841.5852</v>
      </c>
      <c r="E68" s="108">
        <f t="shared" si="6"/>
        <v>3545.2986000000001</v>
      </c>
      <c r="F68" s="108">
        <f t="shared" si="7"/>
        <v>2260.8487</v>
      </c>
      <c r="G68" s="108">
        <f t="shared" si="8"/>
        <v>945.79190000000006</v>
      </c>
      <c r="H68" s="108">
        <f t="shared" si="9"/>
        <v>1729.6407999999999</v>
      </c>
      <c r="I68" s="108">
        <f t="shared" si="10"/>
        <v>1148.4345000000001</v>
      </c>
      <c r="J68" s="108">
        <f t="shared" si="13"/>
        <v>1286.1563000000001</v>
      </c>
      <c r="K68" s="108">
        <f t="shared" si="11"/>
        <v>3535.8029000000001</v>
      </c>
      <c r="L68" s="108">
        <f t="shared" si="12"/>
        <v>1764.4179999999999</v>
      </c>
      <c r="M68" s="77"/>
    </row>
    <row r="69" spans="1:13" ht="15" customHeight="1">
      <c r="A69" s="13" t="str">
        <f t="shared" si="1"/>
        <v>Saturday</v>
      </c>
      <c r="B69" s="28">
        <f t="shared" si="3"/>
        <v>46144</v>
      </c>
      <c r="C69" s="108">
        <f t="shared" si="4"/>
        <v>3014.0491999999999</v>
      </c>
      <c r="D69" s="108">
        <f t="shared" si="5"/>
        <v>1841.5953</v>
      </c>
      <c r="E69" s="108">
        <f t="shared" si="6"/>
        <v>3545.3229000000001</v>
      </c>
      <c r="F69" s="108">
        <f t="shared" si="7"/>
        <v>2260.8580000000002</v>
      </c>
      <c r="G69" s="108">
        <f t="shared" si="8"/>
        <v>945.79840000000002</v>
      </c>
      <c r="H69" s="108">
        <f t="shared" si="9"/>
        <v>1729.6497999999999</v>
      </c>
      <c r="I69" s="108">
        <f t="shared" si="10"/>
        <v>1148.4423999999999</v>
      </c>
      <c r="J69" s="108">
        <f t="shared" si="13"/>
        <v>1286.2092</v>
      </c>
      <c r="K69" s="108">
        <f t="shared" si="11"/>
        <v>3535.8029000000001</v>
      </c>
      <c r="L69" s="108">
        <f t="shared" si="12"/>
        <v>1764.4301</v>
      </c>
      <c r="M69" s="77"/>
    </row>
    <row r="70" spans="1:13" ht="15" customHeight="1">
      <c r="A70" s="13" t="str">
        <f t="shared" si="1"/>
        <v>Sunday</v>
      </c>
      <c r="B70" s="28">
        <f t="shared" si="3"/>
        <v>46145</v>
      </c>
      <c r="C70" s="108">
        <f t="shared" si="4"/>
        <v>3014.0664999999999</v>
      </c>
      <c r="D70" s="108">
        <f t="shared" si="5"/>
        <v>1841.6053999999999</v>
      </c>
      <c r="E70" s="108">
        <f t="shared" si="6"/>
        <v>3545.3472000000002</v>
      </c>
      <c r="F70" s="108">
        <f t="shared" si="7"/>
        <v>2260.8672999999999</v>
      </c>
      <c r="G70" s="108">
        <f t="shared" si="8"/>
        <v>945.80489999999998</v>
      </c>
      <c r="H70" s="108">
        <f t="shared" si="9"/>
        <v>1729.6587999999999</v>
      </c>
      <c r="I70" s="108">
        <f t="shared" si="10"/>
        <v>1148.4503</v>
      </c>
      <c r="J70" s="108">
        <f t="shared" si="13"/>
        <v>1286.2620999999999</v>
      </c>
      <c r="K70" s="108">
        <f t="shared" si="11"/>
        <v>3535.8029000000001</v>
      </c>
      <c r="L70" s="108">
        <f t="shared" si="12"/>
        <v>1764.4422</v>
      </c>
      <c r="M70" s="77"/>
    </row>
    <row r="71" spans="1:13" ht="15" customHeight="1">
      <c r="A71" s="13" t="str">
        <f t="shared" si="1"/>
        <v>Monday</v>
      </c>
      <c r="B71" s="28">
        <f t="shared" si="3"/>
        <v>46146</v>
      </c>
      <c r="C71" s="108">
        <f t="shared" si="4"/>
        <v>3014.0837999999999</v>
      </c>
      <c r="D71" s="108">
        <f t="shared" si="5"/>
        <v>1841.6155000000001</v>
      </c>
      <c r="E71" s="108">
        <f t="shared" si="6"/>
        <v>3545.3715000000002</v>
      </c>
      <c r="F71" s="108">
        <f t="shared" si="7"/>
        <v>2260.8766000000001</v>
      </c>
      <c r="G71" s="108">
        <f t="shared" si="8"/>
        <v>945.81140000000005</v>
      </c>
      <c r="H71" s="108">
        <f t="shared" si="9"/>
        <v>1729.6677999999999</v>
      </c>
      <c r="I71" s="108">
        <f t="shared" si="10"/>
        <v>1148.4582</v>
      </c>
      <c r="J71" s="108">
        <f t="shared" si="13"/>
        <v>1286.3150000000001</v>
      </c>
      <c r="K71" s="108">
        <f t="shared" si="11"/>
        <v>3535.8029000000001</v>
      </c>
      <c r="L71" s="108">
        <f t="shared" si="12"/>
        <v>1764.4543000000001</v>
      </c>
      <c r="M71" s="77"/>
    </row>
    <row r="72" spans="1:13" ht="15" customHeight="1">
      <c r="A72" s="13" t="str">
        <f t="shared" ref="A72:A135" si="14">VLOOKUP(WEEKDAY(B72),$N$7:$O$13,2)</f>
        <v>Tuesday</v>
      </c>
      <c r="B72" s="28">
        <f t="shared" si="3"/>
        <v>46147</v>
      </c>
      <c r="C72" s="108">
        <f t="shared" si="4"/>
        <v>3014.1010999999999</v>
      </c>
      <c r="D72" s="108">
        <f t="shared" si="5"/>
        <v>1841.6256000000001</v>
      </c>
      <c r="E72" s="108">
        <f t="shared" si="6"/>
        <v>3545.3957999999998</v>
      </c>
      <c r="F72" s="108">
        <f t="shared" si="7"/>
        <v>2260.8859000000002</v>
      </c>
      <c r="G72" s="108">
        <f t="shared" si="8"/>
        <v>945.81790000000001</v>
      </c>
      <c r="H72" s="108">
        <f t="shared" si="9"/>
        <v>1729.6768</v>
      </c>
      <c r="I72" s="108">
        <f t="shared" si="10"/>
        <v>1148.4661000000001</v>
      </c>
      <c r="J72" s="108">
        <f t="shared" si="13"/>
        <v>1286.3679</v>
      </c>
      <c r="K72" s="108">
        <f t="shared" si="11"/>
        <v>3535.8029000000001</v>
      </c>
      <c r="L72" s="108">
        <f t="shared" si="12"/>
        <v>1764.4664</v>
      </c>
      <c r="M72" s="77"/>
    </row>
    <row r="73" spans="1:13" ht="15" customHeight="1">
      <c r="A73" s="13" t="str">
        <f t="shared" si="14"/>
        <v>Wednesday</v>
      </c>
      <c r="B73" s="28">
        <f t="shared" ref="B73:B136" si="15">B72+1</f>
        <v>46148</v>
      </c>
      <c r="C73" s="108">
        <f t="shared" ref="C73:C136" si="16">ROUND(C72*(1+C$4),4)</f>
        <v>3014.1183999999998</v>
      </c>
      <c r="D73" s="108">
        <f t="shared" ref="D73:D136" si="17">ROUND(D72*(1+D$4),4)</f>
        <v>1841.6357</v>
      </c>
      <c r="E73" s="108">
        <f t="shared" ref="E73:E136" si="18">ROUND(E72*(1+E$4),4)</f>
        <v>3545.4200999999998</v>
      </c>
      <c r="F73" s="108">
        <f t="shared" ref="F73:F136" si="19">ROUND(F72*(1+F$4),4)</f>
        <v>2260.8951999999999</v>
      </c>
      <c r="G73" s="108">
        <f t="shared" ref="G73:G136" si="20">ROUND(G72*(1+G$4),4)</f>
        <v>945.82439999999997</v>
      </c>
      <c r="H73" s="108">
        <f t="shared" ref="H73:H136" si="21">ROUND(H72*(1+H$4),4)</f>
        <v>1729.6858</v>
      </c>
      <c r="I73" s="108">
        <f t="shared" ref="I73:I136" si="22">ROUND(I72*(1+I$4),4)</f>
        <v>1148.4739999999999</v>
      </c>
      <c r="J73" s="108">
        <f t="shared" ref="J73:J136" si="23">ROUND(J72*(1+J$4),4)</f>
        <v>1286.4208000000001</v>
      </c>
      <c r="K73" s="108">
        <f t="shared" ref="K73:K136" si="24">ROUND(K72*(1+K$4),4)</f>
        <v>3535.8029000000001</v>
      </c>
      <c r="L73" s="108">
        <f t="shared" ref="L73:L136" si="25">ROUND(L72*(1+L$4),4)</f>
        <v>1764.4784999999999</v>
      </c>
      <c r="M73" s="77"/>
    </row>
    <row r="74" spans="1:13" ht="15" customHeight="1">
      <c r="A74" s="13" t="str">
        <f t="shared" si="14"/>
        <v>Thursday</v>
      </c>
      <c r="B74" s="28">
        <f t="shared" si="15"/>
        <v>46149</v>
      </c>
      <c r="C74" s="108">
        <f t="shared" si="16"/>
        <v>3014.1356999999998</v>
      </c>
      <c r="D74" s="108">
        <f t="shared" si="17"/>
        <v>1841.6458</v>
      </c>
      <c r="E74" s="108">
        <f t="shared" si="18"/>
        <v>3545.4443999999999</v>
      </c>
      <c r="F74" s="108">
        <f t="shared" si="19"/>
        <v>2260.9045000000001</v>
      </c>
      <c r="G74" s="108">
        <f t="shared" si="20"/>
        <v>945.83090000000004</v>
      </c>
      <c r="H74" s="108">
        <f t="shared" si="21"/>
        <v>1729.6948</v>
      </c>
      <c r="I74" s="108">
        <f t="shared" si="22"/>
        <v>1148.4819</v>
      </c>
      <c r="J74" s="108">
        <f t="shared" si="23"/>
        <v>1286.4737</v>
      </c>
      <c r="K74" s="108">
        <f t="shared" si="24"/>
        <v>3535.8029000000001</v>
      </c>
      <c r="L74" s="108">
        <f t="shared" si="25"/>
        <v>1764.4906000000001</v>
      </c>
      <c r="M74" s="77"/>
    </row>
    <row r="75" spans="1:13" ht="15" customHeight="1">
      <c r="A75" s="13" t="str">
        <f t="shared" si="14"/>
        <v>Friday</v>
      </c>
      <c r="B75" s="28">
        <f t="shared" si="15"/>
        <v>46150</v>
      </c>
      <c r="C75" s="108">
        <f t="shared" si="16"/>
        <v>3014.1529999999998</v>
      </c>
      <c r="D75" s="108">
        <f t="shared" si="17"/>
        <v>1841.6559</v>
      </c>
      <c r="E75" s="108">
        <f t="shared" si="18"/>
        <v>3545.4686999999999</v>
      </c>
      <c r="F75" s="108">
        <f t="shared" si="19"/>
        <v>2260.9137999999998</v>
      </c>
      <c r="G75" s="108">
        <f t="shared" si="20"/>
        <v>945.8374</v>
      </c>
      <c r="H75" s="108">
        <f t="shared" si="21"/>
        <v>1729.7038</v>
      </c>
      <c r="I75" s="108">
        <f t="shared" si="22"/>
        <v>1148.4898000000001</v>
      </c>
      <c r="J75" s="108">
        <f t="shared" si="23"/>
        <v>1286.5265999999999</v>
      </c>
      <c r="K75" s="108">
        <f t="shared" si="24"/>
        <v>3535.8029000000001</v>
      </c>
      <c r="L75" s="108">
        <f t="shared" si="25"/>
        <v>1764.5027</v>
      </c>
      <c r="M75" s="77"/>
    </row>
    <row r="76" spans="1:13" ht="15" customHeight="1">
      <c r="A76" s="13" t="str">
        <f t="shared" si="14"/>
        <v>Saturday</v>
      </c>
      <c r="B76" s="28">
        <f t="shared" si="15"/>
        <v>46151</v>
      </c>
      <c r="C76" s="108">
        <f t="shared" si="16"/>
        <v>3014.1703000000002</v>
      </c>
      <c r="D76" s="108">
        <f t="shared" si="17"/>
        <v>1841.6659999999999</v>
      </c>
      <c r="E76" s="108">
        <f t="shared" si="18"/>
        <v>3545.4929999999999</v>
      </c>
      <c r="F76" s="108">
        <f t="shared" si="19"/>
        <v>2260.9231</v>
      </c>
      <c r="G76" s="108">
        <f t="shared" si="20"/>
        <v>945.84389999999996</v>
      </c>
      <c r="H76" s="108">
        <f t="shared" si="21"/>
        <v>1729.7128</v>
      </c>
      <c r="I76" s="108">
        <f t="shared" si="22"/>
        <v>1148.4976999999999</v>
      </c>
      <c r="J76" s="108">
        <f t="shared" si="23"/>
        <v>1286.5795000000001</v>
      </c>
      <c r="K76" s="108">
        <f t="shared" si="24"/>
        <v>3535.8029000000001</v>
      </c>
      <c r="L76" s="108">
        <f t="shared" si="25"/>
        <v>1764.5147999999999</v>
      </c>
      <c r="M76" s="77"/>
    </row>
    <row r="77" spans="1:13" ht="15" customHeight="1">
      <c r="A77" s="13" t="str">
        <f t="shared" si="14"/>
        <v>Sunday</v>
      </c>
      <c r="B77" s="28">
        <f t="shared" si="15"/>
        <v>46152</v>
      </c>
      <c r="C77" s="108">
        <f t="shared" si="16"/>
        <v>3014.1876000000002</v>
      </c>
      <c r="D77" s="108">
        <f t="shared" si="17"/>
        <v>1841.6760999999999</v>
      </c>
      <c r="E77" s="108">
        <f t="shared" si="18"/>
        <v>3545.5173</v>
      </c>
      <c r="F77" s="108">
        <f t="shared" si="19"/>
        <v>2260.9324000000001</v>
      </c>
      <c r="G77" s="108">
        <f t="shared" si="20"/>
        <v>945.85040000000004</v>
      </c>
      <c r="H77" s="108">
        <f t="shared" si="21"/>
        <v>1729.7218</v>
      </c>
      <c r="I77" s="108">
        <f t="shared" si="22"/>
        <v>1148.5056</v>
      </c>
      <c r="J77" s="108">
        <f t="shared" si="23"/>
        <v>1286.6324</v>
      </c>
      <c r="K77" s="108">
        <f t="shared" si="24"/>
        <v>3535.8029000000001</v>
      </c>
      <c r="L77" s="108">
        <f t="shared" si="25"/>
        <v>1764.5269000000001</v>
      </c>
      <c r="M77" s="77"/>
    </row>
    <row r="78" spans="1:13" ht="15" customHeight="1">
      <c r="A78" s="13" t="str">
        <f t="shared" si="14"/>
        <v>Monday</v>
      </c>
      <c r="B78" s="28">
        <f t="shared" si="15"/>
        <v>46153</v>
      </c>
      <c r="C78" s="108">
        <f t="shared" si="16"/>
        <v>3014.2049000000002</v>
      </c>
      <c r="D78" s="108">
        <f t="shared" si="17"/>
        <v>1841.6862000000001</v>
      </c>
      <c r="E78" s="108">
        <f t="shared" si="18"/>
        <v>3545.5416</v>
      </c>
      <c r="F78" s="108">
        <f t="shared" si="19"/>
        <v>2260.9416999999999</v>
      </c>
      <c r="G78" s="108">
        <f t="shared" si="20"/>
        <v>945.8569</v>
      </c>
      <c r="H78" s="108">
        <f t="shared" si="21"/>
        <v>1729.7308</v>
      </c>
      <c r="I78" s="108">
        <f t="shared" si="22"/>
        <v>1148.5135</v>
      </c>
      <c r="J78" s="108">
        <f t="shared" si="23"/>
        <v>1286.6853000000001</v>
      </c>
      <c r="K78" s="108">
        <f t="shared" si="24"/>
        <v>3535.8029000000001</v>
      </c>
      <c r="L78" s="108">
        <f t="shared" si="25"/>
        <v>1764.539</v>
      </c>
      <c r="M78" s="77"/>
    </row>
    <row r="79" spans="1:13" ht="15" customHeight="1">
      <c r="A79" s="13" t="str">
        <f t="shared" si="14"/>
        <v>Tuesday</v>
      </c>
      <c r="B79" s="28">
        <f t="shared" si="15"/>
        <v>46154</v>
      </c>
      <c r="C79" s="108">
        <f t="shared" si="16"/>
        <v>3014.2222000000002</v>
      </c>
      <c r="D79" s="108">
        <f t="shared" si="17"/>
        <v>1841.6963000000001</v>
      </c>
      <c r="E79" s="108">
        <f t="shared" si="18"/>
        <v>3545.5659000000001</v>
      </c>
      <c r="F79" s="108">
        <f t="shared" si="19"/>
        <v>2260.951</v>
      </c>
      <c r="G79" s="108">
        <f t="shared" si="20"/>
        <v>945.86339999999996</v>
      </c>
      <c r="H79" s="108">
        <f t="shared" si="21"/>
        <v>1729.7398000000001</v>
      </c>
      <c r="I79" s="108">
        <f t="shared" si="22"/>
        <v>1148.5214000000001</v>
      </c>
      <c r="J79" s="108">
        <f t="shared" si="23"/>
        <v>1286.7382</v>
      </c>
      <c r="K79" s="108">
        <f t="shared" si="24"/>
        <v>3535.8029000000001</v>
      </c>
      <c r="L79" s="108">
        <f t="shared" si="25"/>
        <v>1764.5510999999999</v>
      </c>
      <c r="M79" s="77"/>
    </row>
    <row r="80" spans="1:13" ht="15" customHeight="1">
      <c r="A80" s="13" t="str">
        <f t="shared" si="14"/>
        <v>Wednesday</v>
      </c>
      <c r="B80" s="28">
        <f t="shared" si="15"/>
        <v>46155</v>
      </c>
      <c r="C80" s="108">
        <f t="shared" si="16"/>
        <v>3014.2395000000001</v>
      </c>
      <c r="D80" s="108">
        <f t="shared" si="17"/>
        <v>1841.7064</v>
      </c>
      <c r="E80" s="108">
        <f t="shared" si="18"/>
        <v>3545.5902000000001</v>
      </c>
      <c r="F80" s="108">
        <f t="shared" si="19"/>
        <v>2260.9603000000002</v>
      </c>
      <c r="G80" s="108">
        <f t="shared" si="20"/>
        <v>945.86990000000003</v>
      </c>
      <c r="H80" s="108">
        <f t="shared" si="21"/>
        <v>1729.7488000000001</v>
      </c>
      <c r="I80" s="108">
        <f t="shared" si="22"/>
        <v>1148.5292999999999</v>
      </c>
      <c r="J80" s="108">
        <f t="shared" si="23"/>
        <v>1286.7910999999999</v>
      </c>
      <c r="K80" s="108">
        <f t="shared" si="24"/>
        <v>3535.8029000000001</v>
      </c>
      <c r="L80" s="108">
        <f t="shared" si="25"/>
        <v>1764.5632000000001</v>
      </c>
      <c r="M80" s="77"/>
    </row>
    <row r="81" spans="1:13" ht="15" customHeight="1">
      <c r="A81" s="13" t="str">
        <f t="shared" si="14"/>
        <v>Thursday</v>
      </c>
      <c r="B81" s="28">
        <f t="shared" si="15"/>
        <v>46156</v>
      </c>
      <c r="C81" s="108">
        <f t="shared" si="16"/>
        <v>3014.2568000000001</v>
      </c>
      <c r="D81" s="108">
        <f t="shared" si="17"/>
        <v>1841.7165</v>
      </c>
      <c r="E81" s="108">
        <f t="shared" si="18"/>
        <v>3545.6145000000001</v>
      </c>
      <c r="F81" s="108">
        <f t="shared" si="19"/>
        <v>2260.9695999999999</v>
      </c>
      <c r="G81" s="108">
        <f t="shared" si="20"/>
        <v>945.87639999999999</v>
      </c>
      <c r="H81" s="108">
        <f t="shared" si="21"/>
        <v>1729.7578000000001</v>
      </c>
      <c r="I81" s="108">
        <f t="shared" si="22"/>
        <v>1148.5372</v>
      </c>
      <c r="J81" s="108">
        <f t="shared" si="23"/>
        <v>1286.8440000000001</v>
      </c>
      <c r="K81" s="108">
        <f t="shared" si="24"/>
        <v>3535.8029000000001</v>
      </c>
      <c r="L81" s="108">
        <f t="shared" si="25"/>
        <v>1764.5753</v>
      </c>
      <c r="M81" s="77"/>
    </row>
    <row r="82" spans="1:13" ht="15" customHeight="1">
      <c r="A82" s="13" t="str">
        <f t="shared" si="14"/>
        <v>Friday</v>
      </c>
      <c r="B82" s="28">
        <f t="shared" si="15"/>
        <v>46157</v>
      </c>
      <c r="C82" s="108">
        <f t="shared" si="16"/>
        <v>3014.2741000000001</v>
      </c>
      <c r="D82" s="108">
        <f t="shared" si="17"/>
        <v>1841.7266</v>
      </c>
      <c r="E82" s="108">
        <f t="shared" si="18"/>
        <v>3545.6388000000002</v>
      </c>
      <c r="F82" s="108">
        <f t="shared" si="19"/>
        <v>2260.9789000000001</v>
      </c>
      <c r="G82" s="108">
        <f t="shared" si="20"/>
        <v>945.88289999999995</v>
      </c>
      <c r="H82" s="108">
        <f t="shared" si="21"/>
        <v>1729.7668000000001</v>
      </c>
      <c r="I82" s="108">
        <f t="shared" si="22"/>
        <v>1148.5451</v>
      </c>
      <c r="J82" s="108">
        <f t="shared" si="23"/>
        <v>1286.8969</v>
      </c>
      <c r="K82" s="108">
        <f t="shared" si="24"/>
        <v>3535.8029000000001</v>
      </c>
      <c r="L82" s="108">
        <f t="shared" si="25"/>
        <v>1764.5873999999999</v>
      </c>
      <c r="M82" s="77"/>
    </row>
    <row r="83" spans="1:13" ht="15" customHeight="1">
      <c r="A83" s="13" t="str">
        <f t="shared" si="14"/>
        <v>Saturday</v>
      </c>
      <c r="B83" s="28">
        <f t="shared" si="15"/>
        <v>46158</v>
      </c>
      <c r="C83" s="108">
        <f t="shared" si="16"/>
        <v>3014.2914000000001</v>
      </c>
      <c r="D83" s="108">
        <f t="shared" si="17"/>
        <v>1841.7366999999999</v>
      </c>
      <c r="E83" s="108">
        <f t="shared" si="18"/>
        <v>3545.6631000000002</v>
      </c>
      <c r="F83" s="108">
        <f t="shared" si="19"/>
        <v>2260.9881999999998</v>
      </c>
      <c r="G83" s="108">
        <f t="shared" si="20"/>
        <v>945.88940000000002</v>
      </c>
      <c r="H83" s="108">
        <f t="shared" si="21"/>
        <v>1729.7757999999999</v>
      </c>
      <c r="I83" s="108">
        <f t="shared" si="22"/>
        <v>1148.5530000000001</v>
      </c>
      <c r="J83" s="108">
        <f t="shared" si="23"/>
        <v>1286.9498000000001</v>
      </c>
      <c r="K83" s="108">
        <f t="shared" si="24"/>
        <v>3535.8029000000001</v>
      </c>
      <c r="L83" s="108">
        <f t="shared" si="25"/>
        <v>1764.5995</v>
      </c>
      <c r="M83" s="77"/>
    </row>
    <row r="84" spans="1:13" ht="15" customHeight="1">
      <c r="A84" s="13" t="str">
        <f t="shared" si="14"/>
        <v>Sunday</v>
      </c>
      <c r="B84" s="28">
        <f t="shared" si="15"/>
        <v>46159</v>
      </c>
      <c r="C84" s="108">
        <f t="shared" si="16"/>
        <v>3014.3087</v>
      </c>
      <c r="D84" s="108">
        <f t="shared" si="17"/>
        <v>1841.7467999999999</v>
      </c>
      <c r="E84" s="108">
        <f t="shared" si="18"/>
        <v>3545.6873999999998</v>
      </c>
      <c r="F84" s="108">
        <f t="shared" si="19"/>
        <v>2260.9974999999999</v>
      </c>
      <c r="G84" s="108">
        <f t="shared" si="20"/>
        <v>945.89589999999998</v>
      </c>
      <c r="H84" s="108">
        <f t="shared" si="21"/>
        <v>1729.7847999999999</v>
      </c>
      <c r="I84" s="108">
        <f t="shared" si="22"/>
        <v>1148.5608999999999</v>
      </c>
      <c r="J84" s="108">
        <f t="shared" si="23"/>
        <v>1287.0027</v>
      </c>
      <c r="K84" s="108">
        <f t="shared" si="24"/>
        <v>3535.8029000000001</v>
      </c>
      <c r="L84" s="108">
        <f t="shared" si="25"/>
        <v>1764.6116</v>
      </c>
      <c r="M84" s="77"/>
    </row>
    <row r="85" spans="1:13" ht="15" customHeight="1">
      <c r="A85" s="13" t="str">
        <f t="shared" si="14"/>
        <v>Monday</v>
      </c>
      <c r="B85" s="28">
        <f t="shared" si="15"/>
        <v>46160</v>
      </c>
      <c r="C85" s="108">
        <f t="shared" si="16"/>
        <v>3014.326</v>
      </c>
      <c r="D85" s="108">
        <f t="shared" si="17"/>
        <v>1841.7569000000001</v>
      </c>
      <c r="E85" s="108">
        <f t="shared" si="18"/>
        <v>3545.7116999999998</v>
      </c>
      <c r="F85" s="108">
        <f t="shared" si="19"/>
        <v>2261.0068000000001</v>
      </c>
      <c r="G85" s="108">
        <f t="shared" si="20"/>
        <v>945.90239999999994</v>
      </c>
      <c r="H85" s="108">
        <f t="shared" si="21"/>
        <v>1729.7937999999999</v>
      </c>
      <c r="I85" s="108">
        <f t="shared" si="22"/>
        <v>1148.5688</v>
      </c>
      <c r="J85" s="108">
        <f t="shared" si="23"/>
        <v>1287.0555999999999</v>
      </c>
      <c r="K85" s="108">
        <f t="shared" si="24"/>
        <v>3535.8029000000001</v>
      </c>
      <c r="L85" s="108">
        <f t="shared" si="25"/>
        <v>1764.6237000000001</v>
      </c>
      <c r="M85" s="77"/>
    </row>
    <row r="86" spans="1:13" ht="15" customHeight="1">
      <c r="A86" s="13" t="str">
        <f t="shared" si="14"/>
        <v>Tuesday</v>
      </c>
      <c r="B86" s="28">
        <f t="shared" si="15"/>
        <v>46161</v>
      </c>
      <c r="C86" s="108">
        <f t="shared" si="16"/>
        <v>3014.3433</v>
      </c>
      <c r="D86" s="108">
        <f t="shared" si="17"/>
        <v>1841.7670000000001</v>
      </c>
      <c r="E86" s="108">
        <f t="shared" si="18"/>
        <v>3545.7359999999999</v>
      </c>
      <c r="F86" s="108">
        <f t="shared" si="19"/>
        <v>2261.0160999999998</v>
      </c>
      <c r="G86" s="108">
        <f t="shared" si="20"/>
        <v>945.90890000000002</v>
      </c>
      <c r="H86" s="108">
        <f t="shared" si="21"/>
        <v>1729.8027999999999</v>
      </c>
      <c r="I86" s="108">
        <f t="shared" si="22"/>
        <v>1148.5767000000001</v>
      </c>
      <c r="J86" s="108">
        <f t="shared" si="23"/>
        <v>1287.1085</v>
      </c>
      <c r="K86" s="108">
        <f t="shared" si="24"/>
        <v>3535.8029000000001</v>
      </c>
      <c r="L86" s="108">
        <f t="shared" si="25"/>
        <v>1764.6358</v>
      </c>
      <c r="M86" s="77"/>
    </row>
    <row r="87" spans="1:13" ht="15" customHeight="1">
      <c r="A87" s="13" t="str">
        <f t="shared" si="14"/>
        <v>Wednesday</v>
      </c>
      <c r="B87" s="28">
        <f t="shared" si="15"/>
        <v>46162</v>
      </c>
      <c r="C87" s="108">
        <f t="shared" si="16"/>
        <v>3014.3606</v>
      </c>
      <c r="D87" s="108">
        <f t="shared" si="17"/>
        <v>1841.7771</v>
      </c>
      <c r="E87" s="108">
        <f t="shared" si="18"/>
        <v>3545.7602999999999</v>
      </c>
      <c r="F87" s="108">
        <f t="shared" si="19"/>
        <v>2261.0254</v>
      </c>
      <c r="G87" s="108">
        <f t="shared" si="20"/>
        <v>945.91539999999998</v>
      </c>
      <c r="H87" s="108">
        <f t="shared" si="21"/>
        <v>1729.8117999999999</v>
      </c>
      <c r="I87" s="108">
        <f t="shared" si="22"/>
        <v>1148.5845999999999</v>
      </c>
      <c r="J87" s="108">
        <f t="shared" si="23"/>
        <v>1287.1614</v>
      </c>
      <c r="K87" s="108">
        <f t="shared" si="24"/>
        <v>3535.8029000000001</v>
      </c>
      <c r="L87" s="108">
        <f t="shared" si="25"/>
        <v>1764.6478999999999</v>
      </c>
      <c r="M87" s="77"/>
    </row>
    <row r="88" spans="1:13" ht="15" customHeight="1">
      <c r="A88" s="13" t="str">
        <f t="shared" si="14"/>
        <v>Thursday</v>
      </c>
      <c r="B88" s="28">
        <f t="shared" si="15"/>
        <v>46163</v>
      </c>
      <c r="C88" s="108">
        <f t="shared" si="16"/>
        <v>3014.3779</v>
      </c>
      <c r="D88" s="108">
        <f t="shared" si="17"/>
        <v>1841.7872</v>
      </c>
      <c r="E88" s="108">
        <f t="shared" si="18"/>
        <v>3545.7846</v>
      </c>
      <c r="F88" s="108">
        <f t="shared" si="19"/>
        <v>2261.0347000000002</v>
      </c>
      <c r="G88" s="108">
        <f t="shared" si="20"/>
        <v>945.92190000000005</v>
      </c>
      <c r="H88" s="108">
        <f t="shared" si="21"/>
        <v>1729.8208</v>
      </c>
      <c r="I88" s="108">
        <f t="shared" si="22"/>
        <v>1148.5925</v>
      </c>
      <c r="J88" s="108">
        <f t="shared" si="23"/>
        <v>1287.2143000000001</v>
      </c>
      <c r="K88" s="108">
        <f t="shared" si="24"/>
        <v>3535.8029000000001</v>
      </c>
      <c r="L88" s="108">
        <f t="shared" si="25"/>
        <v>1764.66</v>
      </c>
      <c r="M88" s="77"/>
    </row>
    <row r="89" spans="1:13" ht="15" customHeight="1">
      <c r="A89" s="13" t="str">
        <f t="shared" si="14"/>
        <v>Friday</v>
      </c>
      <c r="B89" s="28">
        <f t="shared" si="15"/>
        <v>46164</v>
      </c>
      <c r="C89" s="108">
        <f t="shared" si="16"/>
        <v>3014.3951999999999</v>
      </c>
      <c r="D89" s="108">
        <f t="shared" si="17"/>
        <v>1841.7973</v>
      </c>
      <c r="E89" s="108">
        <f t="shared" si="18"/>
        <v>3545.8089</v>
      </c>
      <c r="F89" s="108">
        <f t="shared" si="19"/>
        <v>2261.0439999999999</v>
      </c>
      <c r="G89" s="108">
        <f t="shared" si="20"/>
        <v>945.92840000000001</v>
      </c>
      <c r="H89" s="108">
        <f t="shared" si="21"/>
        <v>1729.8298</v>
      </c>
      <c r="I89" s="108">
        <f t="shared" si="22"/>
        <v>1148.6004</v>
      </c>
      <c r="J89" s="108">
        <f t="shared" si="23"/>
        <v>1287.2672</v>
      </c>
      <c r="K89" s="108">
        <f t="shared" si="24"/>
        <v>3535.8029000000001</v>
      </c>
      <c r="L89" s="108">
        <f t="shared" si="25"/>
        <v>1764.6721</v>
      </c>
      <c r="M89" s="77"/>
    </row>
    <row r="90" spans="1:13" ht="15" customHeight="1">
      <c r="A90" s="13" t="str">
        <f t="shared" si="14"/>
        <v>Saturday</v>
      </c>
      <c r="B90" s="28">
        <f t="shared" si="15"/>
        <v>46165</v>
      </c>
      <c r="C90" s="108">
        <f t="shared" si="16"/>
        <v>3014.4124999999999</v>
      </c>
      <c r="D90" s="108">
        <f t="shared" si="17"/>
        <v>1841.8073999999999</v>
      </c>
      <c r="E90" s="108">
        <f t="shared" si="18"/>
        <v>3545.8332</v>
      </c>
      <c r="F90" s="108">
        <f t="shared" si="19"/>
        <v>2261.0533</v>
      </c>
      <c r="G90" s="108">
        <f t="shared" si="20"/>
        <v>945.93489999999997</v>
      </c>
      <c r="H90" s="108">
        <f t="shared" si="21"/>
        <v>1729.8388</v>
      </c>
      <c r="I90" s="108">
        <f t="shared" si="22"/>
        <v>1148.6083000000001</v>
      </c>
      <c r="J90" s="108">
        <f t="shared" si="23"/>
        <v>1287.3200999999999</v>
      </c>
      <c r="K90" s="108">
        <f t="shared" si="24"/>
        <v>3535.8029000000001</v>
      </c>
      <c r="L90" s="108">
        <f t="shared" si="25"/>
        <v>1764.6841999999999</v>
      </c>
      <c r="M90" s="77"/>
    </row>
    <row r="91" spans="1:13" ht="15" customHeight="1">
      <c r="A91" s="13" t="str">
        <f t="shared" si="14"/>
        <v>Sunday</v>
      </c>
      <c r="B91" s="28">
        <f t="shared" si="15"/>
        <v>46166</v>
      </c>
      <c r="C91" s="108">
        <f t="shared" si="16"/>
        <v>3014.4297999999999</v>
      </c>
      <c r="D91" s="108">
        <f t="shared" si="17"/>
        <v>1841.8175000000001</v>
      </c>
      <c r="E91" s="108">
        <f t="shared" si="18"/>
        <v>3545.8575000000001</v>
      </c>
      <c r="F91" s="108">
        <f t="shared" si="19"/>
        <v>2261.0626000000002</v>
      </c>
      <c r="G91" s="108">
        <f t="shared" si="20"/>
        <v>945.94140000000004</v>
      </c>
      <c r="H91" s="108">
        <f t="shared" si="21"/>
        <v>1729.8478</v>
      </c>
      <c r="I91" s="108">
        <f t="shared" si="22"/>
        <v>1148.6161999999999</v>
      </c>
      <c r="J91" s="108">
        <f t="shared" si="23"/>
        <v>1287.373</v>
      </c>
      <c r="K91" s="108">
        <f t="shared" si="24"/>
        <v>3535.8029000000001</v>
      </c>
      <c r="L91" s="108">
        <f t="shared" si="25"/>
        <v>1764.6963000000001</v>
      </c>
      <c r="M91" s="77"/>
    </row>
    <row r="92" spans="1:13" ht="15" customHeight="1">
      <c r="A92" s="13" t="str">
        <f t="shared" si="14"/>
        <v>Monday</v>
      </c>
      <c r="B92" s="28">
        <f t="shared" si="15"/>
        <v>46167</v>
      </c>
      <c r="C92" s="108">
        <f t="shared" si="16"/>
        <v>3014.4470999999999</v>
      </c>
      <c r="D92" s="108">
        <f t="shared" si="17"/>
        <v>1841.8276000000001</v>
      </c>
      <c r="E92" s="108">
        <f t="shared" si="18"/>
        <v>3545.8818000000001</v>
      </c>
      <c r="F92" s="108">
        <f t="shared" si="19"/>
        <v>2261.0718999999999</v>
      </c>
      <c r="G92" s="108">
        <f t="shared" si="20"/>
        <v>945.9479</v>
      </c>
      <c r="H92" s="108">
        <f t="shared" si="21"/>
        <v>1729.8568</v>
      </c>
      <c r="I92" s="108">
        <f t="shared" si="22"/>
        <v>1148.6241</v>
      </c>
      <c r="J92" s="108">
        <f t="shared" si="23"/>
        <v>1287.4259</v>
      </c>
      <c r="K92" s="108">
        <f t="shared" si="24"/>
        <v>3535.8029000000001</v>
      </c>
      <c r="L92" s="108">
        <f t="shared" si="25"/>
        <v>1764.7084</v>
      </c>
      <c r="M92" s="77"/>
    </row>
    <row r="93" spans="1:13" ht="15" customHeight="1">
      <c r="A93" s="13" t="str">
        <f t="shared" si="14"/>
        <v>Tuesday</v>
      </c>
      <c r="B93" s="28">
        <f t="shared" si="15"/>
        <v>46168</v>
      </c>
      <c r="C93" s="108">
        <f t="shared" si="16"/>
        <v>3014.4643999999998</v>
      </c>
      <c r="D93" s="108">
        <f t="shared" si="17"/>
        <v>1841.8377</v>
      </c>
      <c r="E93" s="108">
        <f t="shared" si="18"/>
        <v>3545.9061000000002</v>
      </c>
      <c r="F93" s="108">
        <f t="shared" si="19"/>
        <v>2261.0812000000001</v>
      </c>
      <c r="G93" s="108">
        <f t="shared" si="20"/>
        <v>945.95439999999996</v>
      </c>
      <c r="H93" s="108">
        <f t="shared" si="21"/>
        <v>1729.8658</v>
      </c>
      <c r="I93" s="108">
        <f t="shared" si="22"/>
        <v>1148.6320000000001</v>
      </c>
      <c r="J93" s="108">
        <f t="shared" si="23"/>
        <v>1287.4788000000001</v>
      </c>
      <c r="K93" s="108">
        <f t="shared" si="24"/>
        <v>3535.8029000000001</v>
      </c>
      <c r="L93" s="108">
        <f t="shared" si="25"/>
        <v>1764.7204999999999</v>
      </c>
      <c r="M93" s="77"/>
    </row>
    <row r="94" spans="1:13" ht="15" customHeight="1">
      <c r="A94" s="13" t="str">
        <f t="shared" si="14"/>
        <v>Wednesday</v>
      </c>
      <c r="B94" s="28">
        <f t="shared" si="15"/>
        <v>46169</v>
      </c>
      <c r="C94" s="108">
        <f t="shared" si="16"/>
        <v>3014.4816999999998</v>
      </c>
      <c r="D94" s="108">
        <f t="shared" si="17"/>
        <v>1841.8478</v>
      </c>
      <c r="E94" s="108">
        <f t="shared" si="18"/>
        <v>3545.9304000000002</v>
      </c>
      <c r="F94" s="108">
        <f t="shared" si="19"/>
        <v>2261.0904999999998</v>
      </c>
      <c r="G94" s="108">
        <f t="shared" si="20"/>
        <v>945.96090000000004</v>
      </c>
      <c r="H94" s="108">
        <f t="shared" si="21"/>
        <v>1729.8748000000001</v>
      </c>
      <c r="I94" s="108">
        <f t="shared" si="22"/>
        <v>1148.6398999999999</v>
      </c>
      <c r="J94" s="108">
        <f t="shared" si="23"/>
        <v>1287.5317</v>
      </c>
      <c r="K94" s="108">
        <f t="shared" si="24"/>
        <v>3535.8029000000001</v>
      </c>
      <c r="L94" s="108">
        <f t="shared" si="25"/>
        <v>1764.7326</v>
      </c>
      <c r="M94" s="77"/>
    </row>
    <row r="95" spans="1:13" ht="15" customHeight="1">
      <c r="A95" s="13" t="str">
        <f t="shared" si="14"/>
        <v>Thursday</v>
      </c>
      <c r="B95" s="28">
        <f t="shared" si="15"/>
        <v>46170</v>
      </c>
      <c r="C95" s="108">
        <f t="shared" si="16"/>
        <v>3014.4989999999998</v>
      </c>
      <c r="D95" s="108">
        <f t="shared" si="17"/>
        <v>1841.8579</v>
      </c>
      <c r="E95" s="108">
        <f t="shared" si="18"/>
        <v>3545.9546999999998</v>
      </c>
      <c r="F95" s="108">
        <f t="shared" si="19"/>
        <v>2261.0998</v>
      </c>
      <c r="G95" s="108">
        <f t="shared" si="20"/>
        <v>945.9674</v>
      </c>
      <c r="H95" s="108">
        <f t="shared" si="21"/>
        <v>1729.8838000000001</v>
      </c>
      <c r="I95" s="108">
        <f t="shared" si="22"/>
        <v>1148.6478</v>
      </c>
      <c r="J95" s="108">
        <f t="shared" si="23"/>
        <v>1287.5845999999999</v>
      </c>
      <c r="K95" s="108">
        <f t="shared" si="24"/>
        <v>3535.8029000000001</v>
      </c>
      <c r="L95" s="108">
        <f t="shared" si="25"/>
        <v>1764.7447</v>
      </c>
      <c r="M95" s="77"/>
    </row>
    <row r="96" spans="1:13" ht="15" customHeight="1">
      <c r="A96" s="13" t="str">
        <f t="shared" si="14"/>
        <v>Friday</v>
      </c>
      <c r="B96" s="28">
        <f t="shared" si="15"/>
        <v>46171</v>
      </c>
      <c r="C96" s="108">
        <f t="shared" si="16"/>
        <v>3014.5162999999998</v>
      </c>
      <c r="D96" s="108">
        <f t="shared" si="17"/>
        <v>1841.8679999999999</v>
      </c>
      <c r="E96" s="108">
        <f t="shared" si="18"/>
        <v>3545.9789999999998</v>
      </c>
      <c r="F96" s="108">
        <f t="shared" si="19"/>
        <v>2261.1091000000001</v>
      </c>
      <c r="G96" s="108">
        <f t="shared" si="20"/>
        <v>945.97389999999996</v>
      </c>
      <c r="H96" s="108">
        <f t="shared" si="21"/>
        <v>1729.8928000000001</v>
      </c>
      <c r="I96" s="108">
        <f t="shared" si="22"/>
        <v>1148.6557</v>
      </c>
      <c r="J96" s="108">
        <f t="shared" si="23"/>
        <v>1287.6375</v>
      </c>
      <c r="K96" s="108">
        <f t="shared" si="24"/>
        <v>3535.8029000000001</v>
      </c>
      <c r="L96" s="108">
        <f t="shared" si="25"/>
        <v>1764.7568000000001</v>
      </c>
      <c r="M96" s="77"/>
    </row>
    <row r="97" spans="1:13" ht="15" customHeight="1">
      <c r="A97" s="13" t="str">
        <f t="shared" si="14"/>
        <v>Saturday</v>
      </c>
      <c r="B97" s="28">
        <f t="shared" si="15"/>
        <v>46172</v>
      </c>
      <c r="C97" s="108">
        <f t="shared" si="16"/>
        <v>3014.5336000000002</v>
      </c>
      <c r="D97" s="108">
        <f t="shared" si="17"/>
        <v>1841.8780999999999</v>
      </c>
      <c r="E97" s="108">
        <f t="shared" si="18"/>
        <v>3546.0032999999999</v>
      </c>
      <c r="F97" s="108">
        <f t="shared" si="19"/>
        <v>2261.1183999999998</v>
      </c>
      <c r="G97" s="108">
        <f t="shared" si="20"/>
        <v>945.98040000000003</v>
      </c>
      <c r="H97" s="108">
        <f t="shared" si="21"/>
        <v>1729.9018000000001</v>
      </c>
      <c r="I97" s="108">
        <f t="shared" si="22"/>
        <v>1148.6636000000001</v>
      </c>
      <c r="J97" s="108">
        <f t="shared" si="23"/>
        <v>1287.6904</v>
      </c>
      <c r="K97" s="108">
        <f t="shared" si="24"/>
        <v>3535.8029000000001</v>
      </c>
      <c r="L97" s="108">
        <f t="shared" si="25"/>
        <v>1764.7689</v>
      </c>
      <c r="M97" s="77"/>
    </row>
    <row r="98" spans="1:13" ht="15" customHeight="1">
      <c r="A98" s="13" t="str">
        <f t="shared" si="14"/>
        <v>Sunday</v>
      </c>
      <c r="B98" s="28">
        <f t="shared" si="15"/>
        <v>46173</v>
      </c>
      <c r="C98" s="108">
        <f t="shared" si="16"/>
        <v>3014.5509000000002</v>
      </c>
      <c r="D98" s="108">
        <f t="shared" si="17"/>
        <v>1841.8882000000001</v>
      </c>
      <c r="E98" s="108">
        <f t="shared" si="18"/>
        <v>3546.0275999999999</v>
      </c>
      <c r="F98" s="108">
        <f t="shared" si="19"/>
        <v>2261.1277</v>
      </c>
      <c r="G98" s="108">
        <f t="shared" si="20"/>
        <v>945.98689999999999</v>
      </c>
      <c r="H98" s="108">
        <f t="shared" si="21"/>
        <v>1729.9108000000001</v>
      </c>
      <c r="I98" s="108">
        <f t="shared" si="22"/>
        <v>1148.6714999999999</v>
      </c>
      <c r="J98" s="108">
        <f t="shared" si="23"/>
        <v>1287.7433000000001</v>
      </c>
      <c r="K98" s="108">
        <f t="shared" si="24"/>
        <v>3535.8029000000001</v>
      </c>
      <c r="L98" s="108">
        <f t="shared" si="25"/>
        <v>1764.7809999999999</v>
      </c>
      <c r="M98" s="77"/>
    </row>
    <row r="99" spans="1:13" ht="15" customHeight="1">
      <c r="A99" s="13" t="str">
        <f t="shared" si="14"/>
        <v>Monday</v>
      </c>
      <c r="B99" s="28">
        <f t="shared" si="15"/>
        <v>46174</v>
      </c>
      <c r="C99" s="108">
        <f t="shared" si="16"/>
        <v>3014.5682000000002</v>
      </c>
      <c r="D99" s="108">
        <f t="shared" si="17"/>
        <v>1841.8983000000001</v>
      </c>
      <c r="E99" s="108">
        <f t="shared" si="18"/>
        <v>3546.0518999999999</v>
      </c>
      <c r="F99" s="108">
        <f t="shared" si="19"/>
        <v>2261.1370000000002</v>
      </c>
      <c r="G99" s="108">
        <f t="shared" si="20"/>
        <v>945.99339999999995</v>
      </c>
      <c r="H99" s="108">
        <f t="shared" si="21"/>
        <v>1729.9197999999999</v>
      </c>
      <c r="I99" s="108">
        <f t="shared" si="22"/>
        <v>1148.6794</v>
      </c>
      <c r="J99" s="108">
        <f t="shared" si="23"/>
        <v>1287.7962</v>
      </c>
      <c r="K99" s="108">
        <f t="shared" si="24"/>
        <v>3535.8029000000001</v>
      </c>
      <c r="L99" s="108">
        <f t="shared" si="25"/>
        <v>1764.7931000000001</v>
      </c>
      <c r="M99" s="77"/>
    </row>
    <row r="100" spans="1:13" ht="15" customHeight="1">
      <c r="A100" s="13" t="str">
        <f t="shared" si="14"/>
        <v>Tuesday</v>
      </c>
      <c r="B100" s="28">
        <f t="shared" si="15"/>
        <v>46175</v>
      </c>
      <c r="C100" s="108">
        <f t="shared" si="16"/>
        <v>3014.5855000000001</v>
      </c>
      <c r="D100" s="108">
        <f t="shared" si="17"/>
        <v>1841.9084</v>
      </c>
      <c r="E100" s="108">
        <f t="shared" si="18"/>
        <v>3546.0762</v>
      </c>
      <c r="F100" s="108">
        <f t="shared" si="19"/>
        <v>2261.1462999999999</v>
      </c>
      <c r="G100" s="108">
        <f t="shared" si="20"/>
        <v>945.99990000000003</v>
      </c>
      <c r="H100" s="108">
        <f t="shared" si="21"/>
        <v>1729.9287999999999</v>
      </c>
      <c r="I100" s="108">
        <f t="shared" si="22"/>
        <v>1148.6873000000001</v>
      </c>
      <c r="J100" s="108">
        <f t="shared" si="23"/>
        <v>1287.8490999999999</v>
      </c>
      <c r="K100" s="108">
        <f t="shared" si="24"/>
        <v>3535.8029000000001</v>
      </c>
      <c r="L100" s="108">
        <f t="shared" si="25"/>
        <v>1764.8052</v>
      </c>
      <c r="M100" s="77"/>
    </row>
    <row r="101" spans="1:13" ht="15" customHeight="1">
      <c r="A101" s="13" t="str">
        <f t="shared" si="14"/>
        <v>Wednesday</v>
      </c>
      <c r="B101" s="28">
        <f t="shared" si="15"/>
        <v>46176</v>
      </c>
      <c r="C101" s="108">
        <f t="shared" si="16"/>
        <v>3014.6028000000001</v>
      </c>
      <c r="D101" s="108">
        <f t="shared" si="17"/>
        <v>1841.9185</v>
      </c>
      <c r="E101" s="108">
        <f t="shared" si="18"/>
        <v>3546.1005</v>
      </c>
      <c r="F101" s="108">
        <f t="shared" si="19"/>
        <v>2261.1556</v>
      </c>
      <c r="G101" s="108">
        <f t="shared" si="20"/>
        <v>946.00639999999999</v>
      </c>
      <c r="H101" s="108">
        <f t="shared" si="21"/>
        <v>1729.9377999999999</v>
      </c>
      <c r="I101" s="108">
        <f t="shared" si="22"/>
        <v>1148.6952000000001</v>
      </c>
      <c r="J101" s="108">
        <f t="shared" si="23"/>
        <v>1287.902</v>
      </c>
      <c r="K101" s="108">
        <f t="shared" si="24"/>
        <v>3535.8029000000001</v>
      </c>
      <c r="L101" s="108">
        <f t="shared" si="25"/>
        <v>1764.8172999999999</v>
      </c>
      <c r="M101" s="77"/>
    </row>
    <row r="102" spans="1:13" ht="15" customHeight="1">
      <c r="A102" s="13" t="str">
        <f t="shared" si="14"/>
        <v>Thursday</v>
      </c>
      <c r="B102" s="28">
        <f t="shared" si="15"/>
        <v>46177</v>
      </c>
      <c r="C102" s="108">
        <f t="shared" si="16"/>
        <v>3014.6201000000001</v>
      </c>
      <c r="D102" s="108">
        <f t="shared" si="17"/>
        <v>1841.9286</v>
      </c>
      <c r="E102" s="108">
        <f t="shared" si="18"/>
        <v>3546.1248000000001</v>
      </c>
      <c r="F102" s="108">
        <f t="shared" si="19"/>
        <v>2261.1649000000002</v>
      </c>
      <c r="G102" s="108">
        <f t="shared" si="20"/>
        <v>946.01289999999995</v>
      </c>
      <c r="H102" s="108">
        <f t="shared" si="21"/>
        <v>1729.9467999999999</v>
      </c>
      <c r="I102" s="108">
        <f t="shared" si="22"/>
        <v>1148.7030999999999</v>
      </c>
      <c r="J102" s="108">
        <f t="shared" si="23"/>
        <v>1287.9549</v>
      </c>
      <c r="K102" s="108">
        <f t="shared" si="24"/>
        <v>3535.8029000000001</v>
      </c>
      <c r="L102" s="108">
        <f t="shared" si="25"/>
        <v>1764.8294000000001</v>
      </c>
      <c r="M102" s="77"/>
    </row>
    <row r="103" spans="1:13" ht="15" customHeight="1">
      <c r="A103" s="13" t="str">
        <f t="shared" si="14"/>
        <v>Friday</v>
      </c>
      <c r="B103" s="28">
        <f t="shared" si="15"/>
        <v>46178</v>
      </c>
      <c r="C103" s="108">
        <f t="shared" si="16"/>
        <v>3014.6374000000001</v>
      </c>
      <c r="D103" s="108">
        <f t="shared" si="17"/>
        <v>1841.9386999999999</v>
      </c>
      <c r="E103" s="108">
        <f t="shared" si="18"/>
        <v>3546.1491000000001</v>
      </c>
      <c r="F103" s="108">
        <f t="shared" si="19"/>
        <v>2261.1741999999999</v>
      </c>
      <c r="G103" s="108">
        <f t="shared" si="20"/>
        <v>946.01940000000002</v>
      </c>
      <c r="H103" s="108">
        <f t="shared" si="21"/>
        <v>1729.9558</v>
      </c>
      <c r="I103" s="108">
        <f t="shared" si="22"/>
        <v>1148.711</v>
      </c>
      <c r="J103" s="108">
        <f t="shared" si="23"/>
        <v>1288.0078000000001</v>
      </c>
      <c r="K103" s="108">
        <f t="shared" si="24"/>
        <v>3535.8029000000001</v>
      </c>
      <c r="L103" s="108">
        <f t="shared" si="25"/>
        <v>1764.8415</v>
      </c>
      <c r="M103" s="77"/>
    </row>
    <row r="104" spans="1:13" ht="15" customHeight="1">
      <c r="A104" s="13" t="str">
        <f t="shared" si="14"/>
        <v>Saturday</v>
      </c>
      <c r="B104" s="28">
        <f t="shared" si="15"/>
        <v>46179</v>
      </c>
      <c r="C104" s="108">
        <f t="shared" si="16"/>
        <v>3014.6547</v>
      </c>
      <c r="D104" s="108">
        <f t="shared" si="17"/>
        <v>1841.9487999999999</v>
      </c>
      <c r="E104" s="108">
        <f t="shared" si="18"/>
        <v>3546.1734000000001</v>
      </c>
      <c r="F104" s="108">
        <f t="shared" si="19"/>
        <v>2261.1835000000001</v>
      </c>
      <c r="G104" s="108">
        <f t="shared" si="20"/>
        <v>946.02589999999998</v>
      </c>
      <c r="H104" s="108">
        <f t="shared" si="21"/>
        <v>1729.9648</v>
      </c>
      <c r="I104" s="108">
        <f t="shared" si="22"/>
        <v>1148.7189000000001</v>
      </c>
      <c r="J104" s="108">
        <f t="shared" si="23"/>
        <v>1288.0607</v>
      </c>
      <c r="K104" s="108">
        <f t="shared" si="24"/>
        <v>3535.8029000000001</v>
      </c>
      <c r="L104" s="108">
        <f t="shared" si="25"/>
        <v>1764.8535999999999</v>
      </c>
      <c r="M104" s="77"/>
    </row>
    <row r="105" spans="1:13" ht="15" customHeight="1">
      <c r="A105" s="13" t="str">
        <f t="shared" si="14"/>
        <v>Sunday</v>
      </c>
      <c r="B105" s="28">
        <f t="shared" si="15"/>
        <v>46180</v>
      </c>
      <c r="C105" s="108">
        <f t="shared" si="16"/>
        <v>3014.672</v>
      </c>
      <c r="D105" s="108">
        <f t="shared" si="17"/>
        <v>1841.9589000000001</v>
      </c>
      <c r="E105" s="108">
        <f t="shared" si="18"/>
        <v>3546.1977000000002</v>
      </c>
      <c r="F105" s="108">
        <f t="shared" si="19"/>
        <v>2261.1927999999998</v>
      </c>
      <c r="G105" s="108">
        <f t="shared" si="20"/>
        <v>946.03240000000005</v>
      </c>
      <c r="H105" s="108">
        <f t="shared" si="21"/>
        <v>1729.9738</v>
      </c>
      <c r="I105" s="108">
        <f t="shared" si="22"/>
        <v>1148.7267999999999</v>
      </c>
      <c r="J105" s="108">
        <f t="shared" si="23"/>
        <v>1288.1135999999999</v>
      </c>
      <c r="K105" s="108">
        <f t="shared" si="24"/>
        <v>3535.8029000000001</v>
      </c>
      <c r="L105" s="108">
        <f t="shared" si="25"/>
        <v>1764.8657000000001</v>
      </c>
      <c r="M105" s="77"/>
    </row>
    <row r="106" spans="1:13" ht="15" customHeight="1">
      <c r="A106" s="13" t="str">
        <f t="shared" si="14"/>
        <v>Monday</v>
      </c>
      <c r="B106" s="28">
        <f t="shared" si="15"/>
        <v>46181</v>
      </c>
      <c r="C106" s="108">
        <f t="shared" si="16"/>
        <v>3014.6893</v>
      </c>
      <c r="D106" s="108">
        <f t="shared" si="17"/>
        <v>1841.9690000000001</v>
      </c>
      <c r="E106" s="108">
        <f t="shared" si="18"/>
        <v>3546.2220000000002</v>
      </c>
      <c r="F106" s="108">
        <f t="shared" si="19"/>
        <v>2261.2021</v>
      </c>
      <c r="G106" s="108">
        <f t="shared" si="20"/>
        <v>946.03890000000001</v>
      </c>
      <c r="H106" s="108">
        <f t="shared" si="21"/>
        <v>1729.9828</v>
      </c>
      <c r="I106" s="108">
        <f t="shared" si="22"/>
        <v>1148.7347</v>
      </c>
      <c r="J106" s="108">
        <f t="shared" si="23"/>
        <v>1288.1665</v>
      </c>
      <c r="K106" s="108">
        <f t="shared" si="24"/>
        <v>3535.8029000000001</v>
      </c>
      <c r="L106" s="108">
        <f t="shared" si="25"/>
        <v>1764.8778</v>
      </c>
      <c r="M106" s="77"/>
    </row>
    <row r="107" spans="1:13" ht="15" customHeight="1">
      <c r="A107" s="13" t="str">
        <f t="shared" si="14"/>
        <v>Tuesday</v>
      </c>
      <c r="B107" s="28">
        <f t="shared" si="15"/>
        <v>46182</v>
      </c>
      <c r="C107" s="108">
        <f t="shared" si="16"/>
        <v>3014.7066</v>
      </c>
      <c r="D107" s="108">
        <f t="shared" si="17"/>
        <v>1841.9791</v>
      </c>
      <c r="E107" s="108">
        <f t="shared" si="18"/>
        <v>3546.2462999999998</v>
      </c>
      <c r="F107" s="108">
        <f t="shared" si="19"/>
        <v>2261.2114000000001</v>
      </c>
      <c r="G107" s="108">
        <f t="shared" si="20"/>
        <v>946.04539999999997</v>
      </c>
      <c r="H107" s="108">
        <f t="shared" si="21"/>
        <v>1729.9918</v>
      </c>
      <c r="I107" s="108">
        <f t="shared" si="22"/>
        <v>1148.7426</v>
      </c>
      <c r="J107" s="108">
        <f t="shared" si="23"/>
        <v>1288.2194</v>
      </c>
      <c r="K107" s="108">
        <f t="shared" si="24"/>
        <v>3535.8029000000001</v>
      </c>
      <c r="L107" s="108">
        <f t="shared" si="25"/>
        <v>1764.8898999999999</v>
      </c>
      <c r="M107" s="77"/>
    </row>
    <row r="108" spans="1:13" ht="15" customHeight="1">
      <c r="A108" s="13" t="str">
        <f t="shared" si="14"/>
        <v>Wednesday</v>
      </c>
      <c r="B108" s="28">
        <f t="shared" si="15"/>
        <v>46183</v>
      </c>
      <c r="C108" s="108">
        <f t="shared" si="16"/>
        <v>3014.7239</v>
      </c>
      <c r="D108" s="108">
        <f t="shared" si="17"/>
        <v>1841.9892</v>
      </c>
      <c r="E108" s="108">
        <f t="shared" si="18"/>
        <v>3546.2705999999998</v>
      </c>
      <c r="F108" s="108">
        <f t="shared" si="19"/>
        <v>2261.2206999999999</v>
      </c>
      <c r="G108" s="108">
        <f t="shared" si="20"/>
        <v>946.05190000000005</v>
      </c>
      <c r="H108" s="108">
        <f t="shared" si="21"/>
        <v>1730.0008</v>
      </c>
      <c r="I108" s="108">
        <f t="shared" si="22"/>
        <v>1148.7505000000001</v>
      </c>
      <c r="J108" s="108">
        <f t="shared" si="23"/>
        <v>1288.2723000000001</v>
      </c>
      <c r="K108" s="108">
        <f t="shared" si="24"/>
        <v>3535.8029000000001</v>
      </c>
      <c r="L108" s="108">
        <f t="shared" si="25"/>
        <v>1764.902</v>
      </c>
      <c r="M108" s="77"/>
    </row>
    <row r="109" spans="1:13" ht="15" customHeight="1">
      <c r="A109" s="13" t="str">
        <f t="shared" si="14"/>
        <v>Thursday</v>
      </c>
      <c r="B109" s="28">
        <f t="shared" si="15"/>
        <v>46184</v>
      </c>
      <c r="C109" s="108">
        <f t="shared" si="16"/>
        <v>3014.7411999999999</v>
      </c>
      <c r="D109" s="108">
        <f t="shared" si="17"/>
        <v>1841.9992999999999</v>
      </c>
      <c r="E109" s="108">
        <f t="shared" si="18"/>
        <v>3546.2948999999999</v>
      </c>
      <c r="F109" s="108">
        <f t="shared" si="19"/>
        <v>2261.23</v>
      </c>
      <c r="G109" s="108">
        <f t="shared" si="20"/>
        <v>946.05840000000001</v>
      </c>
      <c r="H109" s="108">
        <f t="shared" si="21"/>
        <v>1730.0098</v>
      </c>
      <c r="I109" s="108">
        <f t="shared" si="22"/>
        <v>1148.7583999999999</v>
      </c>
      <c r="J109" s="108">
        <f t="shared" si="23"/>
        <v>1288.3252</v>
      </c>
      <c r="K109" s="108">
        <f t="shared" si="24"/>
        <v>3535.8029000000001</v>
      </c>
      <c r="L109" s="108">
        <f t="shared" si="25"/>
        <v>1764.9141</v>
      </c>
      <c r="M109" s="77"/>
    </row>
    <row r="110" spans="1:13" ht="15" customHeight="1">
      <c r="A110" s="13" t="str">
        <f t="shared" si="14"/>
        <v>Friday</v>
      </c>
      <c r="B110" s="28">
        <f t="shared" si="15"/>
        <v>46185</v>
      </c>
      <c r="C110" s="108">
        <f t="shared" si="16"/>
        <v>3014.7584999999999</v>
      </c>
      <c r="D110" s="108">
        <f t="shared" si="17"/>
        <v>1842.0093999999999</v>
      </c>
      <c r="E110" s="108">
        <f t="shared" si="18"/>
        <v>3546.3191999999999</v>
      </c>
      <c r="F110" s="108">
        <f t="shared" si="19"/>
        <v>2261.2393000000002</v>
      </c>
      <c r="G110" s="108">
        <f t="shared" si="20"/>
        <v>946.06489999999997</v>
      </c>
      <c r="H110" s="108">
        <f t="shared" si="21"/>
        <v>1730.0188000000001</v>
      </c>
      <c r="I110" s="108">
        <f t="shared" si="22"/>
        <v>1148.7663</v>
      </c>
      <c r="J110" s="108">
        <f t="shared" si="23"/>
        <v>1288.3780999999999</v>
      </c>
      <c r="K110" s="108">
        <f t="shared" si="24"/>
        <v>3535.8029000000001</v>
      </c>
      <c r="L110" s="108">
        <f t="shared" si="25"/>
        <v>1764.9262000000001</v>
      </c>
      <c r="M110" s="77"/>
    </row>
    <row r="111" spans="1:13" ht="15" customHeight="1">
      <c r="A111" s="13" t="str">
        <f t="shared" si="14"/>
        <v>Saturday</v>
      </c>
      <c r="B111" s="28">
        <f t="shared" si="15"/>
        <v>46186</v>
      </c>
      <c r="C111" s="108">
        <f t="shared" si="16"/>
        <v>3014.7757999999999</v>
      </c>
      <c r="D111" s="108">
        <f t="shared" si="17"/>
        <v>1842.0195000000001</v>
      </c>
      <c r="E111" s="108">
        <f t="shared" si="18"/>
        <v>3546.3434999999999</v>
      </c>
      <c r="F111" s="108">
        <f t="shared" si="19"/>
        <v>2261.2485999999999</v>
      </c>
      <c r="G111" s="108">
        <f t="shared" si="20"/>
        <v>946.07140000000004</v>
      </c>
      <c r="H111" s="108">
        <f t="shared" si="21"/>
        <v>1730.0278000000001</v>
      </c>
      <c r="I111" s="108">
        <f t="shared" si="22"/>
        <v>1148.7742000000001</v>
      </c>
      <c r="J111" s="108">
        <f t="shared" si="23"/>
        <v>1288.431</v>
      </c>
      <c r="K111" s="108">
        <f t="shared" si="24"/>
        <v>3535.8029000000001</v>
      </c>
      <c r="L111" s="108">
        <f t="shared" si="25"/>
        <v>1764.9383</v>
      </c>
      <c r="M111" s="77"/>
    </row>
    <row r="112" spans="1:13" ht="15" customHeight="1">
      <c r="A112" s="13" t="str">
        <f t="shared" si="14"/>
        <v>Sunday</v>
      </c>
      <c r="B112" s="28">
        <f t="shared" si="15"/>
        <v>46187</v>
      </c>
      <c r="C112" s="108">
        <f t="shared" si="16"/>
        <v>3014.7930999999999</v>
      </c>
      <c r="D112" s="108">
        <f t="shared" si="17"/>
        <v>1842.0296000000001</v>
      </c>
      <c r="E112" s="108">
        <f t="shared" si="18"/>
        <v>3546.3678</v>
      </c>
      <c r="F112" s="108">
        <f t="shared" si="19"/>
        <v>2261.2579000000001</v>
      </c>
      <c r="G112" s="108">
        <f t="shared" si="20"/>
        <v>946.0779</v>
      </c>
      <c r="H112" s="108">
        <f t="shared" si="21"/>
        <v>1730.0368000000001</v>
      </c>
      <c r="I112" s="108">
        <f t="shared" si="22"/>
        <v>1148.7820999999999</v>
      </c>
      <c r="J112" s="108">
        <f t="shared" si="23"/>
        <v>1288.4838999999999</v>
      </c>
      <c r="K112" s="108">
        <f t="shared" si="24"/>
        <v>3535.8029000000001</v>
      </c>
      <c r="L112" s="108">
        <f t="shared" si="25"/>
        <v>1764.9503999999999</v>
      </c>
      <c r="M112" s="77"/>
    </row>
    <row r="113" spans="1:13" ht="15" customHeight="1">
      <c r="A113" s="13" t="str">
        <f t="shared" si="14"/>
        <v>Monday</v>
      </c>
      <c r="B113" s="28">
        <f t="shared" si="15"/>
        <v>46188</v>
      </c>
      <c r="C113" s="108">
        <f t="shared" si="16"/>
        <v>3014.8103999999998</v>
      </c>
      <c r="D113" s="108">
        <f t="shared" si="17"/>
        <v>1842.0397</v>
      </c>
      <c r="E113" s="108">
        <f t="shared" si="18"/>
        <v>3546.3921</v>
      </c>
      <c r="F113" s="108">
        <f t="shared" si="19"/>
        <v>2261.2671999999998</v>
      </c>
      <c r="G113" s="108">
        <f t="shared" si="20"/>
        <v>946.08439999999996</v>
      </c>
      <c r="H113" s="108">
        <f t="shared" si="21"/>
        <v>1730.0458000000001</v>
      </c>
      <c r="I113" s="108">
        <f t="shared" si="22"/>
        <v>1148.79</v>
      </c>
      <c r="J113" s="108">
        <f t="shared" si="23"/>
        <v>1288.5369000000001</v>
      </c>
      <c r="K113" s="108">
        <f t="shared" si="24"/>
        <v>3535.8029000000001</v>
      </c>
      <c r="L113" s="108">
        <f t="shared" si="25"/>
        <v>1764.9625000000001</v>
      </c>
      <c r="M113" s="77"/>
    </row>
    <row r="114" spans="1:13" ht="15" customHeight="1">
      <c r="A114" s="13" t="str">
        <f t="shared" si="14"/>
        <v>Tuesday</v>
      </c>
      <c r="B114" s="28">
        <f t="shared" si="15"/>
        <v>46189</v>
      </c>
      <c r="C114" s="108">
        <f t="shared" si="16"/>
        <v>3014.8276999999998</v>
      </c>
      <c r="D114" s="108">
        <f t="shared" si="17"/>
        <v>1842.0498</v>
      </c>
      <c r="E114" s="108">
        <f t="shared" si="18"/>
        <v>3546.4164000000001</v>
      </c>
      <c r="F114" s="108">
        <f t="shared" si="19"/>
        <v>2261.2764999999999</v>
      </c>
      <c r="G114" s="108">
        <f t="shared" si="20"/>
        <v>946.09090000000003</v>
      </c>
      <c r="H114" s="108">
        <f t="shared" si="21"/>
        <v>1730.0547999999999</v>
      </c>
      <c r="I114" s="108">
        <f t="shared" si="22"/>
        <v>1148.7979</v>
      </c>
      <c r="J114" s="108">
        <f t="shared" si="23"/>
        <v>1288.5898999999999</v>
      </c>
      <c r="K114" s="108">
        <f t="shared" si="24"/>
        <v>3535.8029000000001</v>
      </c>
      <c r="L114" s="108">
        <f t="shared" si="25"/>
        <v>1764.9746</v>
      </c>
      <c r="M114" s="77"/>
    </row>
    <row r="115" spans="1:13" ht="15" customHeight="1">
      <c r="A115" s="13" t="str">
        <f t="shared" si="14"/>
        <v>Wednesday</v>
      </c>
      <c r="B115" s="28">
        <f t="shared" si="15"/>
        <v>46190</v>
      </c>
      <c r="C115" s="108">
        <f t="shared" si="16"/>
        <v>3014.8449999999998</v>
      </c>
      <c r="D115" s="108">
        <f t="shared" si="17"/>
        <v>1842.0599</v>
      </c>
      <c r="E115" s="108">
        <f t="shared" si="18"/>
        <v>3546.4407000000001</v>
      </c>
      <c r="F115" s="108">
        <f t="shared" si="19"/>
        <v>2261.2858000000001</v>
      </c>
      <c r="G115" s="108">
        <f t="shared" si="20"/>
        <v>946.09739999999999</v>
      </c>
      <c r="H115" s="108">
        <f>ROUND(H114*(1+H$4),4)</f>
        <v>1730.0637999999999</v>
      </c>
      <c r="I115" s="108">
        <f t="shared" si="22"/>
        <v>1148.8058000000001</v>
      </c>
      <c r="J115" s="108">
        <f t="shared" si="23"/>
        <v>1288.6429000000001</v>
      </c>
      <c r="K115" s="108">
        <f t="shared" si="24"/>
        <v>3535.8029000000001</v>
      </c>
      <c r="L115" s="108">
        <f t="shared" si="25"/>
        <v>1764.9866999999999</v>
      </c>
      <c r="M115" s="77"/>
    </row>
    <row r="116" spans="1:13" ht="15" customHeight="1">
      <c r="A116" s="13" t="str">
        <f t="shared" si="14"/>
        <v>Thursday</v>
      </c>
      <c r="B116" s="28">
        <f t="shared" si="15"/>
        <v>46191</v>
      </c>
      <c r="C116" s="108">
        <f t="shared" si="16"/>
        <v>3014.8622999999998</v>
      </c>
      <c r="D116" s="108">
        <f t="shared" si="17"/>
        <v>1842.07</v>
      </c>
      <c r="E116" s="108">
        <f t="shared" si="18"/>
        <v>3546.4650000000001</v>
      </c>
      <c r="F116" s="108">
        <f t="shared" si="19"/>
        <v>2261.2950999999998</v>
      </c>
      <c r="G116" s="108">
        <f t="shared" si="20"/>
        <v>946.10389999999995</v>
      </c>
      <c r="H116" s="108">
        <f t="shared" si="21"/>
        <v>1730.0727999999999</v>
      </c>
      <c r="I116" s="108">
        <f t="shared" si="22"/>
        <v>1148.8136999999999</v>
      </c>
      <c r="J116" s="108">
        <f t="shared" si="23"/>
        <v>1288.6958999999999</v>
      </c>
      <c r="K116" s="108">
        <f t="shared" si="24"/>
        <v>3535.8029000000001</v>
      </c>
      <c r="L116" s="108">
        <f t="shared" si="25"/>
        <v>1764.9988000000001</v>
      </c>
      <c r="M116" s="77"/>
    </row>
    <row r="117" spans="1:13" ht="15" customHeight="1">
      <c r="A117" s="13" t="str">
        <f t="shared" si="14"/>
        <v>Friday</v>
      </c>
      <c r="B117" s="28">
        <f t="shared" si="15"/>
        <v>46192</v>
      </c>
      <c r="C117" s="108">
        <f t="shared" si="16"/>
        <v>3014.8796000000002</v>
      </c>
      <c r="D117" s="108">
        <f t="shared" si="17"/>
        <v>1842.0800999999999</v>
      </c>
      <c r="E117" s="108">
        <f t="shared" si="18"/>
        <v>3546.4893000000002</v>
      </c>
      <c r="F117" s="108">
        <f t="shared" si="19"/>
        <v>2261.3044</v>
      </c>
      <c r="G117" s="108">
        <f t="shared" si="20"/>
        <v>946.11040000000003</v>
      </c>
      <c r="H117" s="108">
        <f t="shared" si="21"/>
        <v>1730.0817999999999</v>
      </c>
      <c r="I117" s="108">
        <f t="shared" si="22"/>
        <v>1148.8216</v>
      </c>
      <c r="J117" s="108">
        <f t="shared" si="23"/>
        <v>1288.7489</v>
      </c>
      <c r="K117" s="108">
        <f t="shared" si="24"/>
        <v>3535.8029000000001</v>
      </c>
      <c r="L117" s="108">
        <f t="shared" si="25"/>
        <v>1765.0109</v>
      </c>
      <c r="M117" s="77"/>
    </row>
    <row r="118" spans="1:13" ht="15" customHeight="1">
      <c r="A118" s="13" t="str">
        <f t="shared" si="14"/>
        <v>Saturday</v>
      </c>
      <c r="B118" s="28">
        <f t="shared" si="15"/>
        <v>46193</v>
      </c>
      <c r="C118" s="108">
        <f t="shared" si="16"/>
        <v>3014.8969000000002</v>
      </c>
      <c r="D118" s="108">
        <f t="shared" si="17"/>
        <v>1842.0902000000001</v>
      </c>
      <c r="E118" s="108">
        <f t="shared" si="18"/>
        <v>3546.5136000000002</v>
      </c>
      <c r="F118" s="108">
        <f t="shared" si="19"/>
        <v>2261.3137000000002</v>
      </c>
      <c r="G118" s="108">
        <f t="shared" si="20"/>
        <v>946.11689999999999</v>
      </c>
      <c r="H118" s="108">
        <f t="shared" si="21"/>
        <v>1730.0907999999999</v>
      </c>
      <c r="I118" s="108">
        <f t="shared" si="22"/>
        <v>1148.8295000000001</v>
      </c>
      <c r="J118" s="108">
        <f t="shared" si="23"/>
        <v>1288.8018999999999</v>
      </c>
      <c r="K118" s="108">
        <f t="shared" si="24"/>
        <v>3535.8029000000001</v>
      </c>
      <c r="L118" s="108">
        <f t="shared" si="25"/>
        <v>1765.0229999999999</v>
      </c>
      <c r="M118" s="77"/>
    </row>
    <row r="119" spans="1:13" ht="15" customHeight="1">
      <c r="A119" s="13" t="str">
        <f t="shared" si="14"/>
        <v>Sunday</v>
      </c>
      <c r="B119" s="28">
        <f t="shared" si="15"/>
        <v>46194</v>
      </c>
      <c r="C119" s="108">
        <f t="shared" si="16"/>
        <v>3014.9142000000002</v>
      </c>
      <c r="D119" s="108">
        <f t="shared" si="17"/>
        <v>1842.1003000000001</v>
      </c>
      <c r="E119" s="108">
        <f t="shared" si="18"/>
        <v>3546.5378999999998</v>
      </c>
      <c r="F119" s="108">
        <f t="shared" si="19"/>
        <v>2261.3229999999999</v>
      </c>
      <c r="G119" s="108">
        <f t="shared" si="20"/>
        <v>946.12339999999995</v>
      </c>
      <c r="H119" s="108">
        <f t="shared" si="21"/>
        <v>1730.0998</v>
      </c>
      <c r="I119" s="108">
        <f t="shared" si="22"/>
        <v>1148.8373999999999</v>
      </c>
      <c r="J119" s="108">
        <f t="shared" si="23"/>
        <v>1288.8549</v>
      </c>
      <c r="K119" s="108">
        <f t="shared" si="24"/>
        <v>3535.8029000000001</v>
      </c>
      <c r="L119" s="108">
        <f t="shared" si="25"/>
        <v>1765.0351000000001</v>
      </c>
      <c r="M119" s="77"/>
    </row>
    <row r="120" spans="1:13" ht="15" customHeight="1">
      <c r="A120" s="13" t="str">
        <f t="shared" si="14"/>
        <v>Monday</v>
      </c>
      <c r="B120" s="28">
        <f t="shared" si="15"/>
        <v>46195</v>
      </c>
      <c r="C120" s="108">
        <f t="shared" si="16"/>
        <v>3014.9315000000001</v>
      </c>
      <c r="D120" s="108">
        <f t="shared" si="17"/>
        <v>1842.1104</v>
      </c>
      <c r="E120" s="108">
        <f t="shared" si="18"/>
        <v>3546.5621999999998</v>
      </c>
      <c r="F120" s="108">
        <f t="shared" si="19"/>
        <v>2261.3323</v>
      </c>
      <c r="G120" s="108">
        <f t="shared" si="20"/>
        <v>946.12990000000002</v>
      </c>
      <c r="H120" s="108">
        <f t="shared" si="21"/>
        <v>1730.1088</v>
      </c>
      <c r="I120" s="108">
        <f t="shared" si="22"/>
        <v>1148.8453</v>
      </c>
      <c r="J120" s="108">
        <f t="shared" si="23"/>
        <v>1288.9078999999999</v>
      </c>
      <c r="K120" s="108">
        <f t="shared" si="24"/>
        <v>3535.8029000000001</v>
      </c>
      <c r="L120" s="108">
        <f t="shared" si="25"/>
        <v>1765.0472</v>
      </c>
      <c r="M120" s="77"/>
    </row>
    <row r="121" spans="1:13" ht="15" customHeight="1">
      <c r="A121" s="13" t="str">
        <f t="shared" si="14"/>
        <v>Tuesday</v>
      </c>
      <c r="B121" s="28">
        <f t="shared" si="15"/>
        <v>46196</v>
      </c>
      <c r="C121" s="108">
        <f t="shared" si="16"/>
        <v>3014.9488000000001</v>
      </c>
      <c r="D121" s="108">
        <f t="shared" si="17"/>
        <v>1842.1205</v>
      </c>
      <c r="E121" s="108">
        <f t="shared" si="18"/>
        <v>3546.5864999999999</v>
      </c>
      <c r="F121" s="108">
        <f t="shared" si="19"/>
        <v>2261.3416000000002</v>
      </c>
      <c r="G121" s="108">
        <f t="shared" si="20"/>
        <v>946.13639999999998</v>
      </c>
      <c r="H121" s="108">
        <f t="shared" si="21"/>
        <v>1730.1178</v>
      </c>
      <c r="I121" s="108">
        <f t="shared" si="22"/>
        <v>1148.8532</v>
      </c>
      <c r="J121" s="108">
        <f t="shared" si="23"/>
        <v>1288.9609</v>
      </c>
      <c r="K121" s="108">
        <f t="shared" si="24"/>
        <v>3535.8029000000001</v>
      </c>
      <c r="L121" s="108">
        <f t="shared" si="25"/>
        <v>1765.0592999999999</v>
      </c>
      <c r="M121" s="77"/>
    </row>
    <row r="122" spans="1:13" ht="15" customHeight="1">
      <c r="A122" s="13" t="str">
        <f t="shared" si="14"/>
        <v>Wednesday</v>
      </c>
      <c r="B122" s="28">
        <f t="shared" si="15"/>
        <v>46197</v>
      </c>
      <c r="C122" s="108">
        <f t="shared" si="16"/>
        <v>3014.9661000000001</v>
      </c>
      <c r="D122" s="108">
        <f t="shared" si="17"/>
        <v>1842.1306</v>
      </c>
      <c r="E122" s="108">
        <f t="shared" si="18"/>
        <v>3546.6107999999999</v>
      </c>
      <c r="F122" s="108">
        <f t="shared" si="19"/>
        <v>2261.3508999999999</v>
      </c>
      <c r="G122" s="108">
        <f t="shared" si="20"/>
        <v>946.14290000000005</v>
      </c>
      <c r="H122" s="108">
        <f t="shared" si="21"/>
        <v>1730.1268</v>
      </c>
      <c r="I122" s="108">
        <f t="shared" si="22"/>
        <v>1148.8611000000001</v>
      </c>
      <c r="J122" s="108">
        <f t="shared" si="23"/>
        <v>1289.0138999999999</v>
      </c>
      <c r="K122" s="108">
        <f t="shared" si="24"/>
        <v>3535.8029000000001</v>
      </c>
      <c r="L122" s="108">
        <f t="shared" si="25"/>
        <v>1765.0714</v>
      </c>
      <c r="M122" s="77"/>
    </row>
    <row r="123" spans="1:13" ht="15" customHeight="1">
      <c r="A123" s="13" t="str">
        <f t="shared" si="14"/>
        <v>Thursday</v>
      </c>
      <c r="B123" s="28">
        <f t="shared" si="15"/>
        <v>46198</v>
      </c>
      <c r="C123" s="108">
        <f t="shared" si="16"/>
        <v>3014.9834000000001</v>
      </c>
      <c r="D123" s="108">
        <f t="shared" si="17"/>
        <v>1842.1406999999999</v>
      </c>
      <c r="E123" s="108">
        <f t="shared" si="18"/>
        <v>3546.6351</v>
      </c>
      <c r="F123" s="108">
        <f t="shared" si="19"/>
        <v>2261.3602000000001</v>
      </c>
      <c r="G123" s="108">
        <f t="shared" si="20"/>
        <v>946.14940000000001</v>
      </c>
      <c r="H123" s="108">
        <f t="shared" si="21"/>
        <v>1730.1358</v>
      </c>
      <c r="I123" s="108">
        <f t="shared" si="22"/>
        <v>1148.8689999999999</v>
      </c>
      <c r="J123" s="108">
        <f t="shared" si="23"/>
        <v>1289.0669</v>
      </c>
      <c r="K123" s="108">
        <f t="shared" si="24"/>
        <v>3535.8029000000001</v>
      </c>
      <c r="L123" s="108">
        <f t="shared" si="25"/>
        <v>1765.0835</v>
      </c>
      <c r="M123" s="77"/>
    </row>
    <row r="124" spans="1:13" ht="15" customHeight="1">
      <c r="A124" s="13" t="str">
        <f t="shared" si="14"/>
        <v>Friday</v>
      </c>
      <c r="B124" s="28">
        <f t="shared" si="15"/>
        <v>46199</v>
      </c>
      <c r="C124" s="108">
        <f t="shared" si="16"/>
        <v>3015.0007000000001</v>
      </c>
      <c r="D124" s="108">
        <f t="shared" si="17"/>
        <v>1842.1507999999999</v>
      </c>
      <c r="E124" s="108">
        <f t="shared" si="18"/>
        <v>3546.6594</v>
      </c>
      <c r="F124" s="108">
        <f t="shared" si="19"/>
        <v>2261.3694999999998</v>
      </c>
      <c r="G124" s="108">
        <f t="shared" si="20"/>
        <v>946.15589999999997</v>
      </c>
      <c r="H124" s="108">
        <f t="shared" si="21"/>
        <v>1730.1448</v>
      </c>
      <c r="I124" s="108">
        <f t="shared" si="22"/>
        <v>1148.8769</v>
      </c>
      <c r="J124" s="108">
        <f t="shared" si="23"/>
        <v>1289.1198999999999</v>
      </c>
      <c r="K124" s="108">
        <f t="shared" si="24"/>
        <v>3535.8029000000001</v>
      </c>
      <c r="L124" s="108">
        <f t="shared" si="25"/>
        <v>1765.0956000000001</v>
      </c>
      <c r="M124" s="77"/>
    </row>
    <row r="125" spans="1:13" ht="15" customHeight="1">
      <c r="A125" s="13" t="str">
        <f t="shared" si="14"/>
        <v>Saturday</v>
      </c>
      <c r="B125" s="28">
        <f t="shared" si="15"/>
        <v>46200</v>
      </c>
      <c r="C125" s="108">
        <f t="shared" si="16"/>
        <v>3015.018</v>
      </c>
      <c r="D125" s="108">
        <f t="shared" si="17"/>
        <v>1842.1609000000001</v>
      </c>
      <c r="E125" s="108">
        <f t="shared" si="18"/>
        <v>3546.6837</v>
      </c>
      <c r="F125" s="108">
        <f t="shared" si="19"/>
        <v>2261.3788</v>
      </c>
      <c r="G125" s="108">
        <f t="shared" si="20"/>
        <v>946.16240000000005</v>
      </c>
      <c r="H125" s="108">
        <f t="shared" si="21"/>
        <v>1730.1538</v>
      </c>
      <c r="I125" s="108">
        <f t="shared" si="22"/>
        <v>1148.8848</v>
      </c>
      <c r="J125" s="108">
        <f t="shared" si="23"/>
        <v>1289.1729</v>
      </c>
      <c r="K125" s="108">
        <f t="shared" si="24"/>
        <v>3535.8029000000001</v>
      </c>
      <c r="L125" s="108">
        <f t="shared" si="25"/>
        <v>1765.1077</v>
      </c>
      <c r="M125" s="77"/>
    </row>
    <row r="126" spans="1:13" ht="15" customHeight="1">
      <c r="A126" s="13" t="str">
        <f t="shared" si="14"/>
        <v>Sunday</v>
      </c>
      <c r="B126" s="28">
        <f t="shared" si="15"/>
        <v>46201</v>
      </c>
      <c r="C126" s="108">
        <f t="shared" si="16"/>
        <v>3015.0353</v>
      </c>
      <c r="D126" s="108">
        <f t="shared" si="17"/>
        <v>1842.171</v>
      </c>
      <c r="E126" s="108">
        <f t="shared" si="18"/>
        <v>3546.7080000000001</v>
      </c>
      <c r="F126" s="108">
        <f t="shared" si="19"/>
        <v>2261.3881000000001</v>
      </c>
      <c r="G126" s="108">
        <f t="shared" si="20"/>
        <v>946.16890000000001</v>
      </c>
      <c r="H126" s="108">
        <f t="shared" si="21"/>
        <v>1730.1628000000001</v>
      </c>
      <c r="I126" s="108">
        <f t="shared" si="22"/>
        <v>1148.8927000000001</v>
      </c>
      <c r="J126" s="108">
        <f t="shared" si="23"/>
        <v>1289.2258999999999</v>
      </c>
      <c r="K126" s="108">
        <f t="shared" si="24"/>
        <v>3535.8029000000001</v>
      </c>
      <c r="L126" s="108">
        <f t="shared" si="25"/>
        <v>1765.1197999999999</v>
      </c>
      <c r="M126" s="77"/>
    </row>
    <row r="127" spans="1:13" ht="15" customHeight="1">
      <c r="A127" s="13" t="str">
        <f t="shared" si="14"/>
        <v>Monday</v>
      </c>
      <c r="B127" s="28">
        <f t="shared" si="15"/>
        <v>46202</v>
      </c>
      <c r="C127" s="108">
        <f t="shared" si="16"/>
        <v>3015.0526</v>
      </c>
      <c r="D127" s="108">
        <f t="shared" si="17"/>
        <v>1842.1811</v>
      </c>
      <c r="E127" s="108">
        <f t="shared" si="18"/>
        <v>3546.7323000000001</v>
      </c>
      <c r="F127" s="108">
        <f t="shared" si="19"/>
        <v>2261.3973999999998</v>
      </c>
      <c r="G127" s="108">
        <f t="shared" si="20"/>
        <v>946.17539999999997</v>
      </c>
      <c r="H127" s="108">
        <f t="shared" si="21"/>
        <v>1730.1718000000001</v>
      </c>
      <c r="I127" s="108">
        <f t="shared" si="22"/>
        <v>1148.9005999999999</v>
      </c>
      <c r="J127" s="108">
        <f t="shared" si="23"/>
        <v>1289.2789</v>
      </c>
      <c r="K127" s="108">
        <f t="shared" si="24"/>
        <v>3535.8029000000001</v>
      </c>
      <c r="L127" s="108">
        <f t="shared" si="25"/>
        <v>1765.1319000000001</v>
      </c>
      <c r="M127" s="77"/>
    </row>
    <row r="128" spans="1:13" ht="15" customHeight="1">
      <c r="A128" s="13" t="str">
        <f t="shared" si="14"/>
        <v>Tuesday</v>
      </c>
      <c r="B128" s="28">
        <f t="shared" si="15"/>
        <v>46203</v>
      </c>
      <c r="C128" s="108">
        <f t="shared" si="16"/>
        <v>3015.0699</v>
      </c>
      <c r="D128" s="108">
        <f t="shared" si="17"/>
        <v>1842.1912</v>
      </c>
      <c r="E128" s="108">
        <f t="shared" si="18"/>
        <v>3546.7566000000002</v>
      </c>
      <c r="F128" s="108">
        <f t="shared" si="19"/>
        <v>2261.4067</v>
      </c>
      <c r="G128" s="108">
        <f t="shared" si="20"/>
        <v>946.18190000000004</v>
      </c>
      <c r="H128" s="108">
        <f t="shared" si="21"/>
        <v>1730.1808000000001</v>
      </c>
      <c r="I128" s="108">
        <f t="shared" si="22"/>
        <v>1148.9085</v>
      </c>
      <c r="J128" s="108">
        <f t="shared" si="23"/>
        <v>1289.3318999999999</v>
      </c>
      <c r="K128" s="108">
        <f t="shared" si="24"/>
        <v>3535.8029000000001</v>
      </c>
      <c r="L128" s="108">
        <f t="shared" si="25"/>
        <v>1765.144</v>
      </c>
      <c r="M128" s="77"/>
    </row>
    <row r="129" spans="1:13" ht="15" customHeight="1">
      <c r="A129" s="13" t="str">
        <f t="shared" si="14"/>
        <v>Wednesday</v>
      </c>
      <c r="B129" s="28">
        <f t="shared" si="15"/>
        <v>46204</v>
      </c>
      <c r="C129" s="108">
        <f t="shared" si="16"/>
        <v>3015.0871999999999</v>
      </c>
      <c r="D129" s="108">
        <f t="shared" si="17"/>
        <v>1842.2012999999999</v>
      </c>
      <c r="E129" s="108">
        <f t="shared" si="18"/>
        <v>3546.7809000000002</v>
      </c>
      <c r="F129" s="108">
        <f t="shared" si="19"/>
        <v>2261.4160000000002</v>
      </c>
      <c r="G129" s="108">
        <f t="shared" si="20"/>
        <v>946.1884</v>
      </c>
      <c r="H129" s="108">
        <f t="shared" si="21"/>
        <v>1730.1898000000001</v>
      </c>
      <c r="I129" s="108">
        <f t="shared" si="22"/>
        <v>1148.9164000000001</v>
      </c>
      <c r="J129" s="108">
        <f t="shared" si="23"/>
        <v>1289.3849</v>
      </c>
      <c r="K129" s="108">
        <f t="shared" si="24"/>
        <v>3535.8029000000001</v>
      </c>
      <c r="L129" s="108">
        <f t="shared" si="25"/>
        <v>1765.1560999999999</v>
      </c>
      <c r="M129" s="77"/>
    </row>
    <row r="130" spans="1:13" ht="15" customHeight="1">
      <c r="A130" s="13" t="str">
        <f t="shared" si="14"/>
        <v>Thursday</v>
      </c>
      <c r="B130" s="28">
        <f t="shared" si="15"/>
        <v>46205</v>
      </c>
      <c r="C130" s="108">
        <f t="shared" si="16"/>
        <v>3015.1044999999999</v>
      </c>
      <c r="D130" s="108">
        <f t="shared" si="17"/>
        <v>1842.2113999999999</v>
      </c>
      <c r="E130" s="108">
        <f t="shared" si="18"/>
        <v>3546.8051999999998</v>
      </c>
      <c r="F130" s="108">
        <f t="shared" si="19"/>
        <v>2261.4252999999999</v>
      </c>
      <c r="G130" s="108">
        <f t="shared" si="20"/>
        <v>946.19489999999996</v>
      </c>
      <c r="H130" s="108">
        <f t="shared" si="21"/>
        <v>1730.1987999999999</v>
      </c>
      <c r="I130" s="108">
        <f t="shared" si="22"/>
        <v>1148.9242999999999</v>
      </c>
      <c r="J130" s="108">
        <f t="shared" si="23"/>
        <v>1289.4378999999999</v>
      </c>
      <c r="K130" s="108">
        <f t="shared" si="24"/>
        <v>3535.8029000000001</v>
      </c>
      <c r="L130" s="108">
        <f t="shared" si="25"/>
        <v>1765.1682000000001</v>
      </c>
      <c r="M130" s="77"/>
    </row>
    <row r="131" spans="1:13" ht="15" customHeight="1">
      <c r="A131" s="13" t="str">
        <f t="shared" si="14"/>
        <v>Friday</v>
      </c>
      <c r="B131" s="28">
        <f t="shared" si="15"/>
        <v>46206</v>
      </c>
      <c r="C131" s="108">
        <f t="shared" si="16"/>
        <v>3015.1217999999999</v>
      </c>
      <c r="D131" s="108">
        <f t="shared" si="17"/>
        <v>1842.2215000000001</v>
      </c>
      <c r="E131" s="108">
        <f t="shared" si="18"/>
        <v>3546.8294999999998</v>
      </c>
      <c r="F131" s="108">
        <f t="shared" si="19"/>
        <v>2261.4346</v>
      </c>
      <c r="G131" s="108">
        <f t="shared" si="20"/>
        <v>946.20140000000004</v>
      </c>
      <c r="H131" s="108">
        <f t="shared" si="21"/>
        <v>1730.2077999999999</v>
      </c>
      <c r="I131" s="108">
        <f t="shared" si="22"/>
        <v>1148.9322</v>
      </c>
      <c r="J131" s="108">
        <f t="shared" si="23"/>
        <v>1289.4909</v>
      </c>
      <c r="K131" s="108">
        <f t="shared" si="24"/>
        <v>3535.8029000000001</v>
      </c>
      <c r="L131" s="108">
        <f t="shared" si="25"/>
        <v>1765.1803</v>
      </c>
      <c r="M131" s="77"/>
    </row>
    <row r="132" spans="1:13" ht="15" customHeight="1">
      <c r="A132" s="13" t="str">
        <f t="shared" si="14"/>
        <v>Saturday</v>
      </c>
      <c r="B132" s="28">
        <f t="shared" si="15"/>
        <v>46207</v>
      </c>
      <c r="C132" s="108">
        <f t="shared" si="16"/>
        <v>3015.1390999999999</v>
      </c>
      <c r="D132" s="108">
        <f t="shared" si="17"/>
        <v>1842.2316000000001</v>
      </c>
      <c r="E132" s="108">
        <f t="shared" si="18"/>
        <v>3546.8537999999999</v>
      </c>
      <c r="F132" s="108">
        <f t="shared" si="19"/>
        <v>2261.4439000000002</v>
      </c>
      <c r="G132" s="108">
        <f t="shared" si="20"/>
        <v>946.2079</v>
      </c>
      <c r="H132" s="108">
        <f t="shared" si="21"/>
        <v>1730.2167999999999</v>
      </c>
      <c r="I132" s="108">
        <f t="shared" si="22"/>
        <v>1148.9401</v>
      </c>
      <c r="J132" s="108">
        <f t="shared" si="23"/>
        <v>1289.5438999999999</v>
      </c>
      <c r="K132" s="108">
        <f t="shared" si="24"/>
        <v>3535.8029000000001</v>
      </c>
      <c r="L132" s="108">
        <f t="shared" si="25"/>
        <v>1765.1923999999999</v>
      </c>
      <c r="M132" s="77"/>
    </row>
    <row r="133" spans="1:13" ht="15" customHeight="1">
      <c r="A133" s="13" t="str">
        <f t="shared" si="14"/>
        <v>Sunday</v>
      </c>
      <c r="B133" s="28">
        <f t="shared" si="15"/>
        <v>46208</v>
      </c>
      <c r="C133" s="108">
        <f t="shared" si="16"/>
        <v>3015.1563999999998</v>
      </c>
      <c r="D133" s="108">
        <f t="shared" si="17"/>
        <v>1842.2417</v>
      </c>
      <c r="E133" s="108">
        <f t="shared" si="18"/>
        <v>3546.8780999999999</v>
      </c>
      <c r="F133" s="108">
        <f t="shared" si="19"/>
        <v>2261.4531999999999</v>
      </c>
      <c r="G133" s="108">
        <f t="shared" si="20"/>
        <v>946.21439999999996</v>
      </c>
      <c r="H133" s="108">
        <f t="shared" si="21"/>
        <v>1730.2257999999999</v>
      </c>
      <c r="I133" s="108">
        <f t="shared" si="22"/>
        <v>1148.9480000000001</v>
      </c>
      <c r="J133" s="171">
        <f t="shared" si="23"/>
        <v>1289.5969</v>
      </c>
      <c r="K133" s="108">
        <f t="shared" si="24"/>
        <v>3535.8029000000001</v>
      </c>
      <c r="L133" s="108">
        <f t="shared" si="25"/>
        <v>1765.2045000000001</v>
      </c>
      <c r="M133" s="77"/>
    </row>
    <row r="134" spans="1:13" ht="15" customHeight="1">
      <c r="A134" s="13" t="str">
        <f t="shared" si="14"/>
        <v>Monday</v>
      </c>
      <c r="B134" s="28">
        <f t="shared" si="15"/>
        <v>46209</v>
      </c>
      <c r="C134" s="108">
        <f t="shared" si="16"/>
        <v>3015.1736999999998</v>
      </c>
      <c r="D134" s="108">
        <f t="shared" si="17"/>
        <v>1842.2518</v>
      </c>
      <c r="E134" s="108">
        <f t="shared" si="18"/>
        <v>3546.9023999999999</v>
      </c>
      <c r="F134" s="108">
        <f t="shared" si="19"/>
        <v>2261.4625000000001</v>
      </c>
      <c r="G134" s="108">
        <f t="shared" si="20"/>
        <v>946.22090000000003</v>
      </c>
      <c r="H134" s="108">
        <f t="shared" si="21"/>
        <v>1730.2348</v>
      </c>
      <c r="I134" s="108">
        <f t="shared" si="22"/>
        <v>1148.9558999999999</v>
      </c>
      <c r="J134" s="171">
        <f t="shared" si="23"/>
        <v>1289.6498999999999</v>
      </c>
      <c r="K134" s="108">
        <f t="shared" si="24"/>
        <v>3535.8029000000001</v>
      </c>
      <c r="L134" s="108">
        <f t="shared" si="25"/>
        <v>1765.2166</v>
      </c>
      <c r="M134" s="77"/>
    </row>
    <row r="135" spans="1:13" ht="15" customHeight="1">
      <c r="A135" s="13" t="str">
        <f t="shared" si="14"/>
        <v>Tuesday</v>
      </c>
      <c r="B135" s="28">
        <f t="shared" si="15"/>
        <v>46210</v>
      </c>
      <c r="C135" s="108">
        <f t="shared" si="16"/>
        <v>3015.1909999999998</v>
      </c>
      <c r="D135" s="108">
        <f t="shared" si="17"/>
        <v>1842.2619</v>
      </c>
      <c r="E135" s="108">
        <f t="shared" si="18"/>
        <v>3546.9267</v>
      </c>
      <c r="F135" s="108">
        <f t="shared" si="19"/>
        <v>2261.4717999999998</v>
      </c>
      <c r="G135" s="108">
        <f t="shared" si="20"/>
        <v>946.22739999999999</v>
      </c>
      <c r="H135" s="108">
        <f t="shared" si="21"/>
        <v>1730.2438</v>
      </c>
      <c r="I135" s="108">
        <f t="shared" si="22"/>
        <v>1148.9638</v>
      </c>
      <c r="J135" s="108">
        <f t="shared" si="23"/>
        <v>1289.7029</v>
      </c>
      <c r="K135" s="108">
        <f t="shared" si="24"/>
        <v>3535.8029000000001</v>
      </c>
      <c r="L135" s="108">
        <f t="shared" si="25"/>
        <v>1765.2286999999999</v>
      </c>
      <c r="M135" s="77"/>
    </row>
    <row r="136" spans="1:13" ht="15" customHeight="1">
      <c r="A136" s="13" t="str">
        <f t="shared" ref="A136:A199" si="26">VLOOKUP(WEEKDAY(B136),$N$7:$O$13,2)</f>
        <v>Wednesday</v>
      </c>
      <c r="B136" s="28">
        <f t="shared" si="15"/>
        <v>46211</v>
      </c>
      <c r="C136" s="108">
        <f t="shared" si="16"/>
        <v>3015.2082999999998</v>
      </c>
      <c r="D136" s="108">
        <f t="shared" si="17"/>
        <v>1842.2719999999999</v>
      </c>
      <c r="E136" s="108">
        <f t="shared" si="18"/>
        <v>3546.951</v>
      </c>
      <c r="F136" s="108">
        <f t="shared" si="19"/>
        <v>2261.4811</v>
      </c>
      <c r="G136" s="108">
        <f t="shared" si="20"/>
        <v>946.23389999999995</v>
      </c>
      <c r="H136" s="108">
        <f t="shared" si="21"/>
        <v>1730.2528</v>
      </c>
      <c r="I136" s="108">
        <f t="shared" si="22"/>
        <v>1148.9717000000001</v>
      </c>
      <c r="J136" s="108">
        <f t="shared" si="23"/>
        <v>1289.7559000000001</v>
      </c>
      <c r="K136" s="108">
        <f t="shared" si="24"/>
        <v>3535.8029000000001</v>
      </c>
      <c r="L136" s="108">
        <f t="shared" si="25"/>
        <v>1765.2408</v>
      </c>
      <c r="M136" s="77"/>
    </row>
    <row r="137" spans="1:13" ht="15" customHeight="1">
      <c r="A137" s="13" t="str">
        <f t="shared" si="26"/>
        <v>Thursday</v>
      </c>
      <c r="B137" s="28">
        <f t="shared" ref="B137:B200" si="27">B136+1</f>
        <v>46212</v>
      </c>
      <c r="C137" s="108">
        <f t="shared" ref="C137:C200" si="28">ROUND(C136*(1+C$4),4)</f>
        <v>3015.2256000000002</v>
      </c>
      <c r="D137" s="108">
        <f t="shared" ref="D137:D200" si="29">ROUND(D136*(1+D$4),4)</f>
        <v>1842.2820999999999</v>
      </c>
      <c r="E137" s="108">
        <f t="shared" ref="E137:E200" si="30">ROUND(E136*(1+E$4),4)</f>
        <v>3546.9753000000001</v>
      </c>
      <c r="F137" s="108">
        <f t="shared" ref="F137:F200" si="31">ROUND(F136*(1+F$4),4)</f>
        <v>2261.4904000000001</v>
      </c>
      <c r="G137" s="108">
        <f t="shared" ref="G137:G200" si="32">ROUND(G136*(1+G$4),4)</f>
        <v>946.24040000000002</v>
      </c>
      <c r="H137" s="108">
        <f t="shared" ref="H137:H200" si="33">ROUND(H136*(1+H$4),4)</f>
        <v>1730.2618</v>
      </c>
      <c r="I137" s="108">
        <f t="shared" ref="I137:I200" si="34">ROUND(I136*(1+I$4),4)</f>
        <v>1148.9795999999999</v>
      </c>
      <c r="J137" s="108">
        <f t="shared" ref="J137:J200" si="35">ROUND(J136*(1+J$4),4)</f>
        <v>1289.8089</v>
      </c>
      <c r="K137" s="108">
        <f t="shared" ref="K137:K200" si="36">ROUND(K136*(1+K$4),4)</f>
        <v>3535.8029000000001</v>
      </c>
      <c r="L137" s="108">
        <f t="shared" ref="L137:L200" si="37">ROUND(L136*(1+L$4),4)</f>
        <v>1765.2529</v>
      </c>
      <c r="M137" s="77"/>
    </row>
    <row r="138" spans="1:13" ht="15" customHeight="1">
      <c r="A138" s="13" t="str">
        <f t="shared" si="26"/>
        <v>Friday</v>
      </c>
      <c r="B138" s="28">
        <f t="shared" si="27"/>
        <v>46213</v>
      </c>
      <c r="C138" s="108">
        <f t="shared" si="28"/>
        <v>3015.2429000000002</v>
      </c>
      <c r="D138" s="108">
        <f t="shared" si="29"/>
        <v>1842.2922000000001</v>
      </c>
      <c r="E138" s="108">
        <f t="shared" si="30"/>
        <v>3546.9996000000001</v>
      </c>
      <c r="F138" s="108">
        <f t="shared" si="31"/>
        <v>2261.4996999999998</v>
      </c>
      <c r="G138" s="108">
        <f t="shared" si="32"/>
        <v>946.24689999999998</v>
      </c>
      <c r="H138" s="108">
        <f t="shared" si="33"/>
        <v>1730.2708</v>
      </c>
      <c r="I138" s="108">
        <f t="shared" si="34"/>
        <v>1148.9875</v>
      </c>
      <c r="J138" s="108">
        <f t="shared" si="35"/>
        <v>1289.8619000000001</v>
      </c>
      <c r="K138" s="108">
        <f t="shared" si="36"/>
        <v>3535.8029000000001</v>
      </c>
      <c r="L138" s="108">
        <f t="shared" si="37"/>
        <v>1765.2650000000001</v>
      </c>
      <c r="M138" s="77"/>
    </row>
    <row r="139" spans="1:13" ht="15" customHeight="1">
      <c r="A139" s="13" t="str">
        <f t="shared" si="26"/>
        <v>Saturday</v>
      </c>
      <c r="B139" s="28">
        <f t="shared" si="27"/>
        <v>46214</v>
      </c>
      <c r="C139" s="108">
        <f t="shared" si="28"/>
        <v>3015.2602000000002</v>
      </c>
      <c r="D139" s="108">
        <f t="shared" si="29"/>
        <v>1842.3023000000001</v>
      </c>
      <c r="E139" s="108">
        <f t="shared" si="30"/>
        <v>3547.0239000000001</v>
      </c>
      <c r="F139" s="108">
        <f t="shared" si="31"/>
        <v>2261.509</v>
      </c>
      <c r="G139" s="108">
        <f t="shared" si="32"/>
        <v>946.25340000000006</v>
      </c>
      <c r="H139" s="108">
        <f t="shared" si="33"/>
        <v>1730.2798</v>
      </c>
      <c r="I139" s="108">
        <f t="shared" si="34"/>
        <v>1148.9954</v>
      </c>
      <c r="J139" s="108">
        <f t="shared" si="35"/>
        <v>1289.9149</v>
      </c>
      <c r="K139" s="108">
        <f t="shared" si="36"/>
        <v>3535.8029000000001</v>
      </c>
      <c r="L139" s="108">
        <f t="shared" si="37"/>
        <v>1765.2771</v>
      </c>
      <c r="M139" s="77"/>
    </row>
    <row r="140" spans="1:13" ht="15" customHeight="1">
      <c r="A140" s="13" t="str">
        <f t="shared" si="26"/>
        <v>Sunday</v>
      </c>
      <c r="B140" s="28">
        <f t="shared" si="27"/>
        <v>46215</v>
      </c>
      <c r="C140" s="108">
        <f t="shared" si="28"/>
        <v>3015.2775000000001</v>
      </c>
      <c r="D140" s="108">
        <f t="shared" si="29"/>
        <v>1842.3124</v>
      </c>
      <c r="E140" s="108">
        <f t="shared" si="30"/>
        <v>3547.0482000000002</v>
      </c>
      <c r="F140" s="108">
        <f t="shared" si="31"/>
        <v>2261.5183000000002</v>
      </c>
      <c r="G140" s="108">
        <f t="shared" si="32"/>
        <v>946.25990000000002</v>
      </c>
      <c r="H140" s="108">
        <f t="shared" si="33"/>
        <v>1730.2888</v>
      </c>
      <c r="I140" s="108">
        <f t="shared" si="34"/>
        <v>1149.0033000000001</v>
      </c>
      <c r="J140" s="108">
        <f t="shared" si="35"/>
        <v>1289.9679000000001</v>
      </c>
      <c r="K140" s="108">
        <f t="shared" si="36"/>
        <v>3535.8029000000001</v>
      </c>
      <c r="L140" s="108">
        <f t="shared" si="37"/>
        <v>1765.2891999999999</v>
      </c>
      <c r="M140" s="77"/>
    </row>
    <row r="141" spans="1:13" ht="15" customHeight="1">
      <c r="A141" s="13" t="str">
        <f t="shared" si="26"/>
        <v>Monday</v>
      </c>
      <c r="B141" s="28">
        <f t="shared" si="27"/>
        <v>46216</v>
      </c>
      <c r="C141" s="108">
        <f t="shared" si="28"/>
        <v>3015.2948000000001</v>
      </c>
      <c r="D141" s="108">
        <f t="shared" si="29"/>
        <v>1842.3225</v>
      </c>
      <c r="E141" s="108">
        <f t="shared" si="30"/>
        <v>3547.0725000000002</v>
      </c>
      <c r="F141" s="108">
        <f t="shared" si="31"/>
        <v>2261.5275999999999</v>
      </c>
      <c r="G141" s="108">
        <f t="shared" si="32"/>
        <v>946.26639999999998</v>
      </c>
      <c r="H141" s="108">
        <f t="shared" si="33"/>
        <v>1730.2978000000001</v>
      </c>
      <c r="I141" s="108">
        <f t="shared" si="34"/>
        <v>1149.0111999999999</v>
      </c>
      <c r="J141" s="108">
        <f t="shared" si="35"/>
        <v>1290.0209</v>
      </c>
      <c r="K141" s="108">
        <f t="shared" si="36"/>
        <v>3535.8029000000001</v>
      </c>
      <c r="L141" s="108">
        <f t="shared" si="37"/>
        <v>1765.3013000000001</v>
      </c>
      <c r="M141" s="77"/>
    </row>
    <row r="142" spans="1:13" ht="15" customHeight="1">
      <c r="A142" s="13" t="str">
        <f t="shared" si="26"/>
        <v>Tuesday</v>
      </c>
      <c r="B142" s="28">
        <f t="shared" si="27"/>
        <v>46217</v>
      </c>
      <c r="C142" s="108">
        <f t="shared" si="28"/>
        <v>3015.3121000000001</v>
      </c>
      <c r="D142" s="108">
        <f t="shared" si="29"/>
        <v>1842.3326</v>
      </c>
      <c r="E142" s="108">
        <f t="shared" si="30"/>
        <v>3547.0967999999998</v>
      </c>
      <c r="F142" s="108">
        <f t="shared" si="31"/>
        <v>2261.5369000000001</v>
      </c>
      <c r="G142" s="108">
        <f t="shared" si="32"/>
        <v>946.27290000000005</v>
      </c>
      <c r="H142" s="108">
        <f t="shared" si="33"/>
        <v>1730.3068000000001</v>
      </c>
      <c r="I142" s="108">
        <f t="shared" si="34"/>
        <v>1149.0191</v>
      </c>
      <c r="J142" s="108">
        <f t="shared" si="35"/>
        <v>1290.0739000000001</v>
      </c>
      <c r="K142" s="108">
        <f t="shared" si="36"/>
        <v>3535.8029000000001</v>
      </c>
      <c r="L142" s="108">
        <f t="shared" si="37"/>
        <v>1765.3134</v>
      </c>
      <c r="M142" s="77"/>
    </row>
    <row r="143" spans="1:13" ht="15" customHeight="1">
      <c r="A143" s="13" t="str">
        <f t="shared" si="26"/>
        <v>Wednesday</v>
      </c>
      <c r="B143" s="28">
        <f t="shared" si="27"/>
        <v>46218</v>
      </c>
      <c r="C143" s="108">
        <f t="shared" si="28"/>
        <v>3015.3294000000001</v>
      </c>
      <c r="D143" s="108">
        <f t="shared" si="29"/>
        <v>1842.3426999999999</v>
      </c>
      <c r="E143" s="108">
        <f t="shared" si="30"/>
        <v>3547.1210999999998</v>
      </c>
      <c r="F143" s="108">
        <f t="shared" si="31"/>
        <v>2261.5462000000002</v>
      </c>
      <c r="G143" s="108">
        <f t="shared" si="32"/>
        <v>946.27940000000001</v>
      </c>
      <c r="H143" s="108">
        <f t="shared" si="33"/>
        <v>1730.3158000000001</v>
      </c>
      <c r="I143" s="108">
        <f t="shared" si="34"/>
        <v>1149.027</v>
      </c>
      <c r="J143" s="108">
        <f t="shared" si="35"/>
        <v>1290.1269</v>
      </c>
      <c r="K143" s="108">
        <f t="shared" si="36"/>
        <v>3535.8029000000001</v>
      </c>
      <c r="L143" s="108">
        <f t="shared" si="37"/>
        <v>1765.3254999999999</v>
      </c>
      <c r="M143" s="77"/>
    </row>
    <row r="144" spans="1:13" ht="15" customHeight="1">
      <c r="A144" s="13" t="str">
        <f t="shared" si="26"/>
        <v>Thursday</v>
      </c>
      <c r="B144" s="28">
        <f t="shared" si="27"/>
        <v>46219</v>
      </c>
      <c r="C144" s="108">
        <f t="shared" si="28"/>
        <v>3015.3467000000001</v>
      </c>
      <c r="D144" s="108">
        <f t="shared" si="29"/>
        <v>1842.3527999999999</v>
      </c>
      <c r="E144" s="108">
        <f t="shared" si="30"/>
        <v>3547.1453999999999</v>
      </c>
      <c r="F144" s="108">
        <f t="shared" si="31"/>
        <v>2261.5554999999999</v>
      </c>
      <c r="G144" s="108">
        <f t="shared" si="32"/>
        <v>946.28589999999997</v>
      </c>
      <c r="H144" s="108">
        <f t="shared" si="33"/>
        <v>1730.3248000000001</v>
      </c>
      <c r="I144" s="108">
        <f t="shared" si="34"/>
        <v>1149.0349000000001</v>
      </c>
      <c r="J144" s="108">
        <f t="shared" si="35"/>
        <v>1290.1799000000001</v>
      </c>
      <c r="K144" s="108">
        <f t="shared" si="36"/>
        <v>3535.8029000000001</v>
      </c>
      <c r="L144" s="108">
        <f t="shared" si="37"/>
        <v>1765.3376000000001</v>
      </c>
      <c r="M144" s="77"/>
    </row>
    <row r="145" spans="1:17" ht="15" customHeight="1">
      <c r="A145" s="13" t="str">
        <f t="shared" si="26"/>
        <v>Friday</v>
      </c>
      <c r="B145" s="28">
        <f t="shared" si="27"/>
        <v>46220</v>
      </c>
      <c r="C145" s="108">
        <f t="shared" si="28"/>
        <v>3015.364</v>
      </c>
      <c r="D145" s="108">
        <f t="shared" si="29"/>
        <v>1842.3629000000001</v>
      </c>
      <c r="E145" s="108">
        <f t="shared" si="30"/>
        <v>3547.1696999999999</v>
      </c>
      <c r="F145" s="108">
        <f t="shared" si="31"/>
        <v>2261.5648000000001</v>
      </c>
      <c r="G145" s="108">
        <f t="shared" si="32"/>
        <v>946.29240000000004</v>
      </c>
      <c r="H145" s="108">
        <f t="shared" si="33"/>
        <v>1730.3338000000001</v>
      </c>
      <c r="I145" s="108">
        <f t="shared" si="34"/>
        <v>1149.0427999999999</v>
      </c>
      <c r="J145" s="108">
        <f t="shared" si="35"/>
        <v>1290.2329</v>
      </c>
      <c r="K145" s="108">
        <f t="shared" si="36"/>
        <v>3535.8029000000001</v>
      </c>
      <c r="L145" s="108">
        <f t="shared" si="37"/>
        <v>1765.3497</v>
      </c>
      <c r="M145" s="77"/>
    </row>
    <row r="146" spans="1:17" ht="15" customHeight="1">
      <c r="A146" s="13" t="str">
        <f t="shared" si="26"/>
        <v>Saturday</v>
      </c>
      <c r="B146" s="28">
        <f t="shared" si="27"/>
        <v>46221</v>
      </c>
      <c r="C146" s="108">
        <f t="shared" si="28"/>
        <v>3015.3813</v>
      </c>
      <c r="D146" s="108">
        <f t="shared" si="29"/>
        <v>1842.373</v>
      </c>
      <c r="E146" s="108">
        <f t="shared" si="30"/>
        <v>3547.194</v>
      </c>
      <c r="F146" s="108">
        <f t="shared" si="31"/>
        <v>2261.5740999999998</v>
      </c>
      <c r="G146" s="108">
        <f t="shared" si="32"/>
        <v>946.2989</v>
      </c>
      <c r="H146" s="108">
        <f t="shared" si="33"/>
        <v>1730.3427999999999</v>
      </c>
      <c r="I146" s="108">
        <f t="shared" si="34"/>
        <v>1149.0507</v>
      </c>
      <c r="J146" s="108">
        <f t="shared" si="35"/>
        <v>1290.2859000000001</v>
      </c>
      <c r="K146" s="108">
        <f t="shared" si="36"/>
        <v>3535.8029000000001</v>
      </c>
      <c r="L146" s="108">
        <f t="shared" si="37"/>
        <v>1765.3617999999999</v>
      </c>
      <c r="M146" s="77"/>
    </row>
    <row r="147" spans="1:17" ht="15" customHeight="1">
      <c r="A147" s="13" t="str">
        <f t="shared" si="26"/>
        <v>Sunday</v>
      </c>
      <c r="B147" s="28">
        <f t="shared" si="27"/>
        <v>46222</v>
      </c>
      <c r="C147" s="108">
        <f t="shared" si="28"/>
        <v>3015.3986</v>
      </c>
      <c r="D147" s="108">
        <f t="shared" si="29"/>
        <v>1842.3831</v>
      </c>
      <c r="E147" s="108">
        <f t="shared" si="30"/>
        <v>3547.2183</v>
      </c>
      <c r="F147" s="108">
        <f t="shared" si="31"/>
        <v>2261.5834</v>
      </c>
      <c r="G147" s="108">
        <f t="shared" si="32"/>
        <v>946.30539999999996</v>
      </c>
      <c r="H147" s="108">
        <f t="shared" si="33"/>
        <v>1730.3517999999999</v>
      </c>
      <c r="I147" s="108">
        <f t="shared" si="34"/>
        <v>1149.0586000000001</v>
      </c>
      <c r="J147" s="108">
        <f t="shared" si="35"/>
        <v>1290.3389</v>
      </c>
      <c r="K147" s="108">
        <f t="shared" si="36"/>
        <v>3535.8029000000001</v>
      </c>
      <c r="L147" s="108">
        <f t="shared" si="37"/>
        <v>1765.3739</v>
      </c>
      <c r="M147" s="77"/>
    </row>
    <row r="148" spans="1:17" ht="15" customHeight="1">
      <c r="A148" s="13" t="str">
        <f t="shared" si="26"/>
        <v>Monday</v>
      </c>
      <c r="B148" s="28">
        <f t="shared" si="27"/>
        <v>46223</v>
      </c>
      <c r="C148" s="108">
        <f t="shared" si="28"/>
        <v>3015.4159</v>
      </c>
      <c r="D148" s="108">
        <f t="shared" si="29"/>
        <v>1842.3932</v>
      </c>
      <c r="E148" s="108">
        <f t="shared" si="30"/>
        <v>3547.2426</v>
      </c>
      <c r="F148" s="108">
        <f t="shared" si="31"/>
        <v>2261.5927000000001</v>
      </c>
      <c r="G148" s="108">
        <f t="shared" si="32"/>
        <v>946.31190000000004</v>
      </c>
      <c r="H148" s="108">
        <f t="shared" si="33"/>
        <v>1730.3607999999999</v>
      </c>
      <c r="I148" s="108">
        <f t="shared" si="34"/>
        <v>1149.0664999999999</v>
      </c>
      <c r="J148" s="108">
        <f t="shared" si="35"/>
        <v>1290.3919000000001</v>
      </c>
      <c r="K148" s="108">
        <f t="shared" si="36"/>
        <v>3535.8029000000001</v>
      </c>
      <c r="L148" s="108">
        <f t="shared" si="37"/>
        <v>1765.386</v>
      </c>
      <c r="M148" s="77"/>
    </row>
    <row r="149" spans="1:17" ht="15" customHeight="1">
      <c r="A149" s="13" t="str">
        <f t="shared" si="26"/>
        <v>Tuesday</v>
      </c>
      <c r="B149" s="28">
        <f t="shared" si="27"/>
        <v>46224</v>
      </c>
      <c r="C149" s="108">
        <f t="shared" si="28"/>
        <v>3015.4331999999999</v>
      </c>
      <c r="D149" s="108">
        <f t="shared" si="29"/>
        <v>1842.4032999999999</v>
      </c>
      <c r="E149" s="108">
        <f t="shared" si="30"/>
        <v>3547.2669000000001</v>
      </c>
      <c r="F149" s="108">
        <f t="shared" si="31"/>
        <v>2261.6019999999999</v>
      </c>
      <c r="G149" s="108">
        <f t="shared" si="32"/>
        <v>946.3184</v>
      </c>
      <c r="H149" s="108">
        <f t="shared" si="33"/>
        <v>1730.3697999999999</v>
      </c>
      <c r="I149" s="108">
        <f t="shared" si="34"/>
        <v>1149.0744</v>
      </c>
      <c r="J149" s="108">
        <f t="shared" si="35"/>
        <v>1290.4449</v>
      </c>
      <c r="K149" s="108">
        <f t="shared" si="36"/>
        <v>3535.8029000000001</v>
      </c>
      <c r="L149" s="108">
        <f t="shared" si="37"/>
        <v>1765.3981000000001</v>
      </c>
      <c r="M149" s="77"/>
    </row>
    <row r="150" spans="1:17" ht="15" customHeight="1">
      <c r="A150" s="13" t="str">
        <f t="shared" si="26"/>
        <v>Wednesday</v>
      </c>
      <c r="B150" s="28">
        <f t="shared" si="27"/>
        <v>46225</v>
      </c>
      <c r="C150" s="108">
        <f t="shared" si="28"/>
        <v>3015.4504999999999</v>
      </c>
      <c r="D150" s="108">
        <f t="shared" si="29"/>
        <v>1842.4133999999999</v>
      </c>
      <c r="E150" s="108">
        <f t="shared" si="30"/>
        <v>3547.2912000000001</v>
      </c>
      <c r="F150" s="108">
        <f t="shared" si="31"/>
        <v>2261.6113</v>
      </c>
      <c r="G150" s="108">
        <f t="shared" si="32"/>
        <v>946.32489999999996</v>
      </c>
      <c r="H150" s="108">
        <f t="shared" si="33"/>
        <v>1730.3788</v>
      </c>
      <c r="I150" s="108">
        <f t="shared" si="34"/>
        <v>1149.0823</v>
      </c>
      <c r="J150" s="108">
        <f t="shared" si="35"/>
        <v>1290.4979000000001</v>
      </c>
      <c r="K150" s="108">
        <f t="shared" si="36"/>
        <v>3535.8029000000001</v>
      </c>
      <c r="L150" s="108">
        <f t="shared" si="37"/>
        <v>1765.4102</v>
      </c>
      <c r="M150" s="77"/>
    </row>
    <row r="151" spans="1:17" ht="15" customHeight="1">
      <c r="A151" s="13" t="str">
        <f t="shared" si="26"/>
        <v>Thursday</v>
      </c>
      <c r="B151" s="28">
        <f t="shared" si="27"/>
        <v>46226</v>
      </c>
      <c r="C151" s="108">
        <f t="shared" si="28"/>
        <v>3015.4677999999999</v>
      </c>
      <c r="D151" s="108">
        <f t="shared" si="29"/>
        <v>1842.4235000000001</v>
      </c>
      <c r="E151" s="108">
        <f t="shared" si="30"/>
        <v>3547.3155000000002</v>
      </c>
      <c r="F151" s="108">
        <f t="shared" si="31"/>
        <v>2261.6206000000002</v>
      </c>
      <c r="G151" s="108">
        <f t="shared" si="32"/>
        <v>946.33140000000003</v>
      </c>
      <c r="H151" s="108">
        <f t="shared" si="33"/>
        <v>1730.3878</v>
      </c>
      <c r="I151" s="108">
        <f t="shared" si="34"/>
        <v>1149.0902000000001</v>
      </c>
      <c r="J151" s="108">
        <f t="shared" si="35"/>
        <v>1290.5509</v>
      </c>
      <c r="K151" s="108">
        <f t="shared" si="36"/>
        <v>3535.8029000000001</v>
      </c>
      <c r="L151" s="108">
        <f t="shared" si="37"/>
        <v>1765.4223</v>
      </c>
      <c r="M151" s="77"/>
    </row>
    <row r="152" spans="1:17" ht="15" customHeight="1">
      <c r="A152" s="13" t="str">
        <f t="shared" si="26"/>
        <v>Friday</v>
      </c>
      <c r="B152" s="28">
        <f t="shared" si="27"/>
        <v>46227</v>
      </c>
      <c r="C152" s="108">
        <f t="shared" si="28"/>
        <v>3015.4850999999999</v>
      </c>
      <c r="D152" s="108">
        <f t="shared" si="29"/>
        <v>1842.4336000000001</v>
      </c>
      <c r="E152" s="108">
        <f t="shared" si="30"/>
        <v>3547.3398000000002</v>
      </c>
      <c r="F152" s="108">
        <f t="shared" si="31"/>
        <v>2261.6298999999999</v>
      </c>
      <c r="G152" s="108">
        <f t="shared" si="32"/>
        <v>946.33789999999999</v>
      </c>
      <c r="H152" s="108">
        <f t="shared" si="33"/>
        <v>1730.3968</v>
      </c>
      <c r="I152" s="108">
        <f t="shared" si="34"/>
        <v>1149.0980999999999</v>
      </c>
      <c r="J152" s="108">
        <f t="shared" si="35"/>
        <v>1290.6039000000001</v>
      </c>
      <c r="K152" s="108">
        <f t="shared" si="36"/>
        <v>3535.8029000000001</v>
      </c>
      <c r="L152" s="108">
        <f t="shared" si="37"/>
        <v>1765.4344000000001</v>
      </c>
      <c r="M152" s="77"/>
    </row>
    <row r="153" spans="1:17" ht="15" customHeight="1">
      <c r="A153" s="13" t="str">
        <f t="shared" si="26"/>
        <v>Saturday</v>
      </c>
      <c r="B153" s="28">
        <f t="shared" si="27"/>
        <v>46228</v>
      </c>
      <c r="C153" s="108">
        <f t="shared" si="28"/>
        <v>3015.5023999999999</v>
      </c>
      <c r="D153" s="108">
        <f t="shared" si="29"/>
        <v>1842.4437</v>
      </c>
      <c r="E153" s="108">
        <f t="shared" si="30"/>
        <v>3547.3640999999998</v>
      </c>
      <c r="F153" s="108">
        <f t="shared" si="31"/>
        <v>2261.6392000000001</v>
      </c>
      <c r="G153" s="108">
        <f t="shared" si="32"/>
        <v>946.34439999999995</v>
      </c>
      <c r="H153" s="108">
        <f t="shared" si="33"/>
        <v>1730.4058</v>
      </c>
      <c r="I153" s="108">
        <f t="shared" si="34"/>
        <v>1149.106</v>
      </c>
      <c r="J153" s="108">
        <f t="shared" si="35"/>
        <v>1290.6569</v>
      </c>
      <c r="K153" s="108">
        <f t="shared" si="36"/>
        <v>3535.8029000000001</v>
      </c>
      <c r="L153" s="108">
        <f t="shared" si="37"/>
        <v>1765.4465</v>
      </c>
      <c r="M153" s="77"/>
    </row>
    <row r="154" spans="1:17" ht="15" customHeight="1">
      <c r="A154" s="13" t="str">
        <f t="shared" si="26"/>
        <v>Sunday</v>
      </c>
      <c r="B154" s="28">
        <f t="shared" si="27"/>
        <v>46229</v>
      </c>
      <c r="C154" s="108">
        <f t="shared" si="28"/>
        <v>3015.5196999999998</v>
      </c>
      <c r="D154" s="108">
        <f t="shared" si="29"/>
        <v>1842.4538</v>
      </c>
      <c r="E154" s="108">
        <f t="shared" si="30"/>
        <v>3547.3883999999998</v>
      </c>
      <c r="F154" s="108">
        <f t="shared" si="31"/>
        <v>2261.6484999999998</v>
      </c>
      <c r="G154" s="108">
        <f t="shared" si="32"/>
        <v>946.35090000000002</v>
      </c>
      <c r="H154" s="108">
        <f t="shared" si="33"/>
        <v>1730.4148</v>
      </c>
      <c r="I154" s="108">
        <f t="shared" si="34"/>
        <v>1149.1139000000001</v>
      </c>
      <c r="J154" s="108">
        <f t="shared" si="35"/>
        <v>1290.7099000000001</v>
      </c>
      <c r="K154" s="108">
        <f t="shared" si="36"/>
        <v>3535.8029000000001</v>
      </c>
      <c r="L154" s="108">
        <f t="shared" si="37"/>
        <v>1765.4585999999999</v>
      </c>
      <c r="M154" s="77"/>
    </row>
    <row r="155" spans="1:17" ht="15" customHeight="1">
      <c r="A155" s="13" t="str">
        <f t="shared" si="26"/>
        <v>Monday</v>
      </c>
      <c r="B155" s="28">
        <f t="shared" si="27"/>
        <v>46230</v>
      </c>
      <c r="C155" s="108">
        <f t="shared" si="28"/>
        <v>3015.5369999999998</v>
      </c>
      <c r="D155" s="108">
        <f t="shared" si="29"/>
        <v>1842.4639</v>
      </c>
      <c r="E155" s="108">
        <f t="shared" si="30"/>
        <v>3547.4126999999999</v>
      </c>
      <c r="F155" s="108">
        <f t="shared" si="31"/>
        <v>2261.6578</v>
      </c>
      <c r="G155" s="108">
        <f t="shared" si="32"/>
        <v>946.35739999999998</v>
      </c>
      <c r="H155" s="108">
        <f t="shared" si="33"/>
        <v>1730.4238</v>
      </c>
      <c r="I155" s="108">
        <f t="shared" si="34"/>
        <v>1149.1217999999999</v>
      </c>
      <c r="J155" s="108">
        <f t="shared" si="35"/>
        <v>1290.7628999999999</v>
      </c>
      <c r="K155" s="108">
        <f t="shared" si="36"/>
        <v>3535.8029000000001</v>
      </c>
      <c r="L155" s="108">
        <f t="shared" si="37"/>
        <v>1765.4707000000001</v>
      </c>
      <c r="M155" s="77"/>
    </row>
    <row r="156" spans="1:17" ht="15" customHeight="1">
      <c r="A156" s="13" t="str">
        <f t="shared" si="26"/>
        <v>Tuesday</v>
      </c>
      <c r="B156" s="28">
        <f t="shared" si="27"/>
        <v>46231</v>
      </c>
      <c r="C156" s="108">
        <f t="shared" si="28"/>
        <v>3015.5542999999998</v>
      </c>
      <c r="D156" s="108">
        <f t="shared" si="29"/>
        <v>1842.4739999999999</v>
      </c>
      <c r="E156" s="108">
        <f t="shared" si="30"/>
        <v>3547.4369999999999</v>
      </c>
      <c r="F156" s="108">
        <f t="shared" si="31"/>
        <v>2261.6671000000001</v>
      </c>
      <c r="G156" s="108">
        <f t="shared" si="32"/>
        <v>946.36389999999994</v>
      </c>
      <c r="H156" s="108">
        <f t="shared" si="33"/>
        <v>1730.4328</v>
      </c>
      <c r="I156" s="108">
        <f t="shared" si="34"/>
        <v>1149.1297</v>
      </c>
      <c r="J156" s="108">
        <f t="shared" si="35"/>
        <v>1290.8159000000001</v>
      </c>
      <c r="K156" s="108">
        <f t="shared" si="36"/>
        <v>3535.8029000000001</v>
      </c>
      <c r="L156" s="108">
        <f t="shared" si="37"/>
        <v>1765.4828</v>
      </c>
      <c r="M156" s="77"/>
    </row>
    <row r="157" spans="1:17" ht="15" customHeight="1">
      <c r="A157" s="13" t="str">
        <f t="shared" si="26"/>
        <v>Wednesday</v>
      </c>
      <c r="B157" s="28">
        <f t="shared" si="27"/>
        <v>46232</v>
      </c>
      <c r="C157" s="108">
        <f t="shared" si="28"/>
        <v>3015.5716000000002</v>
      </c>
      <c r="D157" s="108">
        <f t="shared" si="29"/>
        <v>1842.4840999999999</v>
      </c>
      <c r="E157" s="108">
        <f t="shared" si="30"/>
        <v>3547.4612999999999</v>
      </c>
      <c r="F157" s="108">
        <f t="shared" si="31"/>
        <v>2261.6763999999998</v>
      </c>
      <c r="G157" s="108">
        <f t="shared" si="32"/>
        <v>946.37040000000002</v>
      </c>
      <c r="H157" s="108">
        <f t="shared" si="33"/>
        <v>1730.4418000000001</v>
      </c>
      <c r="I157" s="108">
        <f t="shared" si="34"/>
        <v>1149.1376</v>
      </c>
      <c r="J157" s="108">
        <f t="shared" si="35"/>
        <v>1290.8688999999999</v>
      </c>
      <c r="K157" s="108">
        <f t="shared" si="36"/>
        <v>3535.8029000000001</v>
      </c>
      <c r="L157" s="108">
        <f t="shared" si="37"/>
        <v>1765.4948999999999</v>
      </c>
      <c r="M157" s="77"/>
    </row>
    <row r="158" spans="1:17" ht="15" customHeight="1">
      <c r="A158" s="13" t="str">
        <f t="shared" si="26"/>
        <v>Thursday</v>
      </c>
      <c r="B158" s="28">
        <f t="shared" si="27"/>
        <v>46233</v>
      </c>
      <c r="C158" s="108">
        <f t="shared" si="28"/>
        <v>3015.5889000000002</v>
      </c>
      <c r="D158" s="108">
        <f t="shared" si="29"/>
        <v>1842.4942000000001</v>
      </c>
      <c r="E158" s="108">
        <f t="shared" si="30"/>
        <v>3547.4856</v>
      </c>
      <c r="F158" s="108">
        <f t="shared" si="31"/>
        <v>2261.6857</v>
      </c>
      <c r="G158" s="108">
        <f t="shared" si="32"/>
        <v>946.37689999999998</v>
      </c>
      <c r="H158" s="108">
        <f t="shared" si="33"/>
        <v>1730.4508000000001</v>
      </c>
      <c r="I158" s="108">
        <f t="shared" si="34"/>
        <v>1149.1455000000001</v>
      </c>
      <c r="J158" s="108">
        <f t="shared" si="35"/>
        <v>1290.9219000000001</v>
      </c>
      <c r="K158" s="108">
        <f t="shared" si="36"/>
        <v>3535.8029000000001</v>
      </c>
      <c r="L158" s="108">
        <f t="shared" si="37"/>
        <v>1765.5070000000001</v>
      </c>
      <c r="M158" s="77"/>
    </row>
    <row r="159" spans="1:17" ht="15" customHeight="1">
      <c r="A159" s="13" t="str">
        <f t="shared" si="26"/>
        <v>Friday</v>
      </c>
      <c r="B159" s="28">
        <f t="shared" si="27"/>
        <v>46234</v>
      </c>
      <c r="C159" s="108">
        <f t="shared" si="28"/>
        <v>3015.6062000000002</v>
      </c>
      <c r="D159" s="108">
        <f t="shared" si="29"/>
        <v>1842.5043000000001</v>
      </c>
      <c r="E159" s="108">
        <f t="shared" si="30"/>
        <v>3547.5099</v>
      </c>
      <c r="F159" s="108">
        <f t="shared" si="31"/>
        <v>2261.6950000000002</v>
      </c>
      <c r="G159" s="108">
        <f t="shared" si="32"/>
        <v>946.38340000000005</v>
      </c>
      <c r="H159" s="108">
        <f t="shared" si="33"/>
        <v>1730.4598000000001</v>
      </c>
      <c r="I159" s="108">
        <f t="shared" si="34"/>
        <v>1149.1533999999999</v>
      </c>
      <c r="J159" s="108">
        <f t="shared" si="35"/>
        <v>1290.9749999999999</v>
      </c>
      <c r="K159" s="108">
        <f t="shared" si="36"/>
        <v>3535.8029000000001</v>
      </c>
      <c r="L159" s="108">
        <f t="shared" si="37"/>
        <v>1765.5191</v>
      </c>
      <c r="M159" s="77"/>
    </row>
    <row r="160" spans="1:17" ht="15" customHeight="1">
      <c r="A160" s="13" t="str">
        <f t="shared" si="26"/>
        <v>Saturday</v>
      </c>
      <c r="B160" s="28">
        <f t="shared" si="27"/>
        <v>46235</v>
      </c>
      <c r="C160" s="108">
        <f t="shared" si="28"/>
        <v>3015.6235999999999</v>
      </c>
      <c r="D160" s="108">
        <f t="shared" si="29"/>
        <v>1842.5144</v>
      </c>
      <c r="E160" s="108">
        <f t="shared" si="30"/>
        <v>3547.5342000000001</v>
      </c>
      <c r="F160" s="108">
        <f t="shared" si="31"/>
        <v>2261.7042999999999</v>
      </c>
      <c r="G160" s="108">
        <f t="shared" si="32"/>
        <v>946.38990000000001</v>
      </c>
      <c r="H160" s="108">
        <f t="shared" si="33"/>
        <v>1730.4688000000001</v>
      </c>
      <c r="I160" s="108">
        <f t="shared" si="34"/>
        <v>1149.1613</v>
      </c>
      <c r="J160" s="108">
        <f t="shared" si="35"/>
        <v>1291.0281</v>
      </c>
      <c r="K160" s="108">
        <f t="shared" si="36"/>
        <v>3535.8029000000001</v>
      </c>
      <c r="L160" s="108">
        <f t="shared" si="37"/>
        <v>1765.5311999999999</v>
      </c>
      <c r="M160" s="77"/>
      <c r="Q160" s="155"/>
    </row>
    <row r="161" spans="1:13" ht="15" customHeight="1">
      <c r="A161" s="13" t="str">
        <f t="shared" si="26"/>
        <v>Sunday</v>
      </c>
      <c r="B161" s="28">
        <f t="shared" si="27"/>
        <v>46236</v>
      </c>
      <c r="C161" s="108">
        <f t="shared" si="28"/>
        <v>3015.6410000000001</v>
      </c>
      <c r="D161" s="108">
        <f t="shared" si="29"/>
        <v>1842.5245</v>
      </c>
      <c r="E161" s="108">
        <f t="shared" si="30"/>
        <v>3547.5585000000001</v>
      </c>
      <c r="F161" s="108">
        <f t="shared" si="31"/>
        <v>2261.7136</v>
      </c>
      <c r="G161" s="108">
        <f t="shared" si="32"/>
        <v>946.39639999999997</v>
      </c>
      <c r="H161" s="108">
        <f t="shared" si="33"/>
        <v>1730.4777999999999</v>
      </c>
      <c r="I161" s="108">
        <f t="shared" si="34"/>
        <v>1149.1692</v>
      </c>
      <c r="J161" s="108">
        <f t="shared" si="35"/>
        <v>1291.0812000000001</v>
      </c>
      <c r="K161" s="108">
        <f t="shared" si="36"/>
        <v>3535.8029000000001</v>
      </c>
      <c r="L161" s="108">
        <f t="shared" si="37"/>
        <v>1765.5433</v>
      </c>
      <c r="M161" s="77"/>
    </row>
    <row r="162" spans="1:13" ht="15" customHeight="1">
      <c r="A162" s="13" t="str">
        <f t="shared" si="26"/>
        <v>Monday</v>
      </c>
      <c r="B162" s="28">
        <f t="shared" si="27"/>
        <v>46237</v>
      </c>
      <c r="C162" s="108">
        <f t="shared" si="28"/>
        <v>3015.6583999999998</v>
      </c>
      <c r="D162" s="108">
        <f t="shared" si="29"/>
        <v>1842.5346</v>
      </c>
      <c r="E162" s="108">
        <f t="shared" si="30"/>
        <v>3547.5828000000001</v>
      </c>
      <c r="F162" s="108">
        <f t="shared" si="31"/>
        <v>2261.7229000000002</v>
      </c>
      <c r="G162" s="108">
        <f t="shared" si="32"/>
        <v>946.40290000000005</v>
      </c>
      <c r="H162" s="108">
        <f t="shared" si="33"/>
        <v>1730.4867999999999</v>
      </c>
      <c r="I162" s="108">
        <f t="shared" si="34"/>
        <v>1149.1771000000001</v>
      </c>
      <c r="J162" s="108">
        <f t="shared" si="35"/>
        <v>1291.1342999999999</v>
      </c>
      <c r="K162" s="108">
        <f t="shared" si="36"/>
        <v>3535.8029000000001</v>
      </c>
      <c r="L162" s="108">
        <f t="shared" si="37"/>
        <v>1765.5554</v>
      </c>
      <c r="M162" s="77"/>
    </row>
    <row r="163" spans="1:13" ht="15" customHeight="1">
      <c r="A163" s="13" t="str">
        <f t="shared" si="26"/>
        <v>Tuesday</v>
      </c>
      <c r="B163" s="28">
        <f t="shared" si="27"/>
        <v>46238</v>
      </c>
      <c r="C163" s="108">
        <f t="shared" si="28"/>
        <v>3015.6758</v>
      </c>
      <c r="D163" s="108">
        <f t="shared" si="29"/>
        <v>1842.5446999999999</v>
      </c>
      <c r="E163" s="108">
        <f t="shared" si="30"/>
        <v>3547.6071000000002</v>
      </c>
      <c r="F163" s="108">
        <f t="shared" si="31"/>
        <v>2261.7321999999999</v>
      </c>
      <c r="G163" s="108">
        <f t="shared" si="32"/>
        <v>946.40940000000001</v>
      </c>
      <c r="H163" s="108">
        <f t="shared" si="33"/>
        <v>1730.4957999999999</v>
      </c>
      <c r="I163" s="108">
        <f t="shared" si="34"/>
        <v>1149.1849999999999</v>
      </c>
      <c r="J163" s="108">
        <f t="shared" si="35"/>
        <v>1291.1874</v>
      </c>
      <c r="K163" s="108">
        <f t="shared" si="36"/>
        <v>3535.8029000000001</v>
      </c>
      <c r="L163" s="108">
        <f t="shared" si="37"/>
        <v>1765.5675000000001</v>
      </c>
      <c r="M163" s="77"/>
    </row>
    <row r="164" spans="1:13" ht="15" customHeight="1">
      <c r="A164" s="13" t="str">
        <f t="shared" si="26"/>
        <v>Wednesday</v>
      </c>
      <c r="B164" s="28">
        <f t="shared" si="27"/>
        <v>46239</v>
      </c>
      <c r="C164" s="108">
        <f t="shared" si="28"/>
        <v>3015.6932000000002</v>
      </c>
      <c r="D164" s="108">
        <f t="shared" si="29"/>
        <v>1842.5547999999999</v>
      </c>
      <c r="E164" s="108">
        <f t="shared" si="30"/>
        <v>3547.6314000000002</v>
      </c>
      <c r="F164" s="108">
        <f t="shared" si="31"/>
        <v>2261.7415000000001</v>
      </c>
      <c r="G164" s="108">
        <f t="shared" si="32"/>
        <v>946.41589999999997</v>
      </c>
      <c r="H164" s="108">
        <f t="shared" si="33"/>
        <v>1730.5047999999999</v>
      </c>
      <c r="I164" s="108">
        <f t="shared" si="34"/>
        <v>1149.1929</v>
      </c>
      <c r="J164" s="108">
        <f t="shared" si="35"/>
        <v>1291.2405000000001</v>
      </c>
      <c r="K164" s="108">
        <f t="shared" si="36"/>
        <v>3535.8029000000001</v>
      </c>
      <c r="L164" s="108">
        <f t="shared" si="37"/>
        <v>1765.5796</v>
      </c>
      <c r="M164" s="77"/>
    </row>
    <row r="165" spans="1:13" ht="15" customHeight="1">
      <c r="A165" s="13" t="str">
        <f t="shared" si="26"/>
        <v>Thursday</v>
      </c>
      <c r="B165" s="28">
        <f t="shared" si="27"/>
        <v>46240</v>
      </c>
      <c r="C165" s="108">
        <f t="shared" si="28"/>
        <v>3015.7105999999999</v>
      </c>
      <c r="D165" s="108">
        <f t="shared" si="29"/>
        <v>1842.5649000000001</v>
      </c>
      <c r="E165" s="108">
        <f t="shared" si="30"/>
        <v>3547.6556999999998</v>
      </c>
      <c r="F165" s="108">
        <f t="shared" si="31"/>
        <v>2261.7507999999998</v>
      </c>
      <c r="G165" s="108">
        <f t="shared" si="32"/>
        <v>946.42240000000004</v>
      </c>
      <c r="H165" s="108">
        <f t="shared" si="33"/>
        <v>1730.5137999999999</v>
      </c>
      <c r="I165" s="108">
        <f t="shared" si="34"/>
        <v>1149.2008000000001</v>
      </c>
      <c r="J165" s="108">
        <f t="shared" si="35"/>
        <v>1291.2936</v>
      </c>
      <c r="K165" s="108">
        <f t="shared" si="36"/>
        <v>3535.8029000000001</v>
      </c>
      <c r="L165" s="108">
        <f t="shared" si="37"/>
        <v>1765.5916999999999</v>
      </c>
      <c r="M165" s="77"/>
    </row>
    <row r="166" spans="1:13" ht="15" customHeight="1">
      <c r="A166" s="13" t="str">
        <f t="shared" si="26"/>
        <v>Friday</v>
      </c>
      <c r="B166" s="28">
        <f t="shared" si="27"/>
        <v>46241</v>
      </c>
      <c r="C166" s="108">
        <f t="shared" si="28"/>
        <v>3015.7280000000001</v>
      </c>
      <c r="D166" s="108">
        <f t="shared" si="29"/>
        <v>1842.575</v>
      </c>
      <c r="E166" s="108">
        <f t="shared" si="30"/>
        <v>3547.68</v>
      </c>
      <c r="F166" s="108">
        <f t="shared" si="31"/>
        <v>2261.7601</v>
      </c>
      <c r="G166" s="108">
        <f t="shared" si="32"/>
        <v>946.4289</v>
      </c>
      <c r="H166" s="108">
        <f t="shared" si="33"/>
        <v>1730.5228</v>
      </c>
      <c r="I166" s="108">
        <f t="shared" si="34"/>
        <v>1149.2086999999999</v>
      </c>
      <c r="J166" s="108">
        <f t="shared" si="35"/>
        <v>1291.3467000000001</v>
      </c>
      <c r="K166" s="108">
        <f t="shared" si="36"/>
        <v>3535.8029000000001</v>
      </c>
      <c r="L166" s="108">
        <f t="shared" si="37"/>
        <v>1765.6038000000001</v>
      </c>
      <c r="M166" s="77"/>
    </row>
    <row r="167" spans="1:13" ht="15" customHeight="1">
      <c r="A167" s="13" t="str">
        <f t="shared" si="26"/>
        <v>Saturday</v>
      </c>
      <c r="B167" s="28">
        <f t="shared" si="27"/>
        <v>46242</v>
      </c>
      <c r="C167" s="108">
        <f t="shared" si="28"/>
        <v>3015.7453999999998</v>
      </c>
      <c r="D167" s="108">
        <f t="shared" si="29"/>
        <v>1842.5851</v>
      </c>
      <c r="E167" s="108">
        <f t="shared" si="30"/>
        <v>3547.7042999999999</v>
      </c>
      <c r="F167" s="108">
        <f t="shared" si="31"/>
        <v>2261.7694000000001</v>
      </c>
      <c r="G167" s="108">
        <f t="shared" si="32"/>
        <v>946.43539999999996</v>
      </c>
      <c r="H167" s="108">
        <f t="shared" si="33"/>
        <v>1730.5318</v>
      </c>
      <c r="I167" s="108">
        <f t="shared" si="34"/>
        <v>1149.2166</v>
      </c>
      <c r="J167" s="108">
        <f t="shared" si="35"/>
        <v>1291.3997999999999</v>
      </c>
      <c r="K167" s="108">
        <f t="shared" si="36"/>
        <v>3535.8029000000001</v>
      </c>
      <c r="L167" s="108">
        <f t="shared" si="37"/>
        <v>1765.6159</v>
      </c>
      <c r="M167" s="77"/>
    </row>
    <row r="168" spans="1:13" ht="15" customHeight="1">
      <c r="A168" s="13" t="str">
        <f t="shared" si="26"/>
        <v>Sunday</v>
      </c>
      <c r="B168" s="28">
        <f t="shared" si="27"/>
        <v>46243</v>
      </c>
      <c r="C168" s="108">
        <f t="shared" si="28"/>
        <v>3015.7628</v>
      </c>
      <c r="D168" s="108">
        <f t="shared" si="29"/>
        <v>1842.5952</v>
      </c>
      <c r="E168" s="108">
        <f t="shared" si="30"/>
        <v>3547.7285999999999</v>
      </c>
      <c r="F168" s="108">
        <f t="shared" si="31"/>
        <v>2261.7786999999998</v>
      </c>
      <c r="G168" s="108">
        <f t="shared" si="32"/>
        <v>946.44190000000003</v>
      </c>
      <c r="H168" s="108">
        <f t="shared" si="33"/>
        <v>1730.5408</v>
      </c>
      <c r="I168" s="108">
        <f t="shared" si="34"/>
        <v>1149.2245</v>
      </c>
      <c r="J168" s="108">
        <f t="shared" si="35"/>
        <v>1291.4529</v>
      </c>
      <c r="K168" s="108">
        <f t="shared" si="36"/>
        <v>3535.8029000000001</v>
      </c>
      <c r="L168" s="108">
        <f t="shared" si="37"/>
        <v>1765.6279999999999</v>
      </c>
      <c r="M168" s="77"/>
    </row>
    <row r="169" spans="1:13" ht="15" customHeight="1">
      <c r="A169" s="13" t="str">
        <f t="shared" si="26"/>
        <v>Monday</v>
      </c>
      <c r="B169" s="28">
        <f t="shared" si="27"/>
        <v>46244</v>
      </c>
      <c r="C169" s="108">
        <f t="shared" si="28"/>
        <v>3015.7802000000001</v>
      </c>
      <c r="D169" s="108">
        <f t="shared" si="29"/>
        <v>1842.6052999999999</v>
      </c>
      <c r="E169" s="108">
        <f t="shared" si="30"/>
        <v>3547.7529</v>
      </c>
      <c r="F169" s="108">
        <f t="shared" si="31"/>
        <v>2261.788</v>
      </c>
      <c r="G169" s="108">
        <f t="shared" si="32"/>
        <v>946.44839999999999</v>
      </c>
      <c r="H169" s="108">
        <f t="shared" si="33"/>
        <v>1730.5498</v>
      </c>
      <c r="I169" s="108">
        <f t="shared" si="34"/>
        <v>1149.2324000000001</v>
      </c>
      <c r="J169" s="108">
        <f t="shared" si="35"/>
        <v>1291.5060000000001</v>
      </c>
      <c r="K169" s="108">
        <f t="shared" si="36"/>
        <v>3535.8029000000001</v>
      </c>
      <c r="L169" s="108">
        <f t="shared" si="37"/>
        <v>1765.6401000000001</v>
      </c>
      <c r="M169" s="77"/>
    </row>
    <row r="170" spans="1:13" ht="15" customHeight="1">
      <c r="A170" s="13" t="str">
        <f t="shared" si="26"/>
        <v>Tuesday</v>
      </c>
      <c r="B170" s="28">
        <f t="shared" si="27"/>
        <v>46245</v>
      </c>
      <c r="C170" s="108">
        <f t="shared" si="28"/>
        <v>3015.7975999999999</v>
      </c>
      <c r="D170" s="108">
        <f t="shared" si="29"/>
        <v>1842.6153999999999</v>
      </c>
      <c r="E170" s="108">
        <f t="shared" si="30"/>
        <v>3547.7772</v>
      </c>
      <c r="F170" s="108">
        <f t="shared" si="31"/>
        <v>2261.7973000000002</v>
      </c>
      <c r="G170" s="108">
        <f t="shared" si="32"/>
        <v>946.45489999999995</v>
      </c>
      <c r="H170" s="108">
        <f t="shared" si="33"/>
        <v>1730.5588</v>
      </c>
      <c r="I170" s="108">
        <f t="shared" si="34"/>
        <v>1149.2402999999999</v>
      </c>
      <c r="J170" s="108">
        <f t="shared" si="35"/>
        <v>1291.5590999999999</v>
      </c>
      <c r="K170" s="108">
        <f t="shared" si="36"/>
        <v>3535.8029000000001</v>
      </c>
      <c r="L170" s="108">
        <f t="shared" si="37"/>
        <v>1765.6522</v>
      </c>
      <c r="M170" s="77"/>
    </row>
    <row r="171" spans="1:13" ht="15" customHeight="1">
      <c r="A171" s="13" t="str">
        <f t="shared" si="26"/>
        <v>Wednesday</v>
      </c>
      <c r="B171" s="28">
        <f t="shared" si="27"/>
        <v>46246</v>
      </c>
      <c r="C171" s="108">
        <f t="shared" si="28"/>
        <v>3015.8150000000001</v>
      </c>
      <c r="D171" s="108">
        <f t="shared" si="29"/>
        <v>1842.6255000000001</v>
      </c>
      <c r="E171" s="108">
        <f t="shared" si="30"/>
        <v>3547.8015</v>
      </c>
      <c r="F171" s="108">
        <f t="shared" si="31"/>
        <v>2261.8065999999999</v>
      </c>
      <c r="G171" s="108">
        <f t="shared" si="32"/>
        <v>946.46140000000003</v>
      </c>
      <c r="H171" s="108">
        <f t="shared" si="33"/>
        <v>1730.5678</v>
      </c>
      <c r="I171" s="108">
        <f t="shared" si="34"/>
        <v>1149.2482</v>
      </c>
      <c r="J171" s="108">
        <f t="shared" si="35"/>
        <v>1291.6122</v>
      </c>
      <c r="K171" s="108">
        <f t="shared" si="36"/>
        <v>3535.8029000000001</v>
      </c>
      <c r="L171" s="108">
        <f t="shared" si="37"/>
        <v>1765.6642999999999</v>
      </c>
      <c r="M171" s="77"/>
    </row>
    <row r="172" spans="1:13" ht="15" customHeight="1">
      <c r="A172" s="13" t="str">
        <f t="shared" si="26"/>
        <v>Thursday</v>
      </c>
      <c r="B172" s="28">
        <f t="shared" si="27"/>
        <v>46247</v>
      </c>
      <c r="C172" s="108">
        <f t="shared" si="28"/>
        <v>3015.8323999999998</v>
      </c>
      <c r="D172" s="108">
        <f t="shared" si="29"/>
        <v>1842.6356000000001</v>
      </c>
      <c r="E172" s="108">
        <f t="shared" si="30"/>
        <v>3547.8258000000001</v>
      </c>
      <c r="F172" s="108">
        <f t="shared" si="31"/>
        <v>2261.8159000000001</v>
      </c>
      <c r="G172" s="108">
        <f t="shared" si="32"/>
        <v>946.46789999999999</v>
      </c>
      <c r="H172" s="108">
        <f t="shared" si="33"/>
        <v>1730.5768</v>
      </c>
      <c r="I172" s="108">
        <f t="shared" si="34"/>
        <v>1149.2561000000001</v>
      </c>
      <c r="J172" s="108">
        <f t="shared" si="35"/>
        <v>1291.6652999999999</v>
      </c>
      <c r="K172" s="108">
        <f t="shared" si="36"/>
        <v>3535.8029000000001</v>
      </c>
      <c r="L172" s="108">
        <f t="shared" si="37"/>
        <v>1765.6764000000001</v>
      </c>
      <c r="M172" s="77"/>
    </row>
    <row r="173" spans="1:13" ht="15" customHeight="1">
      <c r="A173" s="13" t="str">
        <f t="shared" si="26"/>
        <v>Friday</v>
      </c>
      <c r="B173" s="28">
        <f t="shared" si="27"/>
        <v>46248</v>
      </c>
      <c r="C173" s="108">
        <f t="shared" si="28"/>
        <v>3015.8498</v>
      </c>
      <c r="D173" s="108">
        <f t="shared" si="29"/>
        <v>1842.6457</v>
      </c>
      <c r="E173" s="108">
        <f t="shared" si="30"/>
        <v>3547.8501000000001</v>
      </c>
      <c r="F173" s="108">
        <f t="shared" si="31"/>
        <v>2261.8252000000002</v>
      </c>
      <c r="G173" s="108">
        <f t="shared" si="32"/>
        <v>946.47439999999995</v>
      </c>
      <c r="H173" s="108">
        <f t="shared" si="33"/>
        <v>1730.5858000000001</v>
      </c>
      <c r="I173" s="108">
        <f t="shared" si="34"/>
        <v>1149.2639999999999</v>
      </c>
      <c r="J173" s="108">
        <f t="shared" si="35"/>
        <v>1291.7184</v>
      </c>
      <c r="K173" s="108">
        <f t="shared" si="36"/>
        <v>3535.8029000000001</v>
      </c>
      <c r="L173" s="108">
        <f t="shared" si="37"/>
        <v>1765.6885</v>
      </c>
      <c r="M173" s="77"/>
    </row>
    <row r="174" spans="1:13" ht="15" customHeight="1">
      <c r="A174" s="13" t="str">
        <f t="shared" si="26"/>
        <v>Saturday</v>
      </c>
      <c r="B174" s="28">
        <f t="shared" si="27"/>
        <v>46249</v>
      </c>
      <c r="C174" s="108">
        <f t="shared" si="28"/>
        <v>3015.8672000000001</v>
      </c>
      <c r="D174" s="108">
        <f t="shared" si="29"/>
        <v>1842.6558</v>
      </c>
      <c r="E174" s="108">
        <f t="shared" si="30"/>
        <v>3547.8744000000002</v>
      </c>
      <c r="F174" s="108">
        <f t="shared" si="31"/>
        <v>2261.8344999999999</v>
      </c>
      <c r="G174" s="108">
        <f t="shared" si="32"/>
        <v>946.48090000000002</v>
      </c>
      <c r="H174" s="108">
        <f t="shared" si="33"/>
        <v>1730.5948000000001</v>
      </c>
      <c r="I174" s="108">
        <f t="shared" si="34"/>
        <v>1149.2719</v>
      </c>
      <c r="J174" s="108">
        <f t="shared" si="35"/>
        <v>1291.7715000000001</v>
      </c>
      <c r="K174" s="108">
        <f t="shared" si="36"/>
        <v>3535.8029000000001</v>
      </c>
      <c r="L174" s="108">
        <f t="shared" si="37"/>
        <v>1765.7005999999999</v>
      </c>
      <c r="M174" s="77"/>
    </row>
    <row r="175" spans="1:13" ht="15" customHeight="1">
      <c r="A175" s="13" t="str">
        <f t="shared" si="26"/>
        <v>Sunday</v>
      </c>
      <c r="B175" s="28">
        <f t="shared" si="27"/>
        <v>46250</v>
      </c>
      <c r="C175" s="108">
        <f t="shared" si="28"/>
        <v>3015.8845999999999</v>
      </c>
      <c r="D175" s="108">
        <f t="shared" si="29"/>
        <v>1842.6659</v>
      </c>
      <c r="E175" s="108">
        <f t="shared" si="30"/>
        <v>3547.8987000000002</v>
      </c>
      <c r="F175" s="108">
        <f t="shared" si="31"/>
        <v>2261.8438000000001</v>
      </c>
      <c r="G175" s="108">
        <f t="shared" si="32"/>
        <v>946.48739999999998</v>
      </c>
      <c r="H175" s="108">
        <f t="shared" si="33"/>
        <v>1730.6038000000001</v>
      </c>
      <c r="I175" s="108">
        <f t="shared" si="34"/>
        <v>1149.2798</v>
      </c>
      <c r="J175" s="108">
        <f t="shared" si="35"/>
        <v>1291.8245999999999</v>
      </c>
      <c r="K175" s="108">
        <f t="shared" si="36"/>
        <v>3535.8029000000001</v>
      </c>
      <c r="L175" s="108">
        <f t="shared" si="37"/>
        <v>1765.7127</v>
      </c>
      <c r="M175" s="77"/>
    </row>
    <row r="176" spans="1:13" ht="15" customHeight="1">
      <c r="A176" s="13" t="str">
        <f t="shared" si="26"/>
        <v>Monday</v>
      </c>
      <c r="B176" s="28">
        <f t="shared" si="27"/>
        <v>46251</v>
      </c>
      <c r="C176" s="108">
        <f t="shared" si="28"/>
        <v>3015.902</v>
      </c>
      <c r="D176" s="108">
        <f t="shared" si="29"/>
        <v>1842.6759999999999</v>
      </c>
      <c r="E176" s="108">
        <f t="shared" si="30"/>
        <v>3547.9229999999998</v>
      </c>
      <c r="F176" s="108">
        <f t="shared" si="31"/>
        <v>2261.8530999999998</v>
      </c>
      <c r="G176" s="108">
        <f t="shared" si="32"/>
        <v>946.49390000000005</v>
      </c>
      <c r="H176" s="108">
        <f t="shared" si="33"/>
        <v>1730.6128000000001</v>
      </c>
      <c r="I176" s="108">
        <f t="shared" si="34"/>
        <v>1149.2877000000001</v>
      </c>
      <c r="J176" s="108">
        <f t="shared" si="35"/>
        <v>1291.8777</v>
      </c>
      <c r="K176" s="108">
        <f t="shared" si="36"/>
        <v>3535.8029000000001</v>
      </c>
      <c r="L176" s="108">
        <f t="shared" si="37"/>
        <v>1765.7248</v>
      </c>
      <c r="M176" s="77"/>
    </row>
    <row r="177" spans="1:13" ht="15" customHeight="1">
      <c r="A177" s="13" t="str">
        <f t="shared" si="26"/>
        <v>Tuesday</v>
      </c>
      <c r="B177" s="28">
        <f t="shared" si="27"/>
        <v>46252</v>
      </c>
      <c r="C177" s="108">
        <f t="shared" si="28"/>
        <v>3015.9194000000002</v>
      </c>
      <c r="D177" s="108">
        <f t="shared" si="29"/>
        <v>1842.6860999999999</v>
      </c>
      <c r="E177" s="108">
        <f t="shared" si="30"/>
        <v>3547.9472999999998</v>
      </c>
      <c r="F177" s="108">
        <f t="shared" si="31"/>
        <v>2261.8624</v>
      </c>
      <c r="G177" s="108">
        <f t="shared" si="32"/>
        <v>946.50040000000001</v>
      </c>
      <c r="H177" s="108">
        <f t="shared" si="33"/>
        <v>1730.6217999999999</v>
      </c>
      <c r="I177" s="108">
        <f t="shared" si="34"/>
        <v>1149.2955999999999</v>
      </c>
      <c r="J177" s="108">
        <f t="shared" si="35"/>
        <v>1291.9308000000001</v>
      </c>
      <c r="K177" s="108">
        <f t="shared" si="36"/>
        <v>3535.8029000000001</v>
      </c>
      <c r="L177" s="108">
        <f t="shared" si="37"/>
        <v>1765.7369000000001</v>
      </c>
      <c r="M177" s="77"/>
    </row>
    <row r="178" spans="1:13" ht="15" customHeight="1">
      <c r="A178" s="13" t="str">
        <f t="shared" si="26"/>
        <v>Wednesday</v>
      </c>
      <c r="B178" s="28">
        <f t="shared" si="27"/>
        <v>46253</v>
      </c>
      <c r="C178" s="108">
        <f t="shared" si="28"/>
        <v>3015.9367999999999</v>
      </c>
      <c r="D178" s="108">
        <f t="shared" si="29"/>
        <v>1842.6962000000001</v>
      </c>
      <c r="E178" s="108">
        <f t="shared" si="30"/>
        <v>3547.9715999999999</v>
      </c>
      <c r="F178" s="108">
        <f t="shared" si="31"/>
        <v>2261.8717000000001</v>
      </c>
      <c r="G178" s="108">
        <f t="shared" si="32"/>
        <v>946.50689999999997</v>
      </c>
      <c r="H178" s="108">
        <f t="shared" si="33"/>
        <v>1730.6307999999999</v>
      </c>
      <c r="I178" s="108">
        <f t="shared" si="34"/>
        <v>1149.3035</v>
      </c>
      <c r="J178" s="108">
        <f t="shared" si="35"/>
        <v>1291.9838999999999</v>
      </c>
      <c r="K178" s="108">
        <f t="shared" si="36"/>
        <v>3535.8029000000001</v>
      </c>
      <c r="L178" s="108">
        <f t="shared" si="37"/>
        <v>1765.749</v>
      </c>
      <c r="M178" s="77"/>
    </row>
    <row r="179" spans="1:13" ht="15" customHeight="1">
      <c r="A179" s="13" t="str">
        <f t="shared" si="26"/>
        <v>Thursday</v>
      </c>
      <c r="B179" s="28">
        <f t="shared" si="27"/>
        <v>46254</v>
      </c>
      <c r="C179" s="108">
        <f t="shared" si="28"/>
        <v>3015.9542000000001</v>
      </c>
      <c r="D179" s="108">
        <f t="shared" si="29"/>
        <v>1842.7063000000001</v>
      </c>
      <c r="E179" s="108">
        <f t="shared" si="30"/>
        <v>3547.9958999999999</v>
      </c>
      <c r="F179" s="108">
        <f t="shared" si="31"/>
        <v>2261.8809999999999</v>
      </c>
      <c r="G179" s="108">
        <f t="shared" si="32"/>
        <v>946.51340000000005</v>
      </c>
      <c r="H179" s="108">
        <f t="shared" si="33"/>
        <v>1730.6397999999999</v>
      </c>
      <c r="I179" s="108">
        <f t="shared" si="34"/>
        <v>1149.3114</v>
      </c>
      <c r="J179" s="108">
        <f t="shared" si="35"/>
        <v>1292.037</v>
      </c>
      <c r="K179" s="108">
        <f t="shared" si="36"/>
        <v>3535.8029000000001</v>
      </c>
      <c r="L179" s="108">
        <f t="shared" si="37"/>
        <v>1765.7610999999999</v>
      </c>
      <c r="M179" s="77"/>
    </row>
    <row r="180" spans="1:13" ht="15" customHeight="1">
      <c r="A180" s="13" t="str">
        <f t="shared" si="26"/>
        <v>Friday</v>
      </c>
      <c r="B180" s="28">
        <f t="shared" si="27"/>
        <v>46255</v>
      </c>
      <c r="C180" s="108">
        <f t="shared" si="28"/>
        <v>3015.9715999999999</v>
      </c>
      <c r="D180" s="108">
        <f t="shared" si="29"/>
        <v>1842.7164</v>
      </c>
      <c r="E180" s="108">
        <f t="shared" si="30"/>
        <v>3548.0201999999999</v>
      </c>
      <c r="F180" s="108">
        <f t="shared" si="31"/>
        <v>2261.8903</v>
      </c>
      <c r="G180" s="108">
        <f t="shared" si="32"/>
        <v>946.51990000000001</v>
      </c>
      <c r="H180" s="108">
        <f t="shared" si="33"/>
        <v>1730.6487999999999</v>
      </c>
      <c r="I180" s="108">
        <f t="shared" si="34"/>
        <v>1149.3193000000001</v>
      </c>
      <c r="J180" s="108">
        <f t="shared" si="35"/>
        <v>1292.0900999999999</v>
      </c>
      <c r="K180" s="108">
        <f t="shared" si="36"/>
        <v>3535.8029000000001</v>
      </c>
      <c r="L180" s="108">
        <f t="shared" si="37"/>
        <v>1765.7732000000001</v>
      </c>
      <c r="M180" s="77"/>
    </row>
    <row r="181" spans="1:13" ht="15" customHeight="1">
      <c r="A181" s="13" t="str">
        <f t="shared" si="26"/>
        <v>Saturday</v>
      </c>
      <c r="B181" s="28">
        <f t="shared" si="27"/>
        <v>46256</v>
      </c>
      <c r="C181" s="108">
        <f t="shared" si="28"/>
        <v>3015.989</v>
      </c>
      <c r="D181" s="108">
        <f t="shared" si="29"/>
        <v>1842.7265</v>
      </c>
      <c r="E181" s="108">
        <f t="shared" si="30"/>
        <v>3548.0445</v>
      </c>
      <c r="F181" s="108">
        <f t="shared" si="31"/>
        <v>2261.8996000000002</v>
      </c>
      <c r="G181" s="108">
        <f t="shared" si="32"/>
        <v>946.52639999999997</v>
      </c>
      <c r="H181" s="108">
        <f t="shared" si="33"/>
        <v>1730.6578</v>
      </c>
      <c r="I181" s="108">
        <f t="shared" si="34"/>
        <v>1149.3271999999999</v>
      </c>
      <c r="J181" s="108">
        <f t="shared" si="35"/>
        <v>1292.1432</v>
      </c>
      <c r="K181" s="108">
        <f t="shared" si="36"/>
        <v>3535.8029000000001</v>
      </c>
      <c r="L181" s="108">
        <f t="shared" si="37"/>
        <v>1765.7853</v>
      </c>
      <c r="M181" s="77"/>
    </row>
    <row r="182" spans="1:13" ht="15" customHeight="1">
      <c r="A182" s="13" t="str">
        <f t="shared" si="26"/>
        <v>Sunday</v>
      </c>
      <c r="B182" s="28">
        <f t="shared" si="27"/>
        <v>46257</v>
      </c>
      <c r="C182" s="108">
        <f t="shared" si="28"/>
        <v>3016.0064000000002</v>
      </c>
      <c r="D182" s="108">
        <f t="shared" si="29"/>
        <v>1842.7366</v>
      </c>
      <c r="E182" s="108">
        <f t="shared" si="30"/>
        <v>3548.0688</v>
      </c>
      <c r="F182" s="108">
        <f t="shared" si="31"/>
        <v>2261.9088999999999</v>
      </c>
      <c r="G182" s="108">
        <f t="shared" si="32"/>
        <v>946.53290000000004</v>
      </c>
      <c r="H182" s="108">
        <f t="shared" si="33"/>
        <v>1730.6668</v>
      </c>
      <c r="I182" s="108">
        <f t="shared" si="34"/>
        <v>1149.3351</v>
      </c>
      <c r="J182" s="108">
        <f t="shared" si="35"/>
        <v>1292.1963000000001</v>
      </c>
      <c r="K182" s="108">
        <f t="shared" si="36"/>
        <v>3535.8029000000001</v>
      </c>
      <c r="L182" s="108">
        <f t="shared" si="37"/>
        <v>1765.7973999999999</v>
      </c>
      <c r="M182" s="77"/>
    </row>
    <row r="183" spans="1:13" ht="15" customHeight="1">
      <c r="A183" s="13" t="str">
        <f t="shared" si="26"/>
        <v>Monday</v>
      </c>
      <c r="B183" s="28">
        <f t="shared" si="27"/>
        <v>46258</v>
      </c>
      <c r="C183" s="108">
        <f t="shared" si="28"/>
        <v>3016.0237999999999</v>
      </c>
      <c r="D183" s="108">
        <f t="shared" si="29"/>
        <v>1842.7466999999999</v>
      </c>
      <c r="E183" s="108">
        <f t="shared" si="30"/>
        <v>3548.0931</v>
      </c>
      <c r="F183" s="108">
        <f t="shared" si="31"/>
        <v>2261.9182000000001</v>
      </c>
      <c r="G183" s="108">
        <f t="shared" si="32"/>
        <v>946.5394</v>
      </c>
      <c r="H183" s="108">
        <f t="shared" si="33"/>
        <v>1730.6758</v>
      </c>
      <c r="I183" s="108">
        <f t="shared" si="34"/>
        <v>1149.3430000000001</v>
      </c>
      <c r="J183" s="108">
        <f t="shared" si="35"/>
        <v>1292.2493999999999</v>
      </c>
      <c r="K183" s="108">
        <f t="shared" si="36"/>
        <v>3535.8029000000001</v>
      </c>
      <c r="L183" s="108">
        <f t="shared" si="37"/>
        <v>1765.8095000000001</v>
      </c>
      <c r="M183" s="77"/>
    </row>
    <row r="184" spans="1:13" ht="15" customHeight="1">
      <c r="A184" s="13" t="str">
        <f t="shared" si="26"/>
        <v>Tuesday</v>
      </c>
      <c r="B184" s="28">
        <f t="shared" si="27"/>
        <v>46259</v>
      </c>
      <c r="C184" s="108">
        <f t="shared" si="28"/>
        <v>3016.0412000000001</v>
      </c>
      <c r="D184" s="108">
        <f t="shared" si="29"/>
        <v>1842.7568000000001</v>
      </c>
      <c r="E184" s="108">
        <f t="shared" si="30"/>
        <v>3548.1174000000001</v>
      </c>
      <c r="F184" s="108">
        <f t="shared" si="31"/>
        <v>2261.9274999999998</v>
      </c>
      <c r="G184" s="108">
        <f t="shared" si="32"/>
        <v>946.54589999999996</v>
      </c>
      <c r="H184" s="108">
        <f t="shared" si="33"/>
        <v>1730.6848</v>
      </c>
      <c r="I184" s="108">
        <f t="shared" si="34"/>
        <v>1149.3508999999999</v>
      </c>
      <c r="J184" s="108">
        <f t="shared" si="35"/>
        <v>1292.3025</v>
      </c>
      <c r="K184" s="108">
        <f t="shared" si="36"/>
        <v>3535.8029000000001</v>
      </c>
      <c r="L184" s="108">
        <f t="shared" si="37"/>
        <v>1765.8216</v>
      </c>
      <c r="M184" s="77"/>
    </row>
    <row r="185" spans="1:13" ht="15" customHeight="1">
      <c r="A185" s="13" t="str">
        <f t="shared" si="26"/>
        <v>Wednesday</v>
      </c>
      <c r="B185" s="28">
        <f t="shared" si="27"/>
        <v>46260</v>
      </c>
      <c r="C185" s="108">
        <f t="shared" si="28"/>
        <v>3016.0585999999998</v>
      </c>
      <c r="D185" s="108">
        <f t="shared" si="29"/>
        <v>1842.7669000000001</v>
      </c>
      <c r="E185" s="108">
        <f t="shared" si="30"/>
        <v>3548.1417000000001</v>
      </c>
      <c r="F185" s="108">
        <f t="shared" si="31"/>
        <v>2261.9367999999999</v>
      </c>
      <c r="G185" s="108">
        <f t="shared" si="32"/>
        <v>946.55240000000003</v>
      </c>
      <c r="H185" s="108">
        <f t="shared" si="33"/>
        <v>1730.6938</v>
      </c>
      <c r="I185" s="108">
        <f t="shared" si="34"/>
        <v>1149.3588</v>
      </c>
      <c r="J185" s="108">
        <f t="shared" si="35"/>
        <v>1292.3556000000001</v>
      </c>
      <c r="K185" s="108">
        <f t="shared" si="36"/>
        <v>3535.8029000000001</v>
      </c>
      <c r="L185" s="108">
        <f t="shared" si="37"/>
        <v>1765.8336999999999</v>
      </c>
      <c r="M185" s="77"/>
    </row>
    <row r="186" spans="1:13" ht="15" customHeight="1">
      <c r="A186" s="13" t="str">
        <f t="shared" si="26"/>
        <v>Thursday</v>
      </c>
      <c r="B186" s="28">
        <f t="shared" si="27"/>
        <v>46261</v>
      </c>
      <c r="C186" s="108">
        <f t="shared" si="28"/>
        <v>3016.076</v>
      </c>
      <c r="D186" s="108">
        <f t="shared" si="29"/>
        <v>1842.777</v>
      </c>
      <c r="E186" s="108">
        <f t="shared" si="30"/>
        <v>3548.1660000000002</v>
      </c>
      <c r="F186" s="108">
        <f t="shared" si="31"/>
        <v>2261.9461000000001</v>
      </c>
      <c r="G186" s="108">
        <f t="shared" si="32"/>
        <v>946.55889999999999</v>
      </c>
      <c r="H186" s="108">
        <f t="shared" si="33"/>
        <v>1730.7028</v>
      </c>
      <c r="I186" s="108">
        <f t="shared" si="34"/>
        <v>1149.3667</v>
      </c>
      <c r="J186" s="108">
        <f t="shared" si="35"/>
        <v>1292.4087</v>
      </c>
      <c r="K186" s="108">
        <f t="shared" si="36"/>
        <v>3535.8029000000001</v>
      </c>
      <c r="L186" s="108">
        <f t="shared" si="37"/>
        <v>1765.8458000000001</v>
      </c>
      <c r="M186" s="77"/>
    </row>
    <row r="187" spans="1:13" ht="15" customHeight="1">
      <c r="A187" s="13" t="str">
        <f t="shared" si="26"/>
        <v>Friday</v>
      </c>
      <c r="B187" s="28">
        <f t="shared" si="27"/>
        <v>46262</v>
      </c>
      <c r="C187" s="108">
        <f t="shared" si="28"/>
        <v>3016.0934000000002</v>
      </c>
      <c r="D187" s="108">
        <f t="shared" si="29"/>
        <v>1842.7871</v>
      </c>
      <c r="E187" s="108">
        <f t="shared" si="30"/>
        <v>3548.1903000000002</v>
      </c>
      <c r="F187" s="108">
        <f t="shared" si="31"/>
        <v>2261.9553999999998</v>
      </c>
      <c r="G187" s="108">
        <f t="shared" si="32"/>
        <v>946.56539999999995</v>
      </c>
      <c r="H187" s="108">
        <f t="shared" si="33"/>
        <v>1730.7118</v>
      </c>
      <c r="I187" s="108">
        <f t="shared" si="34"/>
        <v>1149.3746000000001</v>
      </c>
      <c r="J187" s="108">
        <f t="shared" si="35"/>
        <v>1292.4618</v>
      </c>
      <c r="K187" s="108">
        <f t="shared" si="36"/>
        <v>3535.8029000000001</v>
      </c>
      <c r="L187" s="108">
        <f t="shared" si="37"/>
        <v>1765.8579</v>
      </c>
      <c r="M187" s="77"/>
    </row>
    <row r="188" spans="1:13" ht="15" customHeight="1">
      <c r="A188" s="13" t="str">
        <f t="shared" si="26"/>
        <v>Saturday</v>
      </c>
      <c r="B188" s="28">
        <f t="shared" si="27"/>
        <v>46263</v>
      </c>
      <c r="C188" s="108">
        <f t="shared" si="28"/>
        <v>3016.1107999999999</v>
      </c>
      <c r="D188" s="108">
        <f t="shared" si="29"/>
        <v>1842.7972</v>
      </c>
      <c r="E188" s="108">
        <f t="shared" si="30"/>
        <v>3548.2145999999998</v>
      </c>
      <c r="F188" s="108">
        <f t="shared" si="31"/>
        <v>2261.9647</v>
      </c>
      <c r="G188" s="108">
        <f t="shared" si="32"/>
        <v>946.57190000000003</v>
      </c>
      <c r="H188" s="108">
        <f t="shared" si="33"/>
        <v>1730.7208000000001</v>
      </c>
      <c r="I188" s="108">
        <f t="shared" si="34"/>
        <v>1149.3824999999999</v>
      </c>
      <c r="J188" s="108">
        <f t="shared" si="35"/>
        <v>1292.5148999999999</v>
      </c>
      <c r="K188" s="108">
        <f t="shared" si="36"/>
        <v>3535.8029000000001</v>
      </c>
      <c r="L188" s="108">
        <f t="shared" si="37"/>
        <v>1765.87</v>
      </c>
      <c r="M188" s="77"/>
    </row>
    <row r="189" spans="1:13" ht="15" customHeight="1">
      <c r="A189" s="13" t="str">
        <f t="shared" si="26"/>
        <v>Sunday</v>
      </c>
      <c r="B189" s="28">
        <f t="shared" si="27"/>
        <v>46264</v>
      </c>
      <c r="C189" s="108">
        <f t="shared" si="28"/>
        <v>3016.1282000000001</v>
      </c>
      <c r="D189" s="108">
        <f t="shared" si="29"/>
        <v>1842.8072999999999</v>
      </c>
      <c r="E189" s="108">
        <f t="shared" si="30"/>
        <v>3548.2388999999998</v>
      </c>
      <c r="F189" s="108">
        <f t="shared" si="31"/>
        <v>2261.9740000000002</v>
      </c>
      <c r="G189" s="108">
        <f t="shared" si="32"/>
        <v>946.57839999999999</v>
      </c>
      <c r="H189" s="108">
        <f t="shared" si="33"/>
        <v>1730.7298000000001</v>
      </c>
      <c r="I189" s="108">
        <f t="shared" si="34"/>
        <v>1149.3904</v>
      </c>
      <c r="J189" s="108">
        <f t="shared" si="35"/>
        <v>1292.568</v>
      </c>
      <c r="K189" s="108">
        <f t="shared" si="36"/>
        <v>3535.8029000000001</v>
      </c>
      <c r="L189" s="108">
        <f t="shared" si="37"/>
        <v>1765.8821</v>
      </c>
      <c r="M189" s="77"/>
    </row>
    <row r="190" spans="1:13" ht="15" customHeight="1">
      <c r="A190" s="13" t="str">
        <f t="shared" si="26"/>
        <v>Monday</v>
      </c>
      <c r="B190" s="28">
        <f t="shared" si="27"/>
        <v>46265</v>
      </c>
      <c r="C190" s="108">
        <f t="shared" si="28"/>
        <v>3016.1455999999998</v>
      </c>
      <c r="D190" s="108">
        <f t="shared" si="29"/>
        <v>1842.8173999999999</v>
      </c>
      <c r="E190" s="108">
        <f t="shared" si="30"/>
        <v>3548.2631999999999</v>
      </c>
      <c r="F190" s="108">
        <f t="shared" si="31"/>
        <v>2261.9832999999999</v>
      </c>
      <c r="G190" s="108">
        <f t="shared" si="32"/>
        <v>946.58489999999995</v>
      </c>
      <c r="H190" s="108">
        <f t="shared" si="33"/>
        <v>1730.7388000000001</v>
      </c>
      <c r="I190" s="108">
        <f t="shared" si="34"/>
        <v>1149.3983000000001</v>
      </c>
      <c r="J190" s="108">
        <f t="shared" si="35"/>
        <v>1292.6211000000001</v>
      </c>
      <c r="K190" s="108">
        <f t="shared" si="36"/>
        <v>3535.8029000000001</v>
      </c>
      <c r="L190" s="108">
        <f t="shared" si="37"/>
        <v>1765.8942</v>
      </c>
      <c r="M190" s="77"/>
    </row>
    <row r="191" spans="1:13" ht="15" customHeight="1">
      <c r="A191" s="13" t="str">
        <f t="shared" si="26"/>
        <v>Tuesday</v>
      </c>
      <c r="B191" s="28">
        <f t="shared" si="27"/>
        <v>46266</v>
      </c>
      <c r="C191" s="108">
        <f t="shared" si="28"/>
        <v>3016.163</v>
      </c>
      <c r="D191" s="108">
        <f t="shared" si="29"/>
        <v>1842.8275000000001</v>
      </c>
      <c r="E191" s="108">
        <f t="shared" si="30"/>
        <v>3548.2874999999999</v>
      </c>
      <c r="F191" s="108">
        <f t="shared" si="31"/>
        <v>2261.9926</v>
      </c>
      <c r="G191" s="108">
        <f t="shared" si="32"/>
        <v>946.59140000000002</v>
      </c>
      <c r="H191" s="108">
        <f t="shared" si="33"/>
        <v>1730.7478000000001</v>
      </c>
      <c r="I191" s="108">
        <f t="shared" si="34"/>
        <v>1149.4061999999999</v>
      </c>
      <c r="J191" s="108">
        <f t="shared" si="35"/>
        <v>1292.6741999999999</v>
      </c>
      <c r="K191" s="108">
        <f t="shared" si="36"/>
        <v>3535.8029000000001</v>
      </c>
      <c r="L191" s="108">
        <f t="shared" si="37"/>
        <v>1765.9063000000001</v>
      </c>
      <c r="M191" s="77"/>
    </row>
    <row r="192" spans="1:13" ht="15" customHeight="1">
      <c r="A192" s="13" t="str">
        <f t="shared" si="26"/>
        <v>Wednesday</v>
      </c>
      <c r="B192" s="28">
        <f t="shared" si="27"/>
        <v>46267</v>
      </c>
      <c r="C192" s="108">
        <f t="shared" si="28"/>
        <v>3016.1804000000002</v>
      </c>
      <c r="D192" s="108">
        <f t="shared" si="29"/>
        <v>1842.8376000000001</v>
      </c>
      <c r="E192" s="108">
        <f t="shared" si="30"/>
        <v>3548.3117999999999</v>
      </c>
      <c r="F192" s="108">
        <f t="shared" si="31"/>
        <v>2262.0019000000002</v>
      </c>
      <c r="G192" s="108">
        <f t="shared" si="32"/>
        <v>946.59789999999998</v>
      </c>
      <c r="H192" s="108">
        <f t="shared" si="33"/>
        <v>1730.7568000000001</v>
      </c>
      <c r="I192" s="108">
        <f t="shared" si="34"/>
        <v>1149.4141</v>
      </c>
      <c r="J192" s="108">
        <f t="shared" si="35"/>
        <v>1292.7273</v>
      </c>
      <c r="K192" s="108">
        <f t="shared" si="36"/>
        <v>3535.8029000000001</v>
      </c>
      <c r="L192" s="108">
        <f t="shared" si="37"/>
        <v>1765.9184</v>
      </c>
      <c r="M192" s="77"/>
    </row>
    <row r="193" spans="1:13" ht="15" customHeight="1">
      <c r="A193" s="13" t="str">
        <f t="shared" si="26"/>
        <v>Thursday</v>
      </c>
      <c r="B193" s="28">
        <f t="shared" si="27"/>
        <v>46268</v>
      </c>
      <c r="C193" s="108">
        <f t="shared" si="28"/>
        <v>3016.1977999999999</v>
      </c>
      <c r="D193" s="108">
        <f t="shared" si="29"/>
        <v>1842.8477</v>
      </c>
      <c r="E193" s="108">
        <f t="shared" si="30"/>
        <v>3548.3361</v>
      </c>
      <c r="F193" s="108">
        <f t="shared" si="31"/>
        <v>2262.0111999999999</v>
      </c>
      <c r="G193" s="108">
        <f t="shared" si="32"/>
        <v>946.60440000000006</v>
      </c>
      <c r="H193" s="108">
        <f t="shared" si="33"/>
        <v>1730.7657999999999</v>
      </c>
      <c r="I193" s="108">
        <f t="shared" si="34"/>
        <v>1149.422</v>
      </c>
      <c r="J193" s="108">
        <f t="shared" si="35"/>
        <v>1292.7804000000001</v>
      </c>
      <c r="K193" s="108">
        <f t="shared" si="36"/>
        <v>3535.8029000000001</v>
      </c>
      <c r="L193" s="108">
        <f t="shared" si="37"/>
        <v>1765.9304999999999</v>
      </c>
      <c r="M193" s="77"/>
    </row>
    <row r="194" spans="1:13" ht="15" customHeight="1">
      <c r="A194" s="13" t="str">
        <f t="shared" si="26"/>
        <v>Friday</v>
      </c>
      <c r="B194" s="28">
        <f t="shared" si="27"/>
        <v>46269</v>
      </c>
      <c r="C194" s="108">
        <f t="shared" si="28"/>
        <v>3016.2152000000001</v>
      </c>
      <c r="D194" s="108">
        <f t="shared" si="29"/>
        <v>1842.8578</v>
      </c>
      <c r="E194" s="108">
        <f t="shared" si="30"/>
        <v>3548.3604</v>
      </c>
      <c r="F194" s="108">
        <f t="shared" si="31"/>
        <v>2262.0205000000001</v>
      </c>
      <c r="G194" s="108">
        <f t="shared" si="32"/>
        <v>946.61090000000002</v>
      </c>
      <c r="H194" s="108">
        <f t="shared" si="33"/>
        <v>1730.7747999999999</v>
      </c>
      <c r="I194" s="108">
        <f t="shared" si="34"/>
        <v>1149.4299000000001</v>
      </c>
      <c r="J194" s="108">
        <f t="shared" si="35"/>
        <v>1292.8335</v>
      </c>
      <c r="K194" s="108">
        <f t="shared" si="36"/>
        <v>3535.8029000000001</v>
      </c>
      <c r="L194" s="108">
        <f t="shared" si="37"/>
        <v>1765.9426000000001</v>
      </c>
      <c r="M194" s="77"/>
    </row>
    <row r="195" spans="1:13" ht="15" customHeight="1">
      <c r="A195" s="13" t="str">
        <f t="shared" si="26"/>
        <v>Saturday</v>
      </c>
      <c r="B195" s="28">
        <f t="shared" si="27"/>
        <v>46270</v>
      </c>
      <c r="C195" s="108">
        <f t="shared" si="28"/>
        <v>3016.2325999999998</v>
      </c>
      <c r="D195" s="108">
        <f t="shared" si="29"/>
        <v>1842.8679</v>
      </c>
      <c r="E195" s="108">
        <f t="shared" si="30"/>
        <v>3548.3847000000001</v>
      </c>
      <c r="F195" s="108">
        <f t="shared" si="31"/>
        <v>2262.0297999999998</v>
      </c>
      <c r="G195" s="108">
        <f t="shared" si="32"/>
        <v>946.61739999999998</v>
      </c>
      <c r="H195" s="108">
        <f t="shared" si="33"/>
        <v>1730.7837999999999</v>
      </c>
      <c r="I195" s="108">
        <f t="shared" si="34"/>
        <v>1149.4377999999999</v>
      </c>
      <c r="J195" s="108">
        <f t="shared" si="35"/>
        <v>1292.8866</v>
      </c>
      <c r="K195" s="108">
        <f t="shared" si="36"/>
        <v>3535.8029000000001</v>
      </c>
      <c r="L195" s="108">
        <f t="shared" si="37"/>
        <v>1765.9547</v>
      </c>
      <c r="M195" s="77"/>
    </row>
    <row r="196" spans="1:13" ht="15" customHeight="1">
      <c r="A196" s="13" t="str">
        <f t="shared" si="26"/>
        <v>Sunday</v>
      </c>
      <c r="B196" s="28">
        <f t="shared" si="27"/>
        <v>46271</v>
      </c>
      <c r="C196" s="108">
        <f t="shared" si="28"/>
        <v>3016.25</v>
      </c>
      <c r="D196" s="108">
        <f t="shared" si="29"/>
        <v>1842.8779999999999</v>
      </c>
      <c r="E196" s="108">
        <f t="shared" si="30"/>
        <v>3548.4090000000001</v>
      </c>
      <c r="F196" s="108">
        <f t="shared" si="31"/>
        <v>2262.0391</v>
      </c>
      <c r="G196" s="108">
        <f t="shared" si="32"/>
        <v>946.62390000000005</v>
      </c>
      <c r="H196" s="108">
        <f t="shared" si="33"/>
        <v>1730.7927999999999</v>
      </c>
      <c r="I196" s="108">
        <f t="shared" si="34"/>
        <v>1149.4457</v>
      </c>
      <c r="J196" s="108">
        <f t="shared" si="35"/>
        <v>1292.9396999999999</v>
      </c>
      <c r="K196" s="108">
        <f t="shared" si="36"/>
        <v>3535.8029000000001</v>
      </c>
      <c r="L196" s="108">
        <f t="shared" si="37"/>
        <v>1765.9667999999999</v>
      </c>
      <c r="M196" s="77"/>
    </row>
    <row r="197" spans="1:13" ht="15" customHeight="1">
      <c r="A197" s="13" t="str">
        <f t="shared" si="26"/>
        <v>Monday</v>
      </c>
      <c r="B197" s="28">
        <f t="shared" si="27"/>
        <v>46272</v>
      </c>
      <c r="C197" s="108">
        <f t="shared" si="28"/>
        <v>3016.2674000000002</v>
      </c>
      <c r="D197" s="108">
        <f t="shared" si="29"/>
        <v>1842.8880999999999</v>
      </c>
      <c r="E197" s="108">
        <f t="shared" si="30"/>
        <v>3548.4333000000001</v>
      </c>
      <c r="F197" s="108">
        <f t="shared" si="31"/>
        <v>2262.0484000000001</v>
      </c>
      <c r="G197" s="108">
        <f t="shared" si="32"/>
        <v>946.63040000000001</v>
      </c>
      <c r="H197" s="108">
        <f t="shared" si="33"/>
        <v>1730.8018</v>
      </c>
      <c r="I197" s="108">
        <f t="shared" si="34"/>
        <v>1149.4536000000001</v>
      </c>
      <c r="J197" s="108">
        <f t="shared" si="35"/>
        <v>1292.9928</v>
      </c>
      <c r="K197" s="108">
        <f t="shared" si="36"/>
        <v>3535.8029000000001</v>
      </c>
      <c r="L197" s="108">
        <f t="shared" si="37"/>
        <v>1765.9789000000001</v>
      </c>
      <c r="M197" s="77"/>
    </row>
    <row r="198" spans="1:13" ht="15" customHeight="1">
      <c r="A198" s="13" t="str">
        <f t="shared" si="26"/>
        <v>Tuesday</v>
      </c>
      <c r="B198" s="28">
        <f t="shared" si="27"/>
        <v>46273</v>
      </c>
      <c r="C198" s="108">
        <f t="shared" si="28"/>
        <v>3016.2847999999999</v>
      </c>
      <c r="D198" s="108">
        <f t="shared" si="29"/>
        <v>1842.8982000000001</v>
      </c>
      <c r="E198" s="108">
        <f t="shared" si="30"/>
        <v>3548.4576000000002</v>
      </c>
      <c r="F198" s="108">
        <f t="shared" si="31"/>
        <v>2262.0576999999998</v>
      </c>
      <c r="G198" s="108">
        <f t="shared" si="32"/>
        <v>946.63689999999997</v>
      </c>
      <c r="H198" s="108">
        <f t="shared" si="33"/>
        <v>1730.8108</v>
      </c>
      <c r="I198" s="108">
        <f t="shared" si="34"/>
        <v>1149.4614999999999</v>
      </c>
      <c r="J198" s="108">
        <f t="shared" si="35"/>
        <v>1293.0459000000001</v>
      </c>
      <c r="K198" s="108">
        <f t="shared" si="36"/>
        <v>3535.8029000000001</v>
      </c>
      <c r="L198" s="108">
        <f t="shared" si="37"/>
        <v>1765.991</v>
      </c>
      <c r="M198" s="77"/>
    </row>
    <row r="199" spans="1:13" ht="15" customHeight="1">
      <c r="A199" s="13" t="str">
        <f t="shared" si="26"/>
        <v>Wednesday</v>
      </c>
      <c r="B199" s="28">
        <f t="shared" si="27"/>
        <v>46274</v>
      </c>
      <c r="C199" s="108">
        <f t="shared" si="28"/>
        <v>3016.3022000000001</v>
      </c>
      <c r="D199" s="108">
        <f t="shared" si="29"/>
        <v>1842.9083000000001</v>
      </c>
      <c r="E199" s="108">
        <f t="shared" si="30"/>
        <v>3548.4819000000002</v>
      </c>
      <c r="F199" s="108">
        <f t="shared" si="31"/>
        <v>2262.067</v>
      </c>
      <c r="G199" s="108">
        <f t="shared" si="32"/>
        <v>946.64340000000004</v>
      </c>
      <c r="H199" s="108">
        <f t="shared" si="33"/>
        <v>1730.8198</v>
      </c>
      <c r="I199" s="108">
        <f t="shared" si="34"/>
        <v>1149.4694</v>
      </c>
      <c r="J199" s="108">
        <f t="shared" si="35"/>
        <v>1293.0989999999999</v>
      </c>
      <c r="K199" s="108">
        <f t="shared" si="36"/>
        <v>3535.8029000000001</v>
      </c>
      <c r="L199" s="108">
        <f t="shared" si="37"/>
        <v>1766.0030999999999</v>
      </c>
      <c r="M199" s="77"/>
    </row>
    <row r="200" spans="1:13" ht="15" customHeight="1">
      <c r="A200" s="13" t="str">
        <f t="shared" ref="A200:A263" si="38">VLOOKUP(WEEKDAY(B200),$N$7:$O$13,2)</f>
        <v>Thursday</v>
      </c>
      <c r="B200" s="28">
        <f t="shared" si="27"/>
        <v>46275</v>
      </c>
      <c r="C200" s="108">
        <f t="shared" si="28"/>
        <v>3016.3195999999998</v>
      </c>
      <c r="D200" s="108">
        <f t="shared" si="29"/>
        <v>1842.9184</v>
      </c>
      <c r="E200" s="108">
        <f t="shared" si="30"/>
        <v>3548.5061999999998</v>
      </c>
      <c r="F200" s="108">
        <f t="shared" si="31"/>
        <v>2262.0763000000002</v>
      </c>
      <c r="G200" s="108">
        <f t="shared" si="32"/>
        <v>946.6499</v>
      </c>
      <c r="H200" s="108">
        <f t="shared" si="33"/>
        <v>1730.8288</v>
      </c>
      <c r="I200" s="108">
        <f t="shared" si="34"/>
        <v>1149.4773</v>
      </c>
      <c r="J200" s="108">
        <f t="shared" si="35"/>
        <v>1293.1521</v>
      </c>
      <c r="K200" s="108">
        <f t="shared" si="36"/>
        <v>3535.8029000000001</v>
      </c>
      <c r="L200" s="108">
        <f t="shared" si="37"/>
        <v>1766.0152</v>
      </c>
      <c r="M200" s="77"/>
    </row>
    <row r="201" spans="1:13" ht="15" customHeight="1">
      <c r="A201" s="13" t="str">
        <f t="shared" si="38"/>
        <v>Friday</v>
      </c>
      <c r="B201" s="28">
        <f t="shared" ref="B201:B264" si="39">B200+1</f>
        <v>46276</v>
      </c>
      <c r="C201" s="108">
        <f t="shared" ref="C201:C264" si="40">ROUND(C200*(1+C$4),4)</f>
        <v>3016.337</v>
      </c>
      <c r="D201" s="108">
        <f t="shared" ref="D201:D264" si="41">ROUND(D200*(1+D$4),4)</f>
        <v>1842.9285</v>
      </c>
      <c r="E201" s="108">
        <f t="shared" ref="E201:E264" si="42">ROUND(E200*(1+E$4),4)</f>
        <v>3548.5304999999998</v>
      </c>
      <c r="F201" s="108">
        <f t="shared" ref="F201:F264" si="43">ROUND(F200*(1+F$4),4)</f>
        <v>2262.0855999999999</v>
      </c>
      <c r="G201" s="108">
        <f t="shared" ref="G201:G264" si="44">ROUND(G200*(1+G$4),4)</f>
        <v>946.65639999999996</v>
      </c>
      <c r="H201" s="108">
        <f t="shared" ref="H201:H264" si="45">ROUND(H200*(1+H$4),4)</f>
        <v>1730.8378</v>
      </c>
      <c r="I201" s="108">
        <f t="shared" ref="I201:I264" si="46">ROUND(I200*(1+I$4),4)</f>
        <v>1149.4852000000001</v>
      </c>
      <c r="J201" s="108">
        <f t="shared" ref="J201:J264" si="47">ROUND(J200*(1+J$4),4)</f>
        <v>1293.2052000000001</v>
      </c>
      <c r="K201" s="108">
        <f t="shared" ref="K201:K264" si="48">ROUND(K200*(1+K$4),4)</f>
        <v>3535.8029000000001</v>
      </c>
      <c r="L201" s="108">
        <f t="shared" ref="L201:L264" si="49">ROUND(L200*(1+L$4),4)</f>
        <v>1766.0273</v>
      </c>
      <c r="M201" s="77"/>
    </row>
    <row r="202" spans="1:13" ht="15" customHeight="1">
      <c r="A202" s="13" t="str">
        <f t="shared" si="38"/>
        <v>Saturday</v>
      </c>
      <c r="B202" s="28">
        <f t="shared" si="39"/>
        <v>46277</v>
      </c>
      <c r="C202" s="108">
        <f t="shared" si="40"/>
        <v>3016.3544000000002</v>
      </c>
      <c r="D202" s="108">
        <f t="shared" si="41"/>
        <v>1842.9386</v>
      </c>
      <c r="E202" s="108">
        <f t="shared" si="42"/>
        <v>3548.5547999999999</v>
      </c>
      <c r="F202" s="108">
        <f t="shared" si="43"/>
        <v>2262.0949000000001</v>
      </c>
      <c r="G202" s="108">
        <f t="shared" si="44"/>
        <v>946.66290000000004</v>
      </c>
      <c r="H202" s="108">
        <f t="shared" si="45"/>
        <v>1730.8468</v>
      </c>
      <c r="I202" s="108">
        <f t="shared" si="46"/>
        <v>1149.4930999999999</v>
      </c>
      <c r="J202" s="108">
        <f t="shared" si="47"/>
        <v>1293.2583</v>
      </c>
      <c r="K202" s="108">
        <f t="shared" si="48"/>
        <v>3535.8029000000001</v>
      </c>
      <c r="L202" s="108">
        <f t="shared" si="49"/>
        <v>1766.0393999999999</v>
      </c>
      <c r="M202" s="77"/>
    </row>
    <row r="203" spans="1:13" ht="15" customHeight="1">
      <c r="A203" s="13" t="str">
        <f t="shared" si="38"/>
        <v>Sunday</v>
      </c>
      <c r="B203" s="28">
        <f t="shared" si="39"/>
        <v>46278</v>
      </c>
      <c r="C203" s="108">
        <f t="shared" si="40"/>
        <v>3016.3717999999999</v>
      </c>
      <c r="D203" s="108">
        <f t="shared" si="41"/>
        <v>1842.9486999999999</v>
      </c>
      <c r="E203" s="108">
        <f t="shared" si="42"/>
        <v>3548.5790999999999</v>
      </c>
      <c r="F203" s="108">
        <f t="shared" si="43"/>
        <v>2262.1042000000002</v>
      </c>
      <c r="G203" s="108">
        <f t="shared" si="44"/>
        <v>946.6694</v>
      </c>
      <c r="H203" s="108">
        <f t="shared" si="45"/>
        <v>1730.8558</v>
      </c>
      <c r="I203" s="108">
        <f t="shared" si="46"/>
        <v>1149.501</v>
      </c>
      <c r="J203" s="108">
        <f t="shared" si="47"/>
        <v>1293.3114</v>
      </c>
      <c r="K203" s="108">
        <f t="shared" si="48"/>
        <v>3535.8029000000001</v>
      </c>
      <c r="L203" s="108">
        <f t="shared" si="49"/>
        <v>1766.0515</v>
      </c>
      <c r="M203" s="77"/>
    </row>
    <row r="204" spans="1:13" ht="15" customHeight="1">
      <c r="A204" s="13" t="str">
        <f t="shared" si="38"/>
        <v>Monday</v>
      </c>
      <c r="B204" s="28">
        <f t="shared" si="39"/>
        <v>46279</v>
      </c>
      <c r="C204" s="108">
        <f t="shared" si="40"/>
        <v>3016.3892000000001</v>
      </c>
      <c r="D204" s="108">
        <f t="shared" si="41"/>
        <v>1842.9588000000001</v>
      </c>
      <c r="E204" s="108">
        <f t="shared" si="42"/>
        <v>3548.6034</v>
      </c>
      <c r="F204" s="108">
        <f t="shared" si="43"/>
        <v>2262.1134999999999</v>
      </c>
      <c r="G204" s="108">
        <f t="shared" si="44"/>
        <v>946.67589999999996</v>
      </c>
      <c r="H204" s="108">
        <f t="shared" si="45"/>
        <v>1730.8648000000001</v>
      </c>
      <c r="I204" s="108">
        <f t="shared" si="46"/>
        <v>1149.5089</v>
      </c>
      <c r="J204" s="108">
        <f t="shared" si="47"/>
        <v>1293.3644999999999</v>
      </c>
      <c r="K204" s="108">
        <f t="shared" si="48"/>
        <v>3535.8029000000001</v>
      </c>
      <c r="L204" s="108">
        <f t="shared" si="49"/>
        <v>1766.0636</v>
      </c>
      <c r="M204" s="77"/>
    </row>
    <row r="205" spans="1:13" ht="15" customHeight="1">
      <c r="A205" s="13" t="str">
        <f t="shared" si="38"/>
        <v>Tuesday</v>
      </c>
      <c r="B205" s="28">
        <f t="shared" si="39"/>
        <v>46280</v>
      </c>
      <c r="C205" s="108">
        <f t="shared" si="40"/>
        <v>3016.4065999999998</v>
      </c>
      <c r="D205" s="108">
        <f t="shared" si="41"/>
        <v>1842.9689000000001</v>
      </c>
      <c r="E205" s="108">
        <f t="shared" si="42"/>
        <v>3548.6277</v>
      </c>
      <c r="F205" s="108">
        <f t="shared" si="43"/>
        <v>2262.1228000000001</v>
      </c>
      <c r="G205" s="108">
        <f t="shared" si="44"/>
        <v>946.68240000000003</v>
      </c>
      <c r="H205" s="108">
        <f t="shared" si="45"/>
        <v>1730.8738000000001</v>
      </c>
      <c r="I205" s="108">
        <f t="shared" si="46"/>
        <v>1149.5168000000001</v>
      </c>
      <c r="J205" s="108">
        <f t="shared" si="47"/>
        <v>1293.4177</v>
      </c>
      <c r="K205" s="108">
        <f t="shared" si="48"/>
        <v>3535.8029000000001</v>
      </c>
      <c r="L205" s="108">
        <f t="shared" si="49"/>
        <v>1766.0757000000001</v>
      </c>
      <c r="M205" s="77"/>
    </row>
    <row r="206" spans="1:13" ht="15" customHeight="1">
      <c r="A206" s="13" t="str">
        <f t="shared" si="38"/>
        <v>Wednesday</v>
      </c>
      <c r="B206" s="28">
        <f t="shared" si="39"/>
        <v>46281</v>
      </c>
      <c r="C206" s="108">
        <f t="shared" si="40"/>
        <v>3016.424</v>
      </c>
      <c r="D206" s="108">
        <f t="shared" si="41"/>
        <v>1842.979</v>
      </c>
      <c r="E206" s="108">
        <f t="shared" si="42"/>
        <v>3548.652</v>
      </c>
      <c r="F206" s="108">
        <f t="shared" si="43"/>
        <v>2262.1320999999998</v>
      </c>
      <c r="G206" s="108">
        <f t="shared" si="44"/>
        <v>946.68889999999999</v>
      </c>
      <c r="H206" s="108">
        <f t="shared" si="45"/>
        <v>1730.8828000000001</v>
      </c>
      <c r="I206" s="108">
        <f t="shared" si="46"/>
        <v>1149.5246999999999</v>
      </c>
      <c r="J206" s="108">
        <f t="shared" si="47"/>
        <v>1293.4709</v>
      </c>
      <c r="K206" s="108">
        <f t="shared" si="48"/>
        <v>3535.8029000000001</v>
      </c>
      <c r="L206" s="108">
        <f t="shared" si="49"/>
        <v>1766.0878</v>
      </c>
      <c r="M206" s="77"/>
    </row>
    <row r="207" spans="1:13" ht="15" customHeight="1">
      <c r="A207" s="13" t="str">
        <f t="shared" si="38"/>
        <v>Thursday</v>
      </c>
      <c r="B207" s="28">
        <f t="shared" si="39"/>
        <v>46282</v>
      </c>
      <c r="C207" s="108">
        <f t="shared" si="40"/>
        <v>3016.4414000000002</v>
      </c>
      <c r="D207" s="108">
        <f t="shared" si="41"/>
        <v>1842.9891</v>
      </c>
      <c r="E207" s="108">
        <f t="shared" si="42"/>
        <v>3548.6763000000001</v>
      </c>
      <c r="F207" s="108">
        <f t="shared" si="43"/>
        <v>2262.1414</v>
      </c>
      <c r="G207" s="108">
        <f t="shared" si="44"/>
        <v>946.69539999999995</v>
      </c>
      <c r="H207" s="108">
        <f t="shared" si="45"/>
        <v>1730.8918000000001</v>
      </c>
      <c r="I207" s="108">
        <f t="shared" si="46"/>
        <v>1149.5326</v>
      </c>
      <c r="J207" s="108">
        <f t="shared" si="47"/>
        <v>1293.5241000000001</v>
      </c>
      <c r="K207" s="108">
        <f t="shared" si="48"/>
        <v>3535.8029000000001</v>
      </c>
      <c r="L207" s="108">
        <f t="shared" si="49"/>
        <v>1766.0998999999999</v>
      </c>
      <c r="M207" s="77"/>
    </row>
    <row r="208" spans="1:13" ht="15" customHeight="1">
      <c r="A208" s="13" t="str">
        <f t="shared" si="38"/>
        <v>Friday</v>
      </c>
      <c r="B208" s="28">
        <f t="shared" si="39"/>
        <v>46283</v>
      </c>
      <c r="C208" s="108">
        <f t="shared" si="40"/>
        <v>3016.4587999999999</v>
      </c>
      <c r="D208" s="108">
        <f t="shared" si="41"/>
        <v>1842.9992</v>
      </c>
      <c r="E208" s="108">
        <f t="shared" si="42"/>
        <v>3548.7006000000001</v>
      </c>
      <c r="F208" s="108">
        <f t="shared" si="43"/>
        <v>2262.1507000000001</v>
      </c>
      <c r="G208" s="108">
        <f t="shared" si="44"/>
        <v>946.70190000000002</v>
      </c>
      <c r="H208" s="108">
        <f t="shared" si="45"/>
        <v>1730.9007999999999</v>
      </c>
      <c r="I208" s="108">
        <f t="shared" si="46"/>
        <v>1149.5405000000001</v>
      </c>
      <c r="J208" s="108">
        <f t="shared" si="47"/>
        <v>1293.5772999999999</v>
      </c>
      <c r="K208" s="108">
        <f t="shared" si="48"/>
        <v>3535.8029000000001</v>
      </c>
      <c r="L208" s="108">
        <f t="shared" si="49"/>
        <v>1766.1120000000001</v>
      </c>
      <c r="M208" s="77"/>
    </row>
    <row r="209" spans="1:13" ht="15" customHeight="1">
      <c r="A209" s="13" t="str">
        <f t="shared" si="38"/>
        <v>Saturday</v>
      </c>
      <c r="B209" s="28">
        <f t="shared" si="39"/>
        <v>46284</v>
      </c>
      <c r="C209" s="108">
        <f t="shared" si="40"/>
        <v>3016.4762000000001</v>
      </c>
      <c r="D209" s="108">
        <f t="shared" si="41"/>
        <v>1843.0092999999999</v>
      </c>
      <c r="E209" s="108">
        <f t="shared" si="42"/>
        <v>3548.7249000000002</v>
      </c>
      <c r="F209" s="108">
        <f t="shared" si="43"/>
        <v>2262.16</v>
      </c>
      <c r="G209" s="108">
        <f t="shared" si="44"/>
        <v>946.70839999999998</v>
      </c>
      <c r="H209" s="108">
        <f t="shared" si="45"/>
        <v>1730.9097999999999</v>
      </c>
      <c r="I209" s="108">
        <f t="shared" si="46"/>
        <v>1149.5483999999999</v>
      </c>
      <c r="J209" s="108">
        <f t="shared" si="47"/>
        <v>1293.6305</v>
      </c>
      <c r="K209" s="108">
        <f t="shared" si="48"/>
        <v>3535.8029000000001</v>
      </c>
      <c r="L209" s="108">
        <f t="shared" si="49"/>
        <v>1766.1241</v>
      </c>
      <c r="M209" s="77"/>
    </row>
    <row r="210" spans="1:13" ht="15" customHeight="1">
      <c r="A210" s="13" t="str">
        <f t="shared" si="38"/>
        <v>Sunday</v>
      </c>
      <c r="B210" s="28">
        <f t="shared" si="39"/>
        <v>46285</v>
      </c>
      <c r="C210" s="108">
        <f t="shared" si="40"/>
        <v>3016.4935999999998</v>
      </c>
      <c r="D210" s="108">
        <f t="shared" si="41"/>
        <v>1843.0193999999999</v>
      </c>
      <c r="E210" s="108">
        <f t="shared" si="42"/>
        <v>3548.7492000000002</v>
      </c>
      <c r="F210" s="108">
        <f t="shared" si="43"/>
        <v>2262.1693</v>
      </c>
      <c r="G210" s="108">
        <f t="shared" si="44"/>
        <v>946.71489999999994</v>
      </c>
      <c r="H210" s="108">
        <f t="shared" si="45"/>
        <v>1730.9187999999999</v>
      </c>
      <c r="I210" s="108">
        <f t="shared" si="46"/>
        <v>1149.5563</v>
      </c>
      <c r="J210" s="108">
        <f t="shared" si="47"/>
        <v>1293.6837</v>
      </c>
      <c r="K210" s="108">
        <f t="shared" si="48"/>
        <v>3535.8029000000001</v>
      </c>
      <c r="L210" s="108">
        <f t="shared" si="49"/>
        <v>1766.1361999999999</v>
      </c>
      <c r="M210" s="77"/>
    </row>
    <row r="211" spans="1:13" ht="15" customHeight="1">
      <c r="A211" s="13" t="str">
        <f t="shared" si="38"/>
        <v>Monday</v>
      </c>
      <c r="B211" s="28">
        <f t="shared" si="39"/>
        <v>46286</v>
      </c>
      <c r="C211" s="108">
        <f t="shared" si="40"/>
        <v>3016.511</v>
      </c>
      <c r="D211" s="108">
        <f t="shared" si="41"/>
        <v>1843.0295000000001</v>
      </c>
      <c r="E211" s="108">
        <f t="shared" si="42"/>
        <v>3548.7734999999998</v>
      </c>
      <c r="F211" s="108">
        <f t="shared" si="43"/>
        <v>2262.1786000000002</v>
      </c>
      <c r="G211" s="108">
        <f t="shared" si="44"/>
        <v>946.72140000000002</v>
      </c>
      <c r="H211" s="108">
        <f t="shared" si="45"/>
        <v>1730.9277999999999</v>
      </c>
      <c r="I211" s="108">
        <f t="shared" si="46"/>
        <v>1149.5642</v>
      </c>
      <c r="J211" s="108">
        <f t="shared" si="47"/>
        <v>1293.7369000000001</v>
      </c>
      <c r="K211" s="108">
        <f t="shared" si="48"/>
        <v>3535.8029000000001</v>
      </c>
      <c r="L211" s="108">
        <f t="shared" si="49"/>
        <v>1766.1483000000001</v>
      </c>
      <c r="M211" s="77"/>
    </row>
    <row r="212" spans="1:13" ht="15" customHeight="1">
      <c r="A212" s="13" t="str">
        <f t="shared" si="38"/>
        <v>Tuesday</v>
      </c>
      <c r="B212" s="28">
        <f t="shared" si="39"/>
        <v>46287</v>
      </c>
      <c r="C212" s="108">
        <f t="shared" si="40"/>
        <v>3016.5284000000001</v>
      </c>
      <c r="D212" s="108">
        <f t="shared" si="41"/>
        <v>1843.0396000000001</v>
      </c>
      <c r="E212" s="108">
        <f t="shared" si="42"/>
        <v>3548.7977999999998</v>
      </c>
      <c r="F212" s="108">
        <f t="shared" si="43"/>
        <v>2262.1878999999999</v>
      </c>
      <c r="G212" s="108">
        <f t="shared" si="44"/>
        <v>946.72789999999998</v>
      </c>
      <c r="H212" s="108">
        <f t="shared" si="45"/>
        <v>1730.9367999999999</v>
      </c>
      <c r="I212" s="108">
        <f t="shared" si="46"/>
        <v>1149.5721000000001</v>
      </c>
      <c r="J212" s="108">
        <f t="shared" si="47"/>
        <v>1293.7900999999999</v>
      </c>
      <c r="K212" s="108">
        <f t="shared" si="48"/>
        <v>3535.8029000000001</v>
      </c>
      <c r="L212" s="108">
        <f t="shared" si="49"/>
        <v>1766.1604</v>
      </c>
      <c r="M212" s="77"/>
    </row>
    <row r="213" spans="1:13" ht="15" customHeight="1">
      <c r="A213" s="13" t="str">
        <f t="shared" si="38"/>
        <v>Wednesday</v>
      </c>
      <c r="B213" s="28">
        <f t="shared" si="39"/>
        <v>46288</v>
      </c>
      <c r="C213" s="108">
        <f t="shared" si="40"/>
        <v>3016.5457999999999</v>
      </c>
      <c r="D213" s="108">
        <f t="shared" si="41"/>
        <v>1843.0497</v>
      </c>
      <c r="E213" s="108">
        <f t="shared" si="42"/>
        <v>3548.8220999999999</v>
      </c>
      <c r="F213" s="108">
        <f t="shared" si="43"/>
        <v>2262.1972000000001</v>
      </c>
      <c r="G213" s="108">
        <f t="shared" si="44"/>
        <v>946.73440000000005</v>
      </c>
      <c r="H213" s="108">
        <f t="shared" si="45"/>
        <v>1730.9458</v>
      </c>
      <c r="I213" s="108">
        <f t="shared" si="46"/>
        <v>1149.58</v>
      </c>
      <c r="J213" s="108">
        <f t="shared" si="47"/>
        <v>1293.8433</v>
      </c>
      <c r="K213" s="108">
        <f t="shared" si="48"/>
        <v>3535.8029000000001</v>
      </c>
      <c r="L213" s="108">
        <f t="shared" si="49"/>
        <v>1766.1724999999999</v>
      </c>
      <c r="M213" s="77"/>
    </row>
    <row r="214" spans="1:13" ht="15" customHeight="1">
      <c r="A214" s="13" t="str">
        <f t="shared" si="38"/>
        <v>Thursday</v>
      </c>
      <c r="B214" s="28">
        <f t="shared" si="39"/>
        <v>46289</v>
      </c>
      <c r="C214" s="108">
        <f t="shared" si="40"/>
        <v>3016.5632000000001</v>
      </c>
      <c r="D214" s="108">
        <f t="shared" si="41"/>
        <v>1843.0598</v>
      </c>
      <c r="E214" s="108">
        <f t="shared" si="42"/>
        <v>3548.8463999999999</v>
      </c>
      <c r="F214" s="108">
        <f t="shared" si="43"/>
        <v>2262.2064999999998</v>
      </c>
      <c r="G214" s="108">
        <f t="shared" si="44"/>
        <v>946.74090000000001</v>
      </c>
      <c r="H214" s="108">
        <f t="shared" si="45"/>
        <v>1730.9548</v>
      </c>
      <c r="I214" s="108">
        <f t="shared" si="46"/>
        <v>1149.5879</v>
      </c>
      <c r="J214" s="108">
        <f t="shared" si="47"/>
        <v>1293.8965000000001</v>
      </c>
      <c r="K214" s="108">
        <f t="shared" si="48"/>
        <v>3535.8029000000001</v>
      </c>
      <c r="L214" s="108">
        <f t="shared" si="49"/>
        <v>1766.1846</v>
      </c>
      <c r="M214" s="77"/>
    </row>
    <row r="215" spans="1:13" ht="15" customHeight="1">
      <c r="A215" s="13" t="str">
        <f t="shared" si="38"/>
        <v>Friday</v>
      </c>
      <c r="B215" s="28">
        <f t="shared" si="39"/>
        <v>46290</v>
      </c>
      <c r="C215" s="108">
        <f t="shared" si="40"/>
        <v>3016.5805999999998</v>
      </c>
      <c r="D215" s="108">
        <f t="shared" si="41"/>
        <v>1843.0699</v>
      </c>
      <c r="E215" s="108">
        <f t="shared" si="42"/>
        <v>3548.8706999999999</v>
      </c>
      <c r="F215" s="108">
        <f t="shared" si="43"/>
        <v>2262.2157999999999</v>
      </c>
      <c r="G215" s="108">
        <f t="shared" si="44"/>
        <v>946.74739999999997</v>
      </c>
      <c r="H215" s="108">
        <f t="shared" si="45"/>
        <v>1730.9638</v>
      </c>
      <c r="I215" s="108">
        <f t="shared" si="46"/>
        <v>1149.5958000000001</v>
      </c>
      <c r="J215" s="108">
        <f t="shared" si="47"/>
        <v>1293.9496999999999</v>
      </c>
      <c r="K215" s="108">
        <f t="shared" si="48"/>
        <v>3535.8029000000001</v>
      </c>
      <c r="L215" s="108">
        <f t="shared" si="49"/>
        <v>1766.1967</v>
      </c>
      <c r="M215" s="77"/>
    </row>
    <row r="216" spans="1:13" ht="15" customHeight="1">
      <c r="A216" s="13" t="str">
        <f t="shared" si="38"/>
        <v>Saturday</v>
      </c>
      <c r="B216" s="28">
        <f t="shared" si="39"/>
        <v>46291</v>
      </c>
      <c r="C216" s="108">
        <f t="shared" si="40"/>
        <v>3016.598</v>
      </c>
      <c r="D216" s="108">
        <f t="shared" si="41"/>
        <v>1843.08</v>
      </c>
      <c r="E216" s="108">
        <f t="shared" si="42"/>
        <v>3548.895</v>
      </c>
      <c r="F216" s="108">
        <f t="shared" si="43"/>
        <v>2262.2251000000001</v>
      </c>
      <c r="G216" s="108">
        <f t="shared" si="44"/>
        <v>946.75390000000004</v>
      </c>
      <c r="H216" s="108">
        <f t="shared" si="45"/>
        <v>1730.9728</v>
      </c>
      <c r="I216" s="108">
        <f t="shared" si="46"/>
        <v>1149.6036999999999</v>
      </c>
      <c r="J216" s="108">
        <f t="shared" si="47"/>
        <v>1294.0029</v>
      </c>
      <c r="K216" s="108">
        <f t="shared" si="48"/>
        <v>3535.8029000000001</v>
      </c>
      <c r="L216" s="108">
        <f t="shared" si="49"/>
        <v>1766.2088000000001</v>
      </c>
      <c r="M216" s="77"/>
    </row>
    <row r="217" spans="1:13" ht="15" customHeight="1">
      <c r="A217" s="13" t="str">
        <f t="shared" si="38"/>
        <v>Sunday</v>
      </c>
      <c r="B217" s="28">
        <f t="shared" si="39"/>
        <v>46292</v>
      </c>
      <c r="C217" s="108">
        <f t="shared" si="40"/>
        <v>3016.6154000000001</v>
      </c>
      <c r="D217" s="108">
        <f t="shared" si="41"/>
        <v>1843.0900999999999</v>
      </c>
      <c r="E217" s="108">
        <f t="shared" si="42"/>
        <v>3548.9193</v>
      </c>
      <c r="F217" s="108">
        <f t="shared" si="43"/>
        <v>2262.2343999999998</v>
      </c>
      <c r="G217" s="108">
        <f t="shared" si="44"/>
        <v>946.7604</v>
      </c>
      <c r="H217" s="108">
        <f t="shared" si="45"/>
        <v>1730.9818</v>
      </c>
      <c r="I217" s="108">
        <f t="shared" si="46"/>
        <v>1149.6116</v>
      </c>
      <c r="J217" s="108">
        <f t="shared" si="47"/>
        <v>1294.0561</v>
      </c>
      <c r="K217" s="108">
        <f t="shared" si="48"/>
        <v>3535.8029000000001</v>
      </c>
      <c r="L217" s="108">
        <f t="shared" si="49"/>
        <v>1766.2209</v>
      </c>
      <c r="M217" s="77"/>
    </row>
    <row r="218" spans="1:13" ht="15" customHeight="1">
      <c r="A218" s="13" t="str">
        <f t="shared" si="38"/>
        <v>Monday</v>
      </c>
      <c r="B218" s="28">
        <f t="shared" si="39"/>
        <v>46293</v>
      </c>
      <c r="C218" s="108">
        <f t="shared" si="40"/>
        <v>3016.6327999999999</v>
      </c>
      <c r="D218" s="108">
        <f t="shared" si="41"/>
        <v>1843.1002000000001</v>
      </c>
      <c r="E218" s="108">
        <f t="shared" si="42"/>
        <v>3548.9436000000001</v>
      </c>
      <c r="F218" s="108">
        <f t="shared" si="43"/>
        <v>2262.2437</v>
      </c>
      <c r="G218" s="108">
        <f t="shared" si="44"/>
        <v>946.76689999999996</v>
      </c>
      <c r="H218" s="108">
        <f t="shared" si="45"/>
        <v>1730.9908</v>
      </c>
      <c r="I218" s="108">
        <f t="shared" si="46"/>
        <v>1149.6195</v>
      </c>
      <c r="J218" s="108">
        <f t="shared" si="47"/>
        <v>1294.1093000000001</v>
      </c>
      <c r="K218" s="108">
        <f t="shared" si="48"/>
        <v>3535.8029000000001</v>
      </c>
      <c r="L218" s="108">
        <f t="shared" si="49"/>
        <v>1766.2329999999999</v>
      </c>
      <c r="M218" s="77"/>
    </row>
    <row r="219" spans="1:13" ht="15" customHeight="1">
      <c r="A219" s="13" t="str">
        <f t="shared" si="38"/>
        <v>Tuesday</v>
      </c>
      <c r="B219" s="28">
        <f t="shared" si="39"/>
        <v>46294</v>
      </c>
      <c r="C219" s="108">
        <f t="shared" si="40"/>
        <v>3016.6502</v>
      </c>
      <c r="D219" s="108">
        <f t="shared" si="41"/>
        <v>1843.1103000000001</v>
      </c>
      <c r="E219" s="108">
        <f t="shared" si="42"/>
        <v>3548.9679000000001</v>
      </c>
      <c r="F219" s="108">
        <f t="shared" si="43"/>
        <v>2262.2530000000002</v>
      </c>
      <c r="G219" s="108">
        <f t="shared" si="44"/>
        <v>946.77340000000004</v>
      </c>
      <c r="H219" s="108">
        <f t="shared" si="45"/>
        <v>1730.9998000000001</v>
      </c>
      <c r="I219" s="108">
        <f t="shared" si="46"/>
        <v>1149.6274000000001</v>
      </c>
      <c r="J219" s="108">
        <f t="shared" si="47"/>
        <v>1294.1624999999999</v>
      </c>
      <c r="K219" s="108">
        <f t="shared" si="48"/>
        <v>3535.8029000000001</v>
      </c>
      <c r="L219" s="108">
        <f t="shared" si="49"/>
        <v>1766.2451000000001</v>
      </c>
      <c r="M219" s="77"/>
    </row>
    <row r="220" spans="1:13" ht="15" customHeight="1">
      <c r="A220" s="13" t="str">
        <f t="shared" si="38"/>
        <v>Wednesday</v>
      </c>
      <c r="B220" s="28">
        <f t="shared" si="39"/>
        <v>46295</v>
      </c>
      <c r="C220" s="108">
        <f t="shared" si="40"/>
        <v>3016.6676000000002</v>
      </c>
      <c r="D220" s="108">
        <f t="shared" si="41"/>
        <v>1843.1204</v>
      </c>
      <c r="E220" s="108">
        <f t="shared" si="42"/>
        <v>3548.9922000000001</v>
      </c>
      <c r="F220" s="108">
        <f t="shared" si="43"/>
        <v>2262.2622999999999</v>
      </c>
      <c r="G220" s="108">
        <f t="shared" si="44"/>
        <v>946.7799</v>
      </c>
      <c r="H220" s="108">
        <f t="shared" si="45"/>
        <v>1731.0088000000001</v>
      </c>
      <c r="I220" s="108">
        <f t="shared" si="46"/>
        <v>1149.6352999999999</v>
      </c>
      <c r="J220" s="108">
        <f t="shared" si="47"/>
        <v>1294.2157</v>
      </c>
      <c r="K220" s="108">
        <f t="shared" si="48"/>
        <v>3535.8029000000001</v>
      </c>
      <c r="L220" s="108">
        <f t="shared" si="49"/>
        <v>1766.2572</v>
      </c>
      <c r="M220" s="77"/>
    </row>
    <row r="221" spans="1:13" ht="15" customHeight="1">
      <c r="A221" s="13" t="str">
        <f t="shared" si="38"/>
        <v>Thursday</v>
      </c>
      <c r="B221" s="28">
        <f t="shared" si="39"/>
        <v>46296</v>
      </c>
      <c r="C221" s="108">
        <f t="shared" si="40"/>
        <v>3016.6849999999999</v>
      </c>
      <c r="D221" s="108">
        <f t="shared" si="41"/>
        <v>1843.1305</v>
      </c>
      <c r="E221" s="108">
        <f t="shared" si="42"/>
        <v>3549.0165000000002</v>
      </c>
      <c r="F221" s="108">
        <f t="shared" si="43"/>
        <v>2262.2716</v>
      </c>
      <c r="G221" s="108">
        <f t="shared" si="44"/>
        <v>946.78639999999996</v>
      </c>
      <c r="H221" s="108">
        <f t="shared" si="45"/>
        <v>1731.0178000000001</v>
      </c>
      <c r="I221" s="108">
        <f t="shared" si="46"/>
        <v>1149.6432</v>
      </c>
      <c r="J221" s="108">
        <f t="shared" si="47"/>
        <v>1294.2689</v>
      </c>
      <c r="K221" s="108">
        <f t="shared" si="48"/>
        <v>3535.8029000000001</v>
      </c>
      <c r="L221" s="108">
        <f t="shared" si="49"/>
        <v>1766.2692999999999</v>
      </c>
      <c r="M221" s="77"/>
    </row>
    <row r="222" spans="1:13" ht="15" customHeight="1">
      <c r="A222" s="13" t="str">
        <f t="shared" si="38"/>
        <v>Friday</v>
      </c>
      <c r="B222" s="28">
        <f t="shared" si="39"/>
        <v>46297</v>
      </c>
      <c r="C222" s="108">
        <f t="shared" si="40"/>
        <v>3016.7024000000001</v>
      </c>
      <c r="D222" s="108">
        <f t="shared" si="41"/>
        <v>1843.1405999999999</v>
      </c>
      <c r="E222" s="108">
        <f t="shared" si="42"/>
        <v>3549.0408000000002</v>
      </c>
      <c r="F222" s="108">
        <f t="shared" si="43"/>
        <v>2262.2809000000002</v>
      </c>
      <c r="G222" s="108">
        <f t="shared" si="44"/>
        <v>946.79290000000003</v>
      </c>
      <c r="H222" s="108">
        <f t="shared" si="45"/>
        <v>1731.0268000000001</v>
      </c>
      <c r="I222" s="108">
        <f t="shared" si="46"/>
        <v>1149.6511</v>
      </c>
      <c r="J222" s="108">
        <f t="shared" si="47"/>
        <v>1294.3221000000001</v>
      </c>
      <c r="K222" s="108">
        <f t="shared" si="48"/>
        <v>3535.8029000000001</v>
      </c>
      <c r="L222" s="108">
        <f t="shared" si="49"/>
        <v>1766.2814000000001</v>
      </c>
      <c r="M222" s="77"/>
    </row>
    <row r="223" spans="1:13" ht="15" customHeight="1">
      <c r="A223" s="13" t="str">
        <f t="shared" si="38"/>
        <v>Saturday</v>
      </c>
      <c r="B223" s="28">
        <f t="shared" si="39"/>
        <v>46298</v>
      </c>
      <c r="C223" s="108">
        <f t="shared" si="40"/>
        <v>3016.7197999999999</v>
      </c>
      <c r="D223" s="108">
        <f t="shared" si="41"/>
        <v>1843.1506999999999</v>
      </c>
      <c r="E223" s="108">
        <f t="shared" si="42"/>
        <v>3549.0650999999998</v>
      </c>
      <c r="F223" s="108">
        <f t="shared" si="43"/>
        <v>2262.2901999999999</v>
      </c>
      <c r="G223" s="108">
        <f t="shared" si="44"/>
        <v>946.79939999999999</v>
      </c>
      <c r="H223" s="108">
        <f t="shared" si="45"/>
        <v>1731.0358000000001</v>
      </c>
      <c r="I223" s="108">
        <f t="shared" si="46"/>
        <v>1149.6590000000001</v>
      </c>
      <c r="J223" s="108">
        <f t="shared" si="47"/>
        <v>1294.3752999999999</v>
      </c>
      <c r="K223" s="108">
        <f t="shared" si="48"/>
        <v>3535.8029000000001</v>
      </c>
      <c r="L223" s="108">
        <f t="shared" si="49"/>
        <v>1766.2935</v>
      </c>
      <c r="M223" s="77"/>
    </row>
    <row r="224" spans="1:13" ht="15" customHeight="1">
      <c r="A224" s="13" t="str">
        <f t="shared" si="38"/>
        <v>Sunday</v>
      </c>
      <c r="B224" s="28">
        <f t="shared" si="39"/>
        <v>46299</v>
      </c>
      <c r="C224" s="108">
        <f t="shared" si="40"/>
        <v>3016.7372</v>
      </c>
      <c r="D224" s="108">
        <f t="shared" si="41"/>
        <v>1843.1608000000001</v>
      </c>
      <c r="E224" s="108">
        <f t="shared" si="42"/>
        <v>3549.0893999999998</v>
      </c>
      <c r="F224" s="108">
        <f t="shared" si="43"/>
        <v>2262.2995000000001</v>
      </c>
      <c r="G224" s="108">
        <f t="shared" si="44"/>
        <v>946.80589999999995</v>
      </c>
      <c r="H224" s="108">
        <f t="shared" si="45"/>
        <v>1731.0447999999999</v>
      </c>
      <c r="I224" s="108">
        <f t="shared" si="46"/>
        <v>1149.6668999999999</v>
      </c>
      <c r="J224" s="108">
        <f t="shared" si="47"/>
        <v>1294.4285</v>
      </c>
      <c r="K224" s="108">
        <f t="shared" si="48"/>
        <v>3535.8029000000001</v>
      </c>
      <c r="L224" s="108">
        <f t="shared" si="49"/>
        <v>1766.3055999999999</v>
      </c>
      <c r="M224" s="77"/>
    </row>
    <row r="225" spans="1:13" ht="15" customHeight="1">
      <c r="A225" s="13" t="str">
        <f t="shared" si="38"/>
        <v>Monday</v>
      </c>
      <c r="B225" s="28">
        <f t="shared" si="39"/>
        <v>46300</v>
      </c>
      <c r="C225" s="108">
        <f t="shared" si="40"/>
        <v>3016.7546000000002</v>
      </c>
      <c r="D225" s="108">
        <f t="shared" si="41"/>
        <v>1843.1709000000001</v>
      </c>
      <c r="E225" s="108">
        <f t="shared" si="42"/>
        <v>3549.1136999999999</v>
      </c>
      <c r="F225" s="108">
        <f t="shared" si="43"/>
        <v>2262.3087999999998</v>
      </c>
      <c r="G225" s="108">
        <f t="shared" si="44"/>
        <v>946.81240000000003</v>
      </c>
      <c r="H225" s="108">
        <f t="shared" si="45"/>
        <v>1731.0537999999999</v>
      </c>
      <c r="I225" s="108">
        <f t="shared" si="46"/>
        <v>1149.6748</v>
      </c>
      <c r="J225" s="108">
        <f t="shared" si="47"/>
        <v>1294.4817</v>
      </c>
      <c r="K225" s="108">
        <f t="shared" si="48"/>
        <v>3535.8029000000001</v>
      </c>
      <c r="L225" s="108">
        <f t="shared" si="49"/>
        <v>1766.3177000000001</v>
      </c>
      <c r="M225" s="77"/>
    </row>
    <row r="226" spans="1:13" ht="15" customHeight="1">
      <c r="A226" s="13" t="str">
        <f t="shared" si="38"/>
        <v>Tuesday</v>
      </c>
      <c r="B226" s="28">
        <f t="shared" si="39"/>
        <v>46301</v>
      </c>
      <c r="C226" s="108">
        <f t="shared" si="40"/>
        <v>3016.7719999999999</v>
      </c>
      <c r="D226" s="108">
        <f t="shared" si="41"/>
        <v>1843.181</v>
      </c>
      <c r="E226" s="108">
        <f t="shared" si="42"/>
        <v>3549.1379999999999</v>
      </c>
      <c r="F226" s="108">
        <f t="shared" si="43"/>
        <v>2262.3181</v>
      </c>
      <c r="G226" s="108">
        <f t="shared" si="44"/>
        <v>946.81889999999999</v>
      </c>
      <c r="H226" s="108">
        <f t="shared" si="45"/>
        <v>1731.0627999999999</v>
      </c>
      <c r="I226" s="108">
        <f t="shared" si="46"/>
        <v>1149.6827000000001</v>
      </c>
      <c r="J226" s="108">
        <f t="shared" si="47"/>
        <v>1294.5349000000001</v>
      </c>
      <c r="K226" s="108">
        <f t="shared" si="48"/>
        <v>3535.8029000000001</v>
      </c>
      <c r="L226" s="108">
        <f t="shared" si="49"/>
        <v>1766.3298</v>
      </c>
      <c r="M226" s="77"/>
    </row>
    <row r="227" spans="1:13" ht="15" customHeight="1">
      <c r="A227" s="13" t="str">
        <f t="shared" si="38"/>
        <v>Wednesday</v>
      </c>
      <c r="B227" s="28">
        <f t="shared" si="39"/>
        <v>46302</v>
      </c>
      <c r="C227" s="108">
        <f t="shared" si="40"/>
        <v>3016.7894000000001</v>
      </c>
      <c r="D227" s="108">
        <f t="shared" si="41"/>
        <v>1843.1911</v>
      </c>
      <c r="E227" s="108">
        <f t="shared" si="42"/>
        <v>3549.1623</v>
      </c>
      <c r="F227" s="108">
        <f t="shared" si="43"/>
        <v>2262.3274000000001</v>
      </c>
      <c r="G227" s="108">
        <f t="shared" si="44"/>
        <v>946.82539999999995</v>
      </c>
      <c r="H227" s="108">
        <f t="shared" si="45"/>
        <v>1731.0717999999999</v>
      </c>
      <c r="I227" s="108">
        <f t="shared" si="46"/>
        <v>1149.6905999999999</v>
      </c>
      <c r="J227" s="108">
        <f t="shared" si="47"/>
        <v>1294.5880999999999</v>
      </c>
      <c r="K227" s="108">
        <f t="shared" si="48"/>
        <v>3535.8029000000001</v>
      </c>
      <c r="L227" s="108">
        <f t="shared" si="49"/>
        <v>1766.3418999999999</v>
      </c>
      <c r="M227" s="77"/>
    </row>
    <row r="228" spans="1:13" ht="15" customHeight="1">
      <c r="A228" s="13" t="str">
        <f t="shared" si="38"/>
        <v>Thursday</v>
      </c>
      <c r="B228" s="28">
        <f t="shared" si="39"/>
        <v>46303</v>
      </c>
      <c r="C228" s="108">
        <f t="shared" si="40"/>
        <v>3016.8067999999998</v>
      </c>
      <c r="D228" s="108">
        <f t="shared" si="41"/>
        <v>1843.2012</v>
      </c>
      <c r="E228" s="108">
        <f t="shared" si="42"/>
        <v>3549.1866</v>
      </c>
      <c r="F228" s="108">
        <f t="shared" si="43"/>
        <v>2262.3366999999998</v>
      </c>
      <c r="G228" s="108">
        <f t="shared" si="44"/>
        <v>946.83190000000002</v>
      </c>
      <c r="H228" s="108">
        <f t="shared" si="45"/>
        <v>1731.0808</v>
      </c>
      <c r="I228" s="108">
        <f t="shared" si="46"/>
        <v>1149.6985</v>
      </c>
      <c r="J228" s="108">
        <f t="shared" si="47"/>
        <v>1294.6413</v>
      </c>
      <c r="K228" s="108">
        <f t="shared" si="48"/>
        <v>3535.8029000000001</v>
      </c>
      <c r="L228" s="108">
        <f t="shared" si="49"/>
        <v>1766.354</v>
      </c>
      <c r="M228" s="77"/>
    </row>
    <row r="229" spans="1:13" ht="15" customHeight="1">
      <c r="A229" s="13" t="str">
        <f t="shared" si="38"/>
        <v>Friday</v>
      </c>
      <c r="B229" s="28">
        <f t="shared" si="39"/>
        <v>46304</v>
      </c>
      <c r="C229" s="108">
        <f t="shared" si="40"/>
        <v>3016.8242</v>
      </c>
      <c r="D229" s="108">
        <f t="shared" si="41"/>
        <v>1843.2112999999999</v>
      </c>
      <c r="E229" s="108">
        <f t="shared" si="42"/>
        <v>3549.2109</v>
      </c>
      <c r="F229" s="108">
        <f t="shared" si="43"/>
        <v>2262.346</v>
      </c>
      <c r="G229" s="108">
        <f t="shared" si="44"/>
        <v>946.83839999999998</v>
      </c>
      <c r="H229" s="108">
        <f t="shared" si="45"/>
        <v>1731.0898</v>
      </c>
      <c r="I229" s="108">
        <f t="shared" si="46"/>
        <v>1149.7064</v>
      </c>
      <c r="J229" s="108">
        <f t="shared" si="47"/>
        <v>1294.6945000000001</v>
      </c>
      <c r="K229" s="108">
        <f t="shared" si="48"/>
        <v>3535.8029000000001</v>
      </c>
      <c r="L229" s="108">
        <f t="shared" si="49"/>
        <v>1766.3661</v>
      </c>
      <c r="M229" s="77"/>
    </row>
    <row r="230" spans="1:13" ht="15" customHeight="1">
      <c r="A230" s="13" t="str">
        <f t="shared" si="38"/>
        <v>Saturday</v>
      </c>
      <c r="B230" s="28">
        <f t="shared" si="39"/>
        <v>46305</v>
      </c>
      <c r="C230" s="108">
        <f t="shared" si="40"/>
        <v>3016.8416000000002</v>
      </c>
      <c r="D230" s="108">
        <f t="shared" si="41"/>
        <v>1843.2213999999999</v>
      </c>
      <c r="E230" s="108">
        <f t="shared" si="42"/>
        <v>3549.2352000000001</v>
      </c>
      <c r="F230" s="108">
        <f t="shared" si="43"/>
        <v>2262.3553000000002</v>
      </c>
      <c r="G230" s="108">
        <f t="shared" si="44"/>
        <v>946.84490000000005</v>
      </c>
      <c r="H230" s="108">
        <f t="shared" si="45"/>
        <v>1731.0988</v>
      </c>
      <c r="I230" s="108">
        <f t="shared" si="46"/>
        <v>1149.7143000000001</v>
      </c>
      <c r="J230" s="108">
        <f t="shared" si="47"/>
        <v>1294.7476999999999</v>
      </c>
      <c r="K230" s="108">
        <f t="shared" si="48"/>
        <v>3535.8029000000001</v>
      </c>
      <c r="L230" s="108">
        <f t="shared" si="49"/>
        <v>1766.3782000000001</v>
      </c>
      <c r="M230" s="77"/>
    </row>
    <row r="231" spans="1:13" ht="15" customHeight="1">
      <c r="A231" s="13" t="str">
        <f t="shared" si="38"/>
        <v>Sunday</v>
      </c>
      <c r="B231" s="28">
        <f t="shared" si="39"/>
        <v>46306</v>
      </c>
      <c r="C231" s="108">
        <f t="shared" si="40"/>
        <v>3016.8589999999999</v>
      </c>
      <c r="D231" s="108">
        <f t="shared" si="41"/>
        <v>1843.2315000000001</v>
      </c>
      <c r="E231" s="108">
        <f t="shared" si="42"/>
        <v>3549.2595000000001</v>
      </c>
      <c r="F231" s="108">
        <f t="shared" si="43"/>
        <v>2262.3645999999999</v>
      </c>
      <c r="G231" s="108">
        <f t="shared" si="44"/>
        <v>946.85140000000001</v>
      </c>
      <c r="H231" s="108">
        <f t="shared" si="45"/>
        <v>1731.1078</v>
      </c>
      <c r="I231" s="108">
        <f t="shared" si="46"/>
        <v>1149.7221999999999</v>
      </c>
      <c r="J231" s="108">
        <f t="shared" si="47"/>
        <v>1294.8009</v>
      </c>
      <c r="K231" s="108">
        <f t="shared" si="48"/>
        <v>3535.8029000000001</v>
      </c>
      <c r="L231" s="108">
        <f t="shared" si="49"/>
        <v>1766.3903</v>
      </c>
      <c r="M231" s="77"/>
    </row>
    <row r="232" spans="1:13" ht="15" customHeight="1">
      <c r="A232" s="13" t="str">
        <f t="shared" si="38"/>
        <v>Monday</v>
      </c>
      <c r="B232" s="28">
        <f t="shared" si="39"/>
        <v>46307</v>
      </c>
      <c r="C232" s="108">
        <f t="shared" si="40"/>
        <v>3016.8764000000001</v>
      </c>
      <c r="D232" s="108">
        <f t="shared" si="41"/>
        <v>1843.2416000000001</v>
      </c>
      <c r="E232" s="108">
        <f t="shared" si="42"/>
        <v>3549.2838000000002</v>
      </c>
      <c r="F232" s="108">
        <f t="shared" si="43"/>
        <v>2262.3739</v>
      </c>
      <c r="G232" s="108">
        <f t="shared" si="44"/>
        <v>946.85789999999997</v>
      </c>
      <c r="H232" s="108">
        <f t="shared" si="45"/>
        <v>1731.1168</v>
      </c>
      <c r="I232" s="108">
        <f t="shared" si="46"/>
        <v>1149.7301</v>
      </c>
      <c r="J232" s="108">
        <f t="shared" si="47"/>
        <v>1294.8541</v>
      </c>
      <c r="K232" s="108">
        <f t="shared" si="48"/>
        <v>3535.8029000000001</v>
      </c>
      <c r="L232" s="108">
        <f t="shared" si="49"/>
        <v>1766.4023999999999</v>
      </c>
      <c r="M232" s="77"/>
    </row>
    <row r="233" spans="1:13" ht="15" customHeight="1">
      <c r="A233" s="13" t="str">
        <f t="shared" si="38"/>
        <v>Tuesday</v>
      </c>
      <c r="B233" s="28">
        <f t="shared" si="39"/>
        <v>46308</v>
      </c>
      <c r="C233" s="108">
        <f t="shared" si="40"/>
        <v>3016.8937999999998</v>
      </c>
      <c r="D233" s="108">
        <f t="shared" si="41"/>
        <v>1843.2517</v>
      </c>
      <c r="E233" s="108">
        <f t="shared" si="42"/>
        <v>3549.3081000000002</v>
      </c>
      <c r="F233" s="108">
        <f t="shared" si="43"/>
        <v>2262.3832000000002</v>
      </c>
      <c r="G233" s="108">
        <f t="shared" si="44"/>
        <v>946.86440000000005</v>
      </c>
      <c r="H233" s="108">
        <f t="shared" si="45"/>
        <v>1731.1258</v>
      </c>
      <c r="I233" s="108">
        <f t="shared" si="46"/>
        <v>1149.7380000000001</v>
      </c>
      <c r="J233" s="108">
        <f t="shared" si="47"/>
        <v>1294.9073000000001</v>
      </c>
      <c r="K233" s="108">
        <f t="shared" si="48"/>
        <v>3535.8029000000001</v>
      </c>
      <c r="L233" s="108">
        <f t="shared" si="49"/>
        <v>1766.4145000000001</v>
      </c>
      <c r="M233" s="77"/>
    </row>
    <row r="234" spans="1:13" ht="15" customHeight="1">
      <c r="A234" s="13" t="str">
        <f t="shared" si="38"/>
        <v>Wednesday</v>
      </c>
      <c r="B234" s="28">
        <f t="shared" si="39"/>
        <v>46309</v>
      </c>
      <c r="C234" s="108">
        <f t="shared" si="40"/>
        <v>3016.9112</v>
      </c>
      <c r="D234" s="108">
        <f t="shared" si="41"/>
        <v>1843.2618</v>
      </c>
      <c r="E234" s="108">
        <f t="shared" si="42"/>
        <v>3549.3323999999998</v>
      </c>
      <c r="F234" s="108">
        <f t="shared" si="43"/>
        <v>2262.3924999999999</v>
      </c>
      <c r="G234" s="108">
        <f t="shared" si="44"/>
        <v>946.87090000000001</v>
      </c>
      <c r="H234" s="108">
        <f t="shared" si="45"/>
        <v>1731.1348</v>
      </c>
      <c r="I234" s="108">
        <f t="shared" si="46"/>
        <v>1149.7458999999999</v>
      </c>
      <c r="J234" s="108">
        <f t="shared" si="47"/>
        <v>1294.9604999999999</v>
      </c>
      <c r="K234" s="108">
        <f t="shared" si="48"/>
        <v>3535.8029000000001</v>
      </c>
      <c r="L234" s="108">
        <f t="shared" si="49"/>
        <v>1766.4266</v>
      </c>
      <c r="M234" s="77"/>
    </row>
    <row r="235" spans="1:13" ht="15" customHeight="1">
      <c r="A235" s="13" t="str">
        <f t="shared" si="38"/>
        <v>Thursday</v>
      </c>
      <c r="B235" s="28">
        <f t="shared" si="39"/>
        <v>46310</v>
      </c>
      <c r="C235" s="108">
        <f t="shared" si="40"/>
        <v>3016.9286000000002</v>
      </c>
      <c r="D235" s="108">
        <f t="shared" si="41"/>
        <v>1843.2719</v>
      </c>
      <c r="E235" s="108">
        <f t="shared" si="42"/>
        <v>3549.3566999999998</v>
      </c>
      <c r="F235" s="108">
        <f t="shared" si="43"/>
        <v>2262.4018000000001</v>
      </c>
      <c r="G235" s="108">
        <f t="shared" si="44"/>
        <v>946.87739999999997</v>
      </c>
      <c r="H235" s="108">
        <f t="shared" si="45"/>
        <v>1731.1438000000001</v>
      </c>
      <c r="I235" s="108">
        <f t="shared" si="46"/>
        <v>1149.7538</v>
      </c>
      <c r="J235" s="108">
        <f t="shared" si="47"/>
        <v>1295.0137</v>
      </c>
      <c r="K235" s="108">
        <f t="shared" si="48"/>
        <v>3535.8029000000001</v>
      </c>
      <c r="L235" s="108">
        <f t="shared" si="49"/>
        <v>1766.4386999999999</v>
      </c>
      <c r="M235" s="77"/>
    </row>
    <row r="236" spans="1:13" ht="15" customHeight="1">
      <c r="A236" s="13" t="str">
        <f t="shared" si="38"/>
        <v>Friday</v>
      </c>
      <c r="B236" s="28">
        <f t="shared" si="39"/>
        <v>46311</v>
      </c>
      <c r="C236" s="108">
        <f t="shared" si="40"/>
        <v>3016.9459999999999</v>
      </c>
      <c r="D236" s="108">
        <f t="shared" si="41"/>
        <v>1843.2819999999999</v>
      </c>
      <c r="E236" s="108">
        <f t="shared" si="42"/>
        <v>3549.3809999999999</v>
      </c>
      <c r="F236" s="108">
        <f t="shared" si="43"/>
        <v>2262.4110999999998</v>
      </c>
      <c r="G236" s="108">
        <f t="shared" si="44"/>
        <v>946.88390000000004</v>
      </c>
      <c r="H236" s="108">
        <f t="shared" si="45"/>
        <v>1731.1528000000001</v>
      </c>
      <c r="I236" s="108">
        <f t="shared" si="46"/>
        <v>1149.7617</v>
      </c>
      <c r="J236" s="108">
        <f t="shared" si="47"/>
        <v>1295.0669</v>
      </c>
      <c r="K236" s="108">
        <f t="shared" si="48"/>
        <v>3535.8029000000001</v>
      </c>
      <c r="L236" s="108">
        <f t="shared" si="49"/>
        <v>1766.4508000000001</v>
      </c>
      <c r="M236" s="77"/>
    </row>
    <row r="237" spans="1:13" ht="15" customHeight="1">
      <c r="A237" s="13" t="str">
        <f t="shared" si="38"/>
        <v>Saturday</v>
      </c>
      <c r="B237" s="28">
        <f t="shared" si="39"/>
        <v>46312</v>
      </c>
      <c r="C237" s="108">
        <f t="shared" si="40"/>
        <v>3016.9634000000001</v>
      </c>
      <c r="D237" s="108">
        <f t="shared" si="41"/>
        <v>1843.2920999999999</v>
      </c>
      <c r="E237" s="108">
        <f t="shared" si="42"/>
        <v>3549.4052999999999</v>
      </c>
      <c r="F237" s="108">
        <f t="shared" si="43"/>
        <v>2262.4204</v>
      </c>
      <c r="G237" s="108">
        <f t="shared" si="44"/>
        <v>946.8904</v>
      </c>
      <c r="H237" s="108">
        <f t="shared" si="45"/>
        <v>1731.1618000000001</v>
      </c>
      <c r="I237" s="108">
        <f t="shared" si="46"/>
        <v>1149.7696000000001</v>
      </c>
      <c r="J237" s="108">
        <f t="shared" si="47"/>
        <v>1295.1201000000001</v>
      </c>
      <c r="K237" s="108">
        <f t="shared" si="48"/>
        <v>3535.8029000000001</v>
      </c>
      <c r="L237" s="108">
        <f t="shared" si="49"/>
        <v>1766.4629</v>
      </c>
      <c r="M237" s="77"/>
    </row>
    <row r="238" spans="1:13" ht="15" customHeight="1">
      <c r="A238" s="13" t="str">
        <f t="shared" si="38"/>
        <v>Sunday</v>
      </c>
      <c r="B238" s="28">
        <f t="shared" si="39"/>
        <v>46313</v>
      </c>
      <c r="C238" s="108">
        <f t="shared" si="40"/>
        <v>3016.9807999999998</v>
      </c>
      <c r="D238" s="108">
        <f t="shared" si="41"/>
        <v>1843.3022000000001</v>
      </c>
      <c r="E238" s="108">
        <f t="shared" si="42"/>
        <v>3549.4295999999999</v>
      </c>
      <c r="F238" s="108">
        <f t="shared" si="43"/>
        <v>2262.4297000000001</v>
      </c>
      <c r="G238" s="108">
        <f t="shared" si="44"/>
        <v>946.89689999999996</v>
      </c>
      <c r="H238" s="108">
        <f t="shared" si="45"/>
        <v>1731.1708000000001</v>
      </c>
      <c r="I238" s="108">
        <f t="shared" si="46"/>
        <v>1149.7774999999999</v>
      </c>
      <c r="J238" s="108">
        <f t="shared" si="47"/>
        <v>1295.1732999999999</v>
      </c>
      <c r="K238" s="108">
        <f t="shared" si="48"/>
        <v>3535.8029000000001</v>
      </c>
      <c r="L238" s="108">
        <f t="shared" si="49"/>
        <v>1766.4749999999999</v>
      </c>
      <c r="M238" s="77"/>
    </row>
    <row r="239" spans="1:13" ht="15" customHeight="1">
      <c r="A239" s="13" t="str">
        <f t="shared" si="38"/>
        <v>Monday</v>
      </c>
      <c r="B239" s="28">
        <f t="shared" si="39"/>
        <v>46314</v>
      </c>
      <c r="C239" s="108">
        <f t="shared" si="40"/>
        <v>3016.9982</v>
      </c>
      <c r="D239" s="108">
        <f t="shared" si="41"/>
        <v>1843.3123000000001</v>
      </c>
      <c r="E239" s="108">
        <f t="shared" si="42"/>
        <v>3549.4539</v>
      </c>
      <c r="F239" s="108">
        <f t="shared" si="43"/>
        <v>2262.4389999999999</v>
      </c>
      <c r="G239" s="108">
        <f t="shared" si="44"/>
        <v>946.90340000000003</v>
      </c>
      <c r="H239" s="108">
        <f t="shared" si="45"/>
        <v>1731.1797999999999</v>
      </c>
      <c r="I239" s="108">
        <f t="shared" si="46"/>
        <v>1149.7854</v>
      </c>
      <c r="J239" s="108">
        <f t="shared" si="47"/>
        <v>1295.2265</v>
      </c>
      <c r="K239" s="108">
        <f t="shared" si="48"/>
        <v>3535.8029000000001</v>
      </c>
      <c r="L239" s="108">
        <f t="shared" si="49"/>
        <v>1766.4871000000001</v>
      </c>
      <c r="M239" s="77"/>
    </row>
    <row r="240" spans="1:13" ht="15" customHeight="1">
      <c r="A240" s="13" t="str">
        <f t="shared" si="38"/>
        <v>Tuesday</v>
      </c>
      <c r="B240" s="28">
        <f t="shared" si="39"/>
        <v>46315</v>
      </c>
      <c r="C240" s="108">
        <f t="shared" si="40"/>
        <v>3017.0156000000002</v>
      </c>
      <c r="D240" s="108">
        <f t="shared" si="41"/>
        <v>1843.3224</v>
      </c>
      <c r="E240" s="108">
        <f t="shared" si="42"/>
        <v>3549.4782</v>
      </c>
      <c r="F240" s="108">
        <f t="shared" si="43"/>
        <v>2262.4483</v>
      </c>
      <c r="G240" s="108">
        <f t="shared" si="44"/>
        <v>946.90989999999999</v>
      </c>
      <c r="H240" s="108">
        <f t="shared" si="45"/>
        <v>1731.1887999999999</v>
      </c>
      <c r="I240" s="108">
        <f t="shared" si="46"/>
        <v>1149.7933</v>
      </c>
      <c r="J240" s="108">
        <f t="shared" si="47"/>
        <v>1295.2797</v>
      </c>
      <c r="K240" s="108">
        <f t="shared" si="48"/>
        <v>3535.8029000000001</v>
      </c>
      <c r="L240" s="108">
        <f t="shared" si="49"/>
        <v>1766.4992</v>
      </c>
      <c r="M240" s="77"/>
    </row>
    <row r="241" spans="1:13" ht="15" customHeight="1">
      <c r="A241" s="13" t="str">
        <f t="shared" si="38"/>
        <v>Wednesday</v>
      </c>
      <c r="B241" s="28">
        <f t="shared" si="39"/>
        <v>46316</v>
      </c>
      <c r="C241" s="108">
        <f t="shared" si="40"/>
        <v>3017.0329999999999</v>
      </c>
      <c r="D241" s="108">
        <f t="shared" si="41"/>
        <v>1843.3325</v>
      </c>
      <c r="E241" s="108">
        <f t="shared" si="42"/>
        <v>3549.5025000000001</v>
      </c>
      <c r="F241" s="108">
        <f t="shared" si="43"/>
        <v>2262.4576000000002</v>
      </c>
      <c r="G241" s="108">
        <f t="shared" si="44"/>
        <v>946.91639999999995</v>
      </c>
      <c r="H241" s="108">
        <f t="shared" si="45"/>
        <v>1731.1977999999999</v>
      </c>
      <c r="I241" s="108">
        <f t="shared" si="46"/>
        <v>1149.8012000000001</v>
      </c>
      <c r="J241" s="108">
        <f t="shared" si="47"/>
        <v>1295.3329000000001</v>
      </c>
      <c r="K241" s="108">
        <f t="shared" si="48"/>
        <v>3535.8029000000001</v>
      </c>
      <c r="L241" s="108">
        <f t="shared" si="49"/>
        <v>1766.5112999999999</v>
      </c>
      <c r="M241" s="77"/>
    </row>
    <row r="242" spans="1:13" ht="15" customHeight="1">
      <c r="A242" s="13" t="str">
        <f t="shared" si="38"/>
        <v>Thursday</v>
      </c>
      <c r="B242" s="28">
        <f t="shared" si="39"/>
        <v>46317</v>
      </c>
      <c r="C242" s="108">
        <f t="shared" si="40"/>
        <v>3017.0504000000001</v>
      </c>
      <c r="D242" s="108">
        <f t="shared" si="41"/>
        <v>1843.3425999999999</v>
      </c>
      <c r="E242" s="108">
        <f t="shared" si="42"/>
        <v>3549.5268000000001</v>
      </c>
      <c r="F242" s="108">
        <f t="shared" si="43"/>
        <v>2262.4668999999999</v>
      </c>
      <c r="G242" s="108">
        <f t="shared" si="44"/>
        <v>946.92290000000003</v>
      </c>
      <c r="H242" s="108">
        <f t="shared" si="45"/>
        <v>1731.2067999999999</v>
      </c>
      <c r="I242" s="108">
        <f t="shared" si="46"/>
        <v>1149.8090999999999</v>
      </c>
      <c r="J242" s="108">
        <f t="shared" si="47"/>
        <v>1295.3860999999999</v>
      </c>
      <c r="K242" s="108">
        <f t="shared" si="48"/>
        <v>3535.8029000000001</v>
      </c>
      <c r="L242" s="108">
        <f t="shared" si="49"/>
        <v>1766.5234</v>
      </c>
      <c r="M242" s="77"/>
    </row>
    <row r="243" spans="1:13" ht="15" customHeight="1">
      <c r="A243" s="13" t="str">
        <f t="shared" si="38"/>
        <v>Friday</v>
      </c>
      <c r="B243" s="28">
        <f t="shared" si="39"/>
        <v>46318</v>
      </c>
      <c r="C243" s="108">
        <f t="shared" si="40"/>
        <v>3017.0677999999998</v>
      </c>
      <c r="D243" s="108">
        <f t="shared" si="41"/>
        <v>1843.3526999999999</v>
      </c>
      <c r="E243" s="108">
        <f t="shared" si="42"/>
        <v>3549.5511000000001</v>
      </c>
      <c r="F243" s="108">
        <f t="shared" si="43"/>
        <v>2262.4762000000001</v>
      </c>
      <c r="G243" s="108">
        <f t="shared" si="44"/>
        <v>946.92939999999999</v>
      </c>
      <c r="H243" s="108">
        <f t="shared" si="45"/>
        <v>1731.2157999999999</v>
      </c>
      <c r="I243" s="108">
        <f t="shared" si="46"/>
        <v>1149.817</v>
      </c>
      <c r="J243" s="108">
        <f t="shared" si="47"/>
        <v>1295.4393</v>
      </c>
      <c r="K243" s="108">
        <f t="shared" si="48"/>
        <v>3535.8029000000001</v>
      </c>
      <c r="L243" s="108">
        <f t="shared" si="49"/>
        <v>1766.5355</v>
      </c>
      <c r="M243" s="77"/>
    </row>
    <row r="244" spans="1:13" ht="15" customHeight="1">
      <c r="A244" s="13" t="str">
        <f t="shared" si="38"/>
        <v>Saturday</v>
      </c>
      <c r="B244" s="28">
        <f t="shared" si="39"/>
        <v>46319</v>
      </c>
      <c r="C244" s="108">
        <f t="shared" si="40"/>
        <v>3017.0852</v>
      </c>
      <c r="D244" s="108">
        <f t="shared" si="41"/>
        <v>1843.3628000000001</v>
      </c>
      <c r="E244" s="108">
        <f t="shared" si="42"/>
        <v>3549.5754000000002</v>
      </c>
      <c r="F244" s="108">
        <f t="shared" si="43"/>
        <v>2262.4854999999998</v>
      </c>
      <c r="G244" s="108">
        <f t="shared" si="44"/>
        <v>946.93589999999995</v>
      </c>
      <c r="H244" s="108">
        <f t="shared" si="45"/>
        <v>1731.2248</v>
      </c>
      <c r="I244" s="108">
        <f t="shared" si="46"/>
        <v>1149.8249000000001</v>
      </c>
      <c r="J244" s="108">
        <f t="shared" si="47"/>
        <v>1295.4925000000001</v>
      </c>
      <c r="K244" s="108">
        <f t="shared" si="48"/>
        <v>3535.8029000000001</v>
      </c>
      <c r="L244" s="108">
        <f t="shared" si="49"/>
        <v>1766.5476000000001</v>
      </c>
      <c r="M244" s="77"/>
    </row>
    <row r="245" spans="1:13" ht="15" customHeight="1">
      <c r="A245" s="13" t="str">
        <f t="shared" si="38"/>
        <v>Sunday</v>
      </c>
      <c r="B245" s="28">
        <f t="shared" si="39"/>
        <v>46320</v>
      </c>
      <c r="C245" s="108">
        <f t="shared" si="40"/>
        <v>3017.1026000000002</v>
      </c>
      <c r="D245" s="108">
        <f t="shared" si="41"/>
        <v>1843.3729000000001</v>
      </c>
      <c r="E245" s="108">
        <f t="shared" si="42"/>
        <v>3549.5997000000002</v>
      </c>
      <c r="F245" s="108">
        <f t="shared" si="43"/>
        <v>2262.4947999999999</v>
      </c>
      <c r="G245" s="108">
        <f t="shared" si="44"/>
        <v>946.94240000000002</v>
      </c>
      <c r="H245" s="108">
        <f t="shared" si="45"/>
        <v>1731.2338</v>
      </c>
      <c r="I245" s="108">
        <f t="shared" si="46"/>
        <v>1149.8327999999999</v>
      </c>
      <c r="J245" s="108">
        <f t="shared" si="47"/>
        <v>1295.5456999999999</v>
      </c>
      <c r="K245" s="108">
        <f t="shared" si="48"/>
        <v>3535.8029000000001</v>
      </c>
      <c r="L245" s="108">
        <f t="shared" si="49"/>
        <v>1766.5597</v>
      </c>
      <c r="M245" s="77"/>
    </row>
    <row r="246" spans="1:13" ht="15" customHeight="1">
      <c r="A246" s="13" t="str">
        <f t="shared" si="38"/>
        <v>Monday</v>
      </c>
      <c r="B246" s="28">
        <f t="shared" si="39"/>
        <v>46321</v>
      </c>
      <c r="C246" s="108">
        <f t="shared" si="40"/>
        <v>3017.12</v>
      </c>
      <c r="D246" s="108">
        <f t="shared" si="41"/>
        <v>1843.383</v>
      </c>
      <c r="E246" s="108">
        <f t="shared" si="42"/>
        <v>3549.6239999999998</v>
      </c>
      <c r="F246" s="108">
        <f t="shared" si="43"/>
        <v>2262.5041000000001</v>
      </c>
      <c r="G246" s="108">
        <f t="shared" si="44"/>
        <v>946.94889999999998</v>
      </c>
      <c r="H246" s="108">
        <f t="shared" si="45"/>
        <v>1731.2428</v>
      </c>
      <c r="I246" s="108">
        <f t="shared" si="46"/>
        <v>1149.8407</v>
      </c>
      <c r="J246" s="108">
        <f t="shared" si="47"/>
        <v>1295.5989</v>
      </c>
      <c r="K246" s="108">
        <f t="shared" si="48"/>
        <v>3535.8029000000001</v>
      </c>
      <c r="L246" s="108">
        <f t="shared" si="49"/>
        <v>1766.5717999999999</v>
      </c>
      <c r="M246" s="77"/>
    </row>
    <row r="247" spans="1:13" ht="15" customHeight="1">
      <c r="A247" s="13" t="str">
        <f t="shared" si="38"/>
        <v>Tuesday</v>
      </c>
      <c r="B247" s="28">
        <f t="shared" si="39"/>
        <v>46322</v>
      </c>
      <c r="C247" s="108">
        <f t="shared" si="40"/>
        <v>3017.1374000000001</v>
      </c>
      <c r="D247" s="108">
        <f t="shared" si="41"/>
        <v>1843.3931</v>
      </c>
      <c r="E247" s="108">
        <f t="shared" si="42"/>
        <v>3549.6482999999998</v>
      </c>
      <c r="F247" s="108">
        <f t="shared" si="43"/>
        <v>2262.5133999999998</v>
      </c>
      <c r="G247" s="108">
        <f t="shared" si="44"/>
        <v>946.95540000000005</v>
      </c>
      <c r="H247" s="108">
        <f t="shared" si="45"/>
        <v>1731.2518</v>
      </c>
      <c r="I247" s="108">
        <f t="shared" si="46"/>
        <v>1149.8486</v>
      </c>
      <c r="J247" s="108">
        <f t="shared" si="47"/>
        <v>1295.6521</v>
      </c>
      <c r="K247" s="108">
        <f t="shared" si="48"/>
        <v>3535.8029000000001</v>
      </c>
      <c r="L247" s="108">
        <f t="shared" si="49"/>
        <v>1766.5839000000001</v>
      </c>
      <c r="M247" s="77"/>
    </row>
    <row r="248" spans="1:13" ht="15" customHeight="1">
      <c r="A248" s="13" t="str">
        <f t="shared" si="38"/>
        <v>Wednesday</v>
      </c>
      <c r="B248" s="28">
        <f t="shared" si="39"/>
        <v>46323</v>
      </c>
      <c r="C248" s="108">
        <f t="shared" si="40"/>
        <v>3017.1547999999998</v>
      </c>
      <c r="D248" s="108">
        <f t="shared" si="41"/>
        <v>1843.4032</v>
      </c>
      <c r="E248" s="108">
        <f t="shared" si="42"/>
        <v>3549.6725999999999</v>
      </c>
      <c r="F248" s="108">
        <f t="shared" si="43"/>
        <v>2262.5227</v>
      </c>
      <c r="G248" s="108">
        <f t="shared" si="44"/>
        <v>946.96190000000001</v>
      </c>
      <c r="H248" s="108">
        <f t="shared" si="45"/>
        <v>1731.2608</v>
      </c>
      <c r="I248" s="108">
        <f t="shared" si="46"/>
        <v>1149.8565000000001</v>
      </c>
      <c r="J248" s="108">
        <f t="shared" si="47"/>
        <v>1295.7053000000001</v>
      </c>
      <c r="K248" s="108">
        <f t="shared" si="48"/>
        <v>3535.8029000000001</v>
      </c>
      <c r="L248" s="108">
        <f t="shared" si="49"/>
        <v>1766.596</v>
      </c>
      <c r="M248" s="77"/>
    </row>
    <row r="249" spans="1:13" ht="15" customHeight="1">
      <c r="A249" s="13" t="str">
        <f t="shared" si="38"/>
        <v>Thursday</v>
      </c>
      <c r="B249" s="28">
        <f t="shared" si="39"/>
        <v>46324</v>
      </c>
      <c r="C249" s="108">
        <f t="shared" si="40"/>
        <v>3017.1722</v>
      </c>
      <c r="D249" s="108">
        <f t="shared" si="41"/>
        <v>1843.4132999999999</v>
      </c>
      <c r="E249" s="108">
        <f t="shared" si="42"/>
        <v>3549.6968999999999</v>
      </c>
      <c r="F249" s="108">
        <f t="shared" si="43"/>
        <v>2262.5320000000002</v>
      </c>
      <c r="G249" s="108">
        <f t="shared" si="44"/>
        <v>946.96839999999997</v>
      </c>
      <c r="H249" s="108">
        <f t="shared" si="45"/>
        <v>1731.2698</v>
      </c>
      <c r="I249" s="108">
        <f t="shared" si="46"/>
        <v>1149.8643999999999</v>
      </c>
      <c r="J249" s="108">
        <f t="shared" si="47"/>
        <v>1295.7584999999999</v>
      </c>
      <c r="K249" s="108">
        <f t="shared" si="48"/>
        <v>3535.8029000000001</v>
      </c>
      <c r="L249" s="108">
        <f t="shared" si="49"/>
        <v>1766.6080999999999</v>
      </c>
      <c r="M249" s="77"/>
    </row>
    <row r="250" spans="1:13" ht="15" customHeight="1">
      <c r="A250" s="13" t="str">
        <f t="shared" si="38"/>
        <v>Friday</v>
      </c>
      <c r="B250" s="28">
        <f t="shared" si="39"/>
        <v>46325</v>
      </c>
      <c r="C250" s="108">
        <f t="shared" si="40"/>
        <v>3017.1896000000002</v>
      </c>
      <c r="D250" s="108">
        <f t="shared" si="41"/>
        <v>1843.4233999999999</v>
      </c>
      <c r="E250" s="108">
        <f t="shared" si="42"/>
        <v>3549.7212</v>
      </c>
      <c r="F250" s="108">
        <f t="shared" si="43"/>
        <v>2262.5412999999999</v>
      </c>
      <c r="G250" s="108">
        <f t="shared" si="44"/>
        <v>946.97490000000005</v>
      </c>
      <c r="H250" s="108">
        <f t="shared" si="45"/>
        <v>1731.2788</v>
      </c>
      <c r="I250" s="108">
        <f t="shared" si="46"/>
        <v>1149.8723</v>
      </c>
      <c r="J250" s="108">
        <f t="shared" si="47"/>
        <v>1295.8117999999999</v>
      </c>
      <c r="K250" s="108">
        <f t="shared" si="48"/>
        <v>3535.8029000000001</v>
      </c>
      <c r="L250" s="108">
        <f t="shared" si="49"/>
        <v>1766.6202000000001</v>
      </c>
      <c r="M250" s="77"/>
    </row>
    <row r="251" spans="1:13" ht="15" customHeight="1">
      <c r="A251" s="13" t="str">
        <f t="shared" si="38"/>
        <v>Saturday</v>
      </c>
      <c r="B251" s="28">
        <f t="shared" si="39"/>
        <v>46326</v>
      </c>
      <c r="C251" s="108">
        <f t="shared" si="40"/>
        <v>3017.2069999999999</v>
      </c>
      <c r="D251" s="108">
        <f t="shared" si="41"/>
        <v>1843.4335000000001</v>
      </c>
      <c r="E251" s="108">
        <f t="shared" si="42"/>
        <v>3549.7455</v>
      </c>
      <c r="F251" s="108">
        <f t="shared" si="43"/>
        <v>2262.5506</v>
      </c>
      <c r="G251" s="108">
        <f t="shared" si="44"/>
        <v>946.98140000000001</v>
      </c>
      <c r="H251" s="108">
        <f t="shared" si="45"/>
        <v>1731.2878000000001</v>
      </c>
      <c r="I251" s="108">
        <f t="shared" si="46"/>
        <v>1149.8802000000001</v>
      </c>
      <c r="J251" s="108">
        <f t="shared" si="47"/>
        <v>1295.8651</v>
      </c>
      <c r="K251" s="108">
        <f t="shared" si="48"/>
        <v>3535.8029000000001</v>
      </c>
      <c r="L251" s="108">
        <f t="shared" si="49"/>
        <v>1766.6323</v>
      </c>
      <c r="M251" s="77"/>
    </row>
    <row r="252" spans="1:13" ht="15" customHeight="1">
      <c r="A252" s="13" t="str">
        <f t="shared" si="38"/>
        <v>Sunday</v>
      </c>
      <c r="B252" s="28">
        <f t="shared" si="39"/>
        <v>46327</v>
      </c>
      <c r="C252" s="108">
        <f t="shared" si="40"/>
        <v>3017.2244000000001</v>
      </c>
      <c r="D252" s="108">
        <f t="shared" si="41"/>
        <v>1843.4436000000001</v>
      </c>
      <c r="E252" s="108">
        <f t="shared" si="42"/>
        <v>3549.7698</v>
      </c>
      <c r="F252" s="108">
        <f t="shared" si="43"/>
        <v>2262.5599000000002</v>
      </c>
      <c r="G252" s="108">
        <f t="shared" si="44"/>
        <v>946.98789999999997</v>
      </c>
      <c r="H252" s="108">
        <f t="shared" si="45"/>
        <v>1731.2968000000001</v>
      </c>
      <c r="I252" s="108">
        <f t="shared" si="46"/>
        <v>1149.8880999999999</v>
      </c>
      <c r="J252" s="108">
        <f t="shared" si="47"/>
        <v>1295.9184</v>
      </c>
      <c r="K252" s="108">
        <f t="shared" si="48"/>
        <v>3535.8029000000001</v>
      </c>
      <c r="L252" s="108">
        <f t="shared" si="49"/>
        <v>1766.6443999999999</v>
      </c>
      <c r="M252" s="77"/>
    </row>
    <row r="253" spans="1:13" ht="15" customHeight="1">
      <c r="A253" s="13" t="str">
        <f t="shared" si="38"/>
        <v>Monday</v>
      </c>
      <c r="B253" s="28">
        <f t="shared" si="39"/>
        <v>46328</v>
      </c>
      <c r="C253" s="108">
        <f t="shared" si="40"/>
        <v>3017.2417999999998</v>
      </c>
      <c r="D253" s="108">
        <f t="shared" si="41"/>
        <v>1843.4537</v>
      </c>
      <c r="E253" s="108">
        <f t="shared" si="42"/>
        <v>3549.7941000000001</v>
      </c>
      <c r="F253" s="108">
        <f t="shared" si="43"/>
        <v>2262.5691999999999</v>
      </c>
      <c r="G253" s="108">
        <f t="shared" si="44"/>
        <v>946.99440000000004</v>
      </c>
      <c r="H253" s="108">
        <f t="shared" si="45"/>
        <v>1731.3058000000001</v>
      </c>
      <c r="I253" s="108">
        <f t="shared" si="46"/>
        <v>1149.896</v>
      </c>
      <c r="J253" s="108">
        <f t="shared" si="47"/>
        <v>1295.9717000000001</v>
      </c>
      <c r="K253" s="108">
        <f t="shared" si="48"/>
        <v>3535.8029000000001</v>
      </c>
      <c r="L253" s="108">
        <f t="shared" si="49"/>
        <v>1766.6565000000001</v>
      </c>
      <c r="M253" s="77"/>
    </row>
    <row r="254" spans="1:13" ht="15" customHeight="1">
      <c r="A254" s="13" t="str">
        <f t="shared" si="38"/>
        <v>Tuesday</v>
      </c>
      <c r="B254" s="28">
        <f t="shared" si="39"/>
        <v>46329</v>
      </c>
      <c r="C254" s="108">
        <f t="shared" si="40"/>
        <v>3017.2592</v>
      </c>
      <c r="D254" s="108">
        <f t="shared" si="41"/>
        <v>1843.4638</v>
      </c>
      <c r="E254" s="108">
        <f t="shared" si="42"/>
        <v>3549.8184000000001</v>
      </c>
      <c r="F254" s="108">
        <f t="shared" si="43"/>
        <v>2262.5785000000001</v>
      </c>
      <c r="G254" s="108">
        <f t="shared" si="44"/>
        <v>947.0009</v>
      </c>
      <c r="H254" s="108">
        <f t="shared" si="45"/>
        <v>1731.3148000000001</v>
      </c>
      <c r="I254" s="108">
        <f t="shared" si="46"/>
        <v>1149.9039</v>
      </c>
      <c r="J254" s="108">
        <f t="shared" si="47"/>
        <v>1296.0250000000001</v>
      </c>
      <c r="K254" s="108">
        <f t="shared" si="48"/>
        <v>3535.8029000000001</v>
      </c>
      <c r="L254" s="108">
        <f t="shared" si="49"/>
        <v>1766.6686</v>
      </c>
      <c r="M254" s="77"/>
    </row>
    <row r="255" spans="1:13" ht="15" customHeight="1">
      <c r="A255" s="13" t="str">
        <f t="shared" si="38"/>
        <v>Wednesday</v>
      </c>
      <c r="B255" s="28">
        <f t="shared" si="39"/>
        <v>46330</v>
      </c>
      <c r="C255" s="108">
        <f t="shared" si="40"/>
        <v>3017.2766000000001</v>
      </c>
      <c r="D255" s="108">
        <f t="shared" si="41"/>
        <v>1843.4739</v>
      </c>
      <c r="E255" s="108">
        <f t="shared" si="42"/>
        <v>3549.8427000000001</v>
      </c>
      <c r="F255" s="108">
        <f t="shared" si="43"/>
        <v>2262.5877999999998</v>
      </c>
      <c r="G255" s="108">
        <f t="shared" si="44"/>
        <v>947.00739999999996</v>
      </c>
      <c r="H255" s="108">
        <f t="shared" si="45"/>
        <v>1731.3237999999999</v>
      </c>
      <c r="I255" s="108">
        <f t="shared" si="46"/>
        <v>1149.9118000000001</v>
      </c>
      <c r="J255" s="108">
        <f t="shared" si="47"/>
        <v>1296.0782999999999</v>
      </c>
      <c r="K255" s="108">
        <f t="shared" si="48"/>
        <v>3535.8029000000001</v>
      </c>
      <c r="L255" s="108">
        <f t="shared" si="49"/>
        <v>1766.6806999999999</v>
      </c>
      <c r="M255" s="77"/>
    </row>
    <row r="256" spans="1:13" ht="15" customHeight="1">
      <c r="A256" s="13" t="str">
        <f t="shared" si="38"/>
        <v>Thursday</v>
      </c>
      <c r="B256" s="28">
        <f t="shared" si="39"/>
        <v>46331</v>
      </c>
      <c r="C256" s="108">
        <f t="shared" si="40"/>
        <v>3017.2939999999999</v>
      </c>
      <c r="D256" s="108">
        <f t="shared" si="41"/>
        <v>1843.4839999999999</v>
      </c>
      <c r="E256" s="108">
        <f t="shared" si="42"/>
        <v>3549.8670000000002</v>
      </c>
      <c r="F256" s="108">
        <f t="shared" si="43"/>
        <v>2262.5971</v>
      </c>
      <c r="G256" s="108">
        <f t="shared" si="44"/>
        <v>947.01390000000004</v>
      </c>
      <c r="H256" s="108">
        <f t="shared" si="45"/>
        <v>1731.3327999999999</v>
      </c>
      <c r="I256" s="108">
        <f t="shared" si="46"/>
        <v>1149.9196999999999</v>
      </c>
      <c r="J256" s="108">
        <f t="shared" si="47"/>
        <v>1296.1315999999999</v>
      </c>
      <c r="K256" s="108">
        <f t="shared" si="48"/>
        <v>3535.8029000000001</v>
      </c>
      <c r="L256" s="108">
        <f t="shared" si="49"/>
        <v>1766.6928</v>
      </c>
      <c r="M256" s="77"/>
    </row>
    <row r="257" spans="1:13" ht="15" customHeight="1">
      <c r="A257" s="13" t="str">
        <f t="shared" si="38"/>
        <v>Friday</v>
      </c>
      <c r="B257" s="28">
        <f t="shared" si="39"/>
        <v>46332</v>
      </c>
      <c r="C257" s="108">
        <f t="shared" si="40"/>
        <v>3017.3114</v>
      </c>
      <c r="D257" s="108">
        <f t="shared" si="41"/>
        <v>1843.4940999999999</v>
      </c>
      <c r="E257" s="108">
        <f t="shared" si="42"/>
        <v>3549.8912999999998</v>
      </c>
      <c r="F257" s="108">
        <f t="shared" si="43"/>
        <v>2262.6064000000001</v>
      </c>
      <c r="G257" s="108">
        <f t="shared" si="44"/>
        <v>947.0204</v>
      </c>
      <c r="H257" s="108">
        <f t="shared" si="45"/>
        <v>1731.3417999999999</v>
      </c>
      <c r="I257" s="108">
        <f t="shared" si="46"/>
        <v>1149.9276</v>
      </c>
      <c r="J257" s="108">
        <f t="shared" si="47"/>
        <v>1296.1849</v>
      </c>
      <c r="K257" s="108">
        <f t="shared" si="48"/>
        <v>3535.8029000000001</v>
      </c>
      <c r="L257" s="108">
        <f t="shared" si="49"/>
        <v>1766.7049</v>
      </c>
      <c r="M257" s="77"/>
    </row>
    <row r="258" spans="1:13" ht="15" customHeight="1">
      <c r="A258" s="13" t="str">
        <f t="shared" si="38"/>
        <v>Saturday</v>
      </c>
      <c r="B258" s="28">
        <f t="shared" si="39"/>
        <v>46333</v>
      </c>
      <c r="C258" s="108">
        <f t="shared" si="40"/>
        <v>3017.3287999999998</v>
      </c>
      <c r="D258" s="108">
        <f t="shared" si="41"/>
        <v>1843.5042000000001</v>
      </c>
      <c r="E258" s="108">
        <f t="shared" si="42"/>
        <v>3549.9155999999998</v>
      </c>
      <c r="F258" s="108">
        <f t="shared" si="43"/>
        <v>2262.6156999999998</v>
      </c>
      <c r="G258" s="108">
        <f t="shared" si="44"/>
        <v>947.02689999999996</v>
      </c>
      <c r="H258" s="108">
        <f t="shared" si="45"/>
        <v>1731.3507999999999</v>
      </c>
      <c r="I258" s="108">
        <f t="shared" si="46"/>
        <v>1149.9355</v>
      </c>
      <c r="J258" s="108">
        <f t="shared" si="47"/>
        <v>1296.2382</v>
      </c>
      <c r="K258" s="108">
        <f t="shared" si="48"/>
        <v>3535.8029000000001</v>
      </c>
      <c r="L258" s="108">
        <f t="shared" si="49"/>
        <v>1766.7170000000001</v>
      </c>
      <c r="M258" s="77"/>
    </row>
    <row r="259" spans="1:13" ht="15" customHeight="1">
      <c r="A259" s="13" t="str">
        <f t="shared" si="38"/>
        <v>Sunday</v>
      </c>
      <c r="B259" s="28">
        <f t="shared" si="39"/>
        <v>46334</v>
      </c>
      <c r="C259" s="108">
        <f t="shared" si="40"/>
        <v>3017.3462</v>
      </c>
      <c r="D259" s="108">
        <f t="shared" si="41"/>
        <v>1843.5143</v>
      </c>
      <c r="E259" s="108">
        <f t="shared" si="42"/>
        <v>3549.9398999999999</v>
      </c>
      <c r="F259" s="108">
        <f t="shared" si="43"/>
        <v>2262.625</v>
      </c>
      <c r="G259" s="108">
        <f t="shared" si="44"/>
        <v>947.03340000000003</v>
      </c>
      <c r="H259" s="108">
        <f t="shared" si="45"/>
        <v>1731.3598</v>
      </c>
      <c r="I259" s="108">
        <f t="shared" si="46"/>
        <v>1149.9434000000001</v>
      </c>
      <c r="J259" s="108">
        <f t="shared" si="47"/>
        <v>1296.2915</v>
      </c>
      <c r="K259" s="108">
        <f t="shared" si="48"/>
        <v>3535.8029000000001</v>
      </c>
      <c r="L259" s="108">
        <f t="shared" si="49"/>
        <v>1766.7291</v>
      </c>
      <c r="M259" s="77"/>
    </row>
    <row r="260" spans="1:13" ht="15" customHeight="1">
      <c r="A260" s="13" t="str">
        <f t="shared" si="38"/>
        <v>Monday</v>
      </c>
      <c r="B260" s="28">
        <f t="shared" si="39"/>
        <v>46335</v>
      </c>
      <c r="C260" s="108">
        <f t="shared" si="40"/>
        <v>3017.3636000000001</v>
      </c>
      <c r="D260" s="108">
        <f t="shared" si="41"/>
        <v>1843.5244</v>
      </c>
      <c r="E260" s="108">
        <f t="shared" si="42"/>
        <v>3549.9641999999999</v>
      </c>
      <c r="F260" s="108">
        <f t="shared" si="43"/>
        <v>2262.6343000000002</v>
      </c>
      <c r="G260" s="108">
        <f t="shared" si="44"/>
        <v>947.03989999999999</v>
      </c>
      <c r="H260" s="108">
        <f t="shared" si="45"/>
        <v>1731.3688</v>
      </c>
      <c r="I260" s="108">
        <f t="shared" si="46"/>
        <v>1149.9512999999999</v>
      </c>
      <c r="J260" s="108">
        <f t="shared" si="47"/>
        <v>1296.3448000000001</v>
      </c>
      <c r="K260" s="108">
        <f t="shared" si="48"/>
        <v>3535.8029000000001</v>
      </c>
      <c r="L260" s="108">
        <f t="shared" si="49"/>
        <v>1766.7411999999999</v>
      </c>
      <c r="M260" s="77"/>
    </row>
    <row r="261" spans="1:13" ht="15" customHeight="1">
      <c r="A261" s="13" t="str">
        <f t="shared" si="38"/>
        <v>Tuesday</v>
      </c>
      <c r="B261" s="28">
        <f t="shared" si="39"/>
        <v>46336</v>
      </c>
      <c r="C261" s="108">
        <f t="shared" si="40"/>
        <v>3017.3809999999999</v>
      </c>
      <c r="D261" s="108">
        <f t="shared" si="41"/>
        <v>1843.5345</v>
      </c>
      <c r="E261" s="108">
        <f t="shared" si="42"/>
        <v>3549.9884999999999</v>
      </c>
      <c r="F261" s="108">
        <f t="shared" si="43"/>
        <v>2262.6435999999999</v>
      </c>
      <c r="G261" s="108">
        <f t="shared" si="44"/>
        <v>947.04639999999995</v>
      </c>
      <c r="H261" s="108">
        <f t="shared" si="45"/>
        <v>1731.3778</v>
      </c>
      <c r="I261" s="108">
        <f t="shared" si="46"/>
        <v>1149.9592</v>
      </c>
      <c r="J261" s="108">
        <f t="shared" si="47"/>
        <v>1296.3981000000001</v>
      </c>
      <c r="K261" s="108">
        <f t="shared" si="48"/>
        <v>3535.8029000000001</v>
      </c>
      <c r="L261" s="108">
        <f t="shared" si="49"/>
        <v>1766.7533000000001</v>
      </c>
      <c r="M261" s="77"/>
    </row>
    <row r="262" spans="1:13" ht="15" customHeight="1">
      <c r="A262" s="13" t="str">
        <f t="shared" si="38"/>
        <v>Wednesday</v>
      </c>
      <c r="B262" s="28">
        <f t="shared" si="39"/>
        <v>46337</v>
      </c>
      <c r="C262" s="108">
        <f t="shared" si="40"/>
        <v>3017.3984</v>
      </c>
      <c r="D262" s="108">
        <f t="shared" si="41"/>
        <v>1843.5445999999999</v>
      </c>
      <c r="E262" s="108">
        <f t="shared" si="42"/>
        <v>3550.0128</v>
      </c>
      <c r="F262" s="108">
        <f t="shared" si="43"/>
        <v>2262.6529</v>
      </c>
      <c r="G262" s="108">
        <f t="shared" si="44"/>
        <v>947.05290000000002</v>
      </c>
      <c r="H262" s="108">
        <f t="shared" si="45"/>
        <v>1731.3868</v>
      </c>
      <c r="I262" s="108">
        <f t="shared" si="46"/>
        <v>1149.9671000000001</v>
      </c>
      <c r="J262" s="108">
        <f t="shared" si="47"/>
        <v>1296.4513999999999</v>
      </c>
      <c r="K262" s="108">
        <f t="shared" si="48"/>
        <v>3535.8029000000001</v>
      </c>
      <c r="L262" s="108">
        <f t="shared" si="49"/>
        <v>1766.7654</v>
      </c>
      <c r="M262" s="77"/>
    </row>
    <row r="263" spans="1:13" ht="15" customHeight="1">
      <c r="A263" s="13" t="str">
        <f t="shared" si="38"/>
        <v>Thursday</v>
      </c>
      <c r="B263" s="28">
        <f t="shared" si="39"/>
        <v>46338</v>
      </c>
      <c r="C263" s="108">
        <f t="shared" si="40"/>
        <v>3017.4158000000002</v>
      </c>
      <c r="D263" s="108">
        <f t="shared" si="41"/>
        <v>1843.5546999999999</v>
      </c>
      <c r="E263" s="108">
        <f t="shared" si="42"/>
        <v>3550.0371</v>
      </c>
      <c r="F263" s="108">
        <f t="shared" si="43"/>
        <v>2262.6622000000002</v>
      </c>
      <c r="G263" s="108">
        <f t="shared" si="44"/>
        <v>947.05939999999998</v>
      </c>
      <c r="H263" s="108">
        <f t="shared" si="45"/>
        <v>1731.3958</v>
      </c>
      <c r="I263" s="108">
        <f t="shared" si="46"/>
        <v>1149.9749999999999</v>
      </c>
      <c r="J263" s="108">
        <f t="shared" si="47"/>
        <v>1296.5047</v>
      </c>
      <c r="K263" s="108">
        <f t="shared" si="48"/>
        <v>3535.8029000000001</v>
      </c>
      <c r="L263" s="108">
        <f t="shared" si="49"/>
        <v>1766.7774999999999</v>
      </c>
      <c r="M263" s="77"/>
    </row>
    <row r="264" spans="1:13" ht="15" customHeight="1">
      <c r="A264" s="13" t="str">
        <f t="shared" ref="A264:A327" si="50">VLOOKUP(WEEKDAY(B264),$N$7:$O$13,2)</f>
        <v>Friday</v>
      </c>
      <c r="B264" s="28">
        <f t="shared" si="39"/>
        <v>46339</v>
      </c>
      <c r="C264" s="108">
        <f t="shared" si="40"/>
        <v>3017.4331999999999</v>
      </c>
      <c r="D264" s="108">
        <f t="shared" si="41"/>
        <v>1843.5648000000001</v>
      </c>
      <c r="E264" s="108">
        <f t="shared" si="42"/>
        <v>3550.0614</v>
      </c>
      <c r="F264" s="108">
        <f t="shared" si="43"/>
        <v>2262.6714999999999</v>
      </c>
      <c r="G264" s="108">
        <f t="shared" si="44"/>
        <v>947.06590000000006</v>
      </c>
      <c r="H264" s="108">
        <f t="shared" si="45"/>
        <v>1731.4048</v>
      </c>
      <c r="I264" s="108">
        <f t="shared" si="46"/>
        <v>1149.9829</v>
      </c>
      <c r="J264" s="108">
        <f t="shared" si="47"/>
        <v>1296.558</v>
      </c>
      <c r="K264" s="108">
        <f t="shared" si="48"/>
        <v>3535.8029000000001</v>
      </c>
      <c r="L264" s="108">
        <f t="shared" si="49"/>
        <v>1766.7896000000001</v>
      </c>
      <c r="M264" s="77"/>
    </row>
    <row r="265" spans="1:13" ht="15" customHeight="1">
      <c r="A265" s="13" t="str">
        <f t="shared" si="50"/>
        <v>Saturday</v>
      </c>
      <c r="B265" s="28">
        <f t="shared" ref="B265:B328" si="51">B264+1</f>
        <v>46340</v>
      </c>
      <c r="C265" s="108">
        <f t="shared" ref="C265:C328" si="52">ROUND(C264*(1+C$4),4)</f>
        <v>3017.4506000000001</v>
      </c>
      <c r="D265" s="108">
        <f t="shared" ref="D265:D328" si="53">ROUND(D264*(1+D$4),4)</f>
        <v>1843.5749000000001</v>
      </c>
      <c r="E265" s="108">
        <f t="shared" ref="E265:E328" si="54">ROUND(E264*(1+E$4),4)</f>
        <v>3550.0857000000001</v>
      </c>
      <c r="F265" s="108">
        <f t="shared" ref="F265:F328" si="55">ROUND(F264*(1+F$4),4)</f>
        <v>2262.6808000000001</v>
      </c>
      <c r="G265" s="108">
        <f t="shared" ref="G265:G328" si="56">ROUND(G264*(1+G$4),4)</f>
        <v>947.07240000000002</v>
      </c>
      <c r="H265" s="108">
        <f t="shared" ref="H265:H328" si="57">ROUND(H264*(1+H$4),4)</f>
        <v>1731.4138</v>
      </c>
      <c r="I265" s="108">
        <f t="shared" ref="I265:I328" si="58">ROUND(I264*(1+I$4),4)</f>
        <v>1149.9908</v>
      </c>
      <c r="J265" s="108">
        <f t="shared" ref="J265:J328" si="59">ROUND(J264*(1+J$4),4)</f>
        <v>1296.6113</v>
      </c>
      <c r="K265" s="108">
        <f t="shared" ref="K265:K328" si="60">ROUND(K264*(1+K$4),4)</f>
        <v>3535.8029000000001</v>
      </c>
      <c r="L265" s="108">
        <f t="shared" ref="L265:L328" si="61">ROUND(L264*(1+L$4),4)</f>
        <v>1766.8017</v>
      </c>
      <c r="M265" s="77"/>
    </row>
    <row r="266" spans="1:13" ht="15" customHeight="1">
      <c r="A266" s="13" t="str">
        <f t="shared" si="50"/>
        <v>Sunday</v>
      </c>
      <c r="B266" s="28">
        <f t="shared" si="51"/>
        <v>46341</v>
      </c>
      <c r="C266" s="108">
        <f t="shared" si="52"/>
        <v>3017.4679999999998</v>
      </c>
      <c r="D266" s="108">
        <f t="shared" si="53"/>
        <v>1843.585</v>
      </c>
      <c r="E266" s="108">
        <f t="shared" si="54"/>
        <v>3550.11</v>
      </c>
      <c r="F266" s="108">
        <f t="shared" si="55"/>
        <v>2262.6900999999998</v>
      </c>
      <c r="G266" s="108">
        <f t="shared" si="56"/>
        <v>947.07889999999998</v>
      </c>
      <c r="H266" s="108">
        <f t="shared" si="57"/>
        <v>1731.4228000000001</v>
      </c>
      <c r="I266" s="108">
        <f t="shared" si="58"/>
        <v>1149.9987000000001</v>
      </c>
      <c r="J266" s="108">
        <f t="shared" si="59"/>
        <v>1296.6646000000001</v>
      </c>
      <c r="K266" s="108">
        <f t="shared" si="60"/>
        <v>3535.8029000000001</v>
      </c>
      <c r="L266" s="108">
        <f t="shared" si="61"/>
        <v>1766.8137999999999</v>
      </c>
      <c r="M266" s="77"/>
    </row>
    <row r="267" spans="1:13" ht="15" customHeight="1">
      <c r="A267" s="13" t="str">
        <f t="shared" si="50"/>
        <v>Monday</v>
      </c>
      <c r="B267" s="28">
        <f t="shared" si="51"/>
        <v>46342</v>
      </c>
      <c r="C267" s="108">
        <f t="shared" si="52"/>
        <v>3017.4854</v>
      </c>
      <c r="D267" s="108">
        <f t="shared" si="53"/>
        <v>1843.5951</v>
      </c>
      <c r="E267" s="108">
        <f t="shared" si="54"/>
        <v>3550.1343000000002</v>
      </c>
      <c r="F267" s="108">
        <f t="shared" si="55"/>
        <v>2262.6994</v>
      </c>
      <c r="G267" s="108">
        <f t="shared" si="56"/>
        <v>947.08540000000005</v>
      </c>
      <c r="H267" s="108">
        <f t="shared" si="57"/>
        <v>1731.4318000000001</v>
      </c>
      <c r="I267" s="108">
        <f t="shared" si="58"/>
        <v>1150.0065999999999</v>
      </c>
      <c r="J267" s="108">
        <f t="shared" si="59"/>
        <v>1296.7179000000001</v>
      </c>
      <c r="K267" s="108">
        <f t="shared" si="60"/>
        <v>3535.8029000000001</v>
      </c>
      <c r="L267" s="108">
        <f t="shared" si="61"/>
        <v>1766.8259</v>
      </c>
      <c r="M267" s="77"/>
    </row>
    <row r="268" spans="1:13" ht="15" customHeight="1">
      <c r="A268" s="13" t="str">
        <f t="shared" si="50"/>
        <v>Tuesday</v>
      </c>
      <c r="B268" s="28">
        <f t="shared" si="51"/>
        <v>46343</v>
      </c>
      <c r="C268" s="108">
        <f t="shared" si="52"/>
        <v>3017.5028000000002</v>
      </c>
      <c r="D268" s="108">
        <f t="shared" si="53"/>
        <v>1843.6052</v>
      </c>
      <c r="E268" s="108">
        <f t="shared" si="54"/>
        <v>3550.1586000000002</v>
      </c>
      <c r="F268" s="108">
        <f t="shared" si="55"/>
        <v>2262.7087000000001</v>
      </c>
      <c r="G268" s="108">
        <f t="shared" si="56"/>
        <v>947.09190000000001</v>
      </c>
      <c r="H268" s="108">
        <f t="shared" si="57"/>
        <v>1731.4408000000001</v>
      </c>
      <c r="I268" s="108">
        <f t="shared" si="58"/>
        <v>1150.0145</v>
      </c>
      <c r="J268" s="108">
        <f t="shared" si="59"/>
        <v>1296.7711999999999</v>
      </c>
      <c r="K268" s="108">
        <f t="shared" si="60"/>
        <v>3535.8029000000001</v>
      </c>
      <c r="L268" s="108">
        <f t="shared" si="61"/>
        <v>1766.838</v>
      </c>
      <c r="M268" s="77"/>
    </row>
    <row r="269" spans="1:13" ht="15" customHeight="1">
      <c r="A269" s="13" t="str">
        <f t="shared" si="50"/>
        <v>Wednesday</v>
      </c>
      <c r="B269" s="28">
        <f t="shared" si="51"/>
        <v>46344</v>
      </c>
      <c r="C269" s="108">
        <f t="shared" si="52"/>
        <v>3017.5201999999999</v>
      </c>
      <c r="D269" s="108">
        <f t="shared" si="53"/>
        <v>1843.6152999999999</v>
      </c>
      <c r="E269" s="108">
        <f t="shared" si="54"/>
        <v>3550.1828999999998</v>
      </c>
      <c r="F269" s="108">
        <f t="shared" si="55"/>
        <v>2262.7179999999998</v>
      </c>
      <c r="G269" s="108">
        <f t="shared" si="56"/>
        <v>947.09839999999997</v>
      </c>
      <c r="H269" s="108">
        <f t="shared" si="57"/>
        <v>1731.4498000000001</v>
      </c>
      <c r="I269" s="108">
        <f t="shared" si="58"/>
        <v>1150.0224000000001</v>
      </c>
      <c r="J269" s="108">
        <f t="shared" si="59"/>
        <v>1296.8244999999999</v>
      </c>
      <c r="K269" s="108">
        <f t="shared" si="60"/>
        <v>3535.8029000000001</v>
      </c>
      <c r="L269" s="108">
        <f t="shared" si="61"/>
        <v>1766.8501000000001</v>
      </c>
      <c r="M269" s="77"/>
    </row>
    <row r="270" spans="1:13" ht="15" customHeight="1">
      <c r="A270" s="13" t="str">
        <f t="shared" si="50"/>
        <v>Thursday</v>
      </c>
      <c r="B270" s="28">
        <f t="shared" si="51"/>
        <v>46345</v>
      </c>
      <c r="C270" s="108">
        <f t="shared" si="52"/>
        <v>3017.5376000000001</v>
      </c>
      <c r="D270" s="108">
        <f t="shared" si="53"/>
        <v>1843.6253999999999</v>
      </c>
      <c r="E270" s="108">
        <f t="shared" si="54"/>
        <v>3550.2071999999998</v>
      </c>
      <c r="F270" s="108">
        <f t="shared" si="55"/>
        <v>2262.7273</v>
      </c>
      <c r="G270" s="108">
        <f t="shared" si="56"/>
        <v>947.10490000000004</v>
      </c>
      <c r="H270" s="108">
        <f t="shared" si="57"/>
        <v>1731.4588000000001</v>
      </c>
      <c r="I270" s="108">
        <f t="shared" si="58"/>
        <v>1150.0302999999999</v>
      </c>
      <c r="J270" s="108">
        <f t="shared" si="59"/>
        <v>1296.8778</v>
      </c>
      <c r="K270" s="108">
        <f t="shared" si="60"/>
        <v>3535.8029000000001</v>
      </c>
      <c r="L270" s="108">
        <f t="shared" si="61"/>
        <v>1766.8622</v>
      </c>
      <c r="M270" s="77"/>
    </row>
    <row r="271" spans="1:13" ht="15" customHeight="1">
      <c r="A271" s="13" t="str">
        <f t="shared" si="50"/>
        <v>Friday</v>
      </c>
      <c r="B271" s="28">
        <f t="shared" si="51"/>
        <v>46346</v>
      </c>
      <c r="C271" s="108">
        <f t="shared" si="52"/>
        <v>3017.5549999999998</v>
      </c>
      <c r="D271" s="108">
        <f t="shared" si="53"/>
        <v>1843.6355000000001</v>
      </c>
      <c r="E271" s="108">
        <f t="shared" si="54"/>
        <v>3550.2314999999999</v>
      </c>
      <c r="F271" s="108">
        <f t="shared" si="55"/>
        <v>2262.7366000000002</v>
      </c>
      <c r="G271" s="108">
        <f t="shared" si="56"/>
        <v>947.1114</v>
      </c>
      <c r="H271" s="108">
        <f t="shared" si="57"/>
        <v>1731.4677999999999</v>
      </c>
      <c r="I271" s="108">
        <f t="shared" si="58"/>
        <v>1150.0382</v>
      </c>
      <c r="J271" s="108">
        <f t="shared" si="59"/>
        <v>1296.9311</v>
      </c>
      <c r="K271" s="108">
        <f t="shared" si="60"/>
        <v>3535.8029000000001</v>
      </c>
      <c r="L271" s="108">
        <f t="shared" si="61"/>
        <v>1766.8742999999999</v>
      </c>
      <c r="M271" s="77"/>
    </row>
    <row r="272" spans="1:13" ht="15" customHeight="1">
      <c r="A272" s="13" t="str">
        <f t="shared" si="50"/>
        <v>Saturday</v>
      </c>
      <c r="B272" s="28">
        <f t="shared" si="51"/>
        <v>46347</v>
      </c>
      <c r="C272" s="108">
        <f t="shared" si="52"/>
        <v>3017.5724</v>
      </c>
      <c r="D272" s="108">
        <f t="shared" si="53"/>
        <v>1843.6456000000001</v>
      </c>
      <c r="E272" s="108">
        <f t="shared" si="54"/>
        <v>3550.2557999999999</v>
      </c>
      <c r="F272" s="108">
        <f t="shared" si="55"/>
        <v>2262.7458999999999</v>
      </c>
      <c r="G272" s="108">
        <f t="shared" si="56"/>
        <v>947.11789999999996</v>
      </c>
      <c r="H272" s="108">
        <f t="shared" si="57"/>
        <v>1731.4767999999999</v>
      </c>
      <c r="I272" s="108">
        <f t="shared" si="58"/>
        <v>1150.0461</v>
      </c>
      <c r="J272" s="108">
        <f t="shared" si="59"/>
        <v>1296.9844000000001</v>
      </c>
      <c r="K272" s="108">
        <f t="shared" si="60"/>
        <v>3535.8029000000001</v>
      </c>
      <c r="L272" s="108">
        <f t="shared" si="61"/>
        <v>1766.8864000000001</v>
      </c>
      <c r="M272" s="77"/>
    </row>
    <row r="273" spans="1:13" ht="15" customHeight="1">
      <c r="A273" s="13" t="str">
        <f t="shared" si="50"/>
        <v>Sunday</v>
      </c>
      <c r="B273" s="28">
        <f t="shared" si="51"/>
        <v>46348</v>
      </c>
      <c r="C273" s="108">
        <f t="shared" si="52"/>
        <v>3017.5898000000002</v>
      </c>
      <c r="D273" s="108">
        <f t="shared" si="53"/>
        <v>1843.6557</v>
      </c>
      <c r="E273" s="108">
        <f t="shared" si="54"/>
        <v>3550.2800999999999</v>
      </c>
      <c r="F273" s="108">
        <f t="shared" si="55"/>
        <v>2262.7552000000001</v>
      </c>
      <c r="G273" s="108">
        <f t="shared" si="56"/>
        <v>947.12440000000004</v>
      </c>
      <c r="H273" s="108">
        <f t="shared" si="57"/>
        <v>1731.4857999999999</v>
      </c>
      <c r="I273" s="108">
        <f t="shared" si="58"/>
        <v>1150.0540000000001</v>
      </c>
      <c r="J273" s="108">
        <f t="shared" si="59"/>
        <v>1297.0377000000001</v>
      </c>
      <c r="K273" s="108">
        <f t="shared" si="60"/>
        <v>3535.8029000000001</v>
      </c>
      <c r="L273" s="108">
        <f t="shared" si="61"/>
        <v>1766.8985</v>
      </c>
      <c r="M273" s="77"/>
    </row>
    <row r="274" spans="1:13" ht="15" customHeight="1">
      <c r="A274" s="13" t="str">
        <f t="shared" si="50"/>
        <v>Monday</v>
      </c>
      <c r="B274" s="28">
        <f t="shared" si="51"/>
        <v>46349</v>
      </c>
      <c r="C274" s="108">
        <f t="shared" si="52"/>
        <v>3017.6071999999999</v>
      </c>
      <c r="D274" s="108">
        <f t="shared" si="53"/>
        <v>1843.6658</v>
      </c>
      <c r="E274" s="108">
        <f t="shared" si="54"/>
        <v>3550.3044</v>
      </c>
      <c r="F274" s="108">
        <f t="shared" si="55"/>
        <v>2262.7645000000002</v>
      </c>
      <c r="G274" s="108">
        <f t="shared" si="56"/>
        <v>947.1309</v>
      </c>
      <c r="H274" s="108">
        <f t="shared" si="57"/>
        <v>1731.4947999999999</v>
      </c>
      <c r="I274" s="108">
        <f t="shared" si="58"/>
        <v>1150.0618999999999</v>
      </c>
      <c r="J274" s="108">
        <f t="shared" si="59"/>
        <v>1297.0909999999999</v>
      </c>
      <c r="K274" s="108">
        <f t="shared" si="60"/>
        <v>3535.8029000000001</v>
      </c>
      <c r="L274" s="108">
        <f t="shared" si="61"/>
        <v>1766.9105999999999</v>
      </c>
      <c r="M274" s="77"/>
    </row>
    <row r="275" spans="1:13" ht="15" customHeight="1">
      <c r="A275" s="13" t="str">
        <f t="shared" si="50"/>
        <v>Tuesday</v>
      </c>
      <c r="B275" s="28">
        <f t="shared" si="51"/>
        <v>46350</v>
      </c>
      <c r="C275" s="108">
        <f t="shared" si="52"/>
        <v>3017.6246000000001</v>
      </c>
      <c r="D275" s="108">
        <f t="shared" si="53"/>
        <v>1843.6759</v>
      </c>
      <c r="E275" s="108">
        <f t="shared" si="54"/>
        <v>3550.3287</v>
      </c>
      <c r="F275" s="108">
        <f t="shared" si="55"/>
        <v>2262.7737999999999</v>
      </c>
      <c r="G275" s="108">
        <f t="shared" si="56"/>
        <v>947.13739999999996</v>
      </c>
      <c r="H275" s="108">
        <f t="shared" si="57"/>
        <v>1731.5038</v>
      </c>
      <c r="I275" s="108">
        <f t="shared" si="58"/>
        <v>1150.0698</v>
      </c>
      <c r="J275" s="108">
        <f t="shared" si="59"/>
        <v>1297.1442999999999</v>
      </c>
      <c r="K275" s="108">
        <f t="shared" si="60"/>
        <v>3535.8029000000001</v>
      </c>
      <c r="L275" s="108">
        <f t="shared" si="61"/>
        <v>1766.9227000000001</v>
      </c>
      <c r="M275" s="77"/>
    </row>
    <row r="276" spans="1:13" ht="15" customHeight="1">
      <c r="A276" s="13" t="str">
        <f t="shared" si="50"/>
        <v>Wednesday</v>
      </c>
      <c r="B276" s="28">
        <f t="shared" si="51"/>
        <v>46351</v>
      </c>
      <c r="C276" s="108">
        <f t="shared" si="52"/>
        <v>3017.6419999999998</v>
      </c>
      <c r="D276" s="108">
        <f t="shared" si="53"/>
        <v>1843.6859999999999</v>
      </c>
      <c r="E276" s="108">
        <f t="shared" si="54"/>
        <v>3550.3530000000001</v>
      </c>
      <c r="F276" s="108">
        <f t="shared" si="55"/>
        <v>2262.7831000000001</v>
      </c>
      <c r="G276" s="108">
        <f t="shared" si="56"/>
        <v>947.14390000000003</v>
      </c>
      <c r="H276" s="108">
        <f t="shared" si="57"/>
        <v>1731.5128</v>
      </c>
      <c r="I276" s="108">
        <f t="shared" si="58"/>
        <v>1150.0777</v>
      </c>
      <c r="J276" s="108">
        <f t="shared" si="59"/>
        <v>1297.1976</v>
      </c>
      <c r="K276" s="108">
        <f t="shared" si="60"/>
        <v>3535.8029000000001</v>
      </c>
      <c r="L276" s="108">
        <f t="shared" si="61"/>
        <v>1766.9348</v>
      </c>
      <c r="M276" s="77"/>
    </row>
    <row r="277" spans="1:13" ht="15" customHeight="1">
      <c r="A277" s="13" t="str">
        <f t="shared" si="50"/>
        <v>Thursday</v>
      </c>
      <c r="B277" s="28">
        <f t="shared" si="51"/>
        <v>46352</v>
      </c>
      <c r="C277" s="108">
        <f t="shared" si="52"/>
        <v>3017.6594</v>
      </c>
      <c r="D277" s="108">
        <f t="shared" si="53"/>
        <v>1843.6960999999999</v>
      </c>
      <c r="E277" s="108">
        <f t="shared" si="54"/>
        <v>3550.3773000000001</v>
      </c>
      <c r="F277" s="108">
        <f t="shared" si="55"/>
        <v>2262.7923999999998</v>
      </c>
      <c r="G277" s="108">
        <f t="shared" si="56"/>
        <v>947.15039999999999</v>
      </c>
      <c r="H277" s="108">
        <f t="shared" si="57"/>
        <v>1731.5218</v>
      </c>
      <c r="I277" s="108">
        <f t="shared" si="58"/>
        <v>1150.0856000000001</v>
      </c>
      <c r="J277" s="108">
        <f t="shared" si="59"/>
        <v>1297.2509</v>
      </c>
      <c r="K277" s="108">
        <f t="shared" si="60"/>
        <v>3535.8029000000001</v>
      </c>
      <c r="L277" s="108">
        <f t="shared" si="61"/>
        <v>1766.9468999999999</v>
      </c>
      <c r="M277" s="77"/>
    </row>
    <row r="278" spans="1:13" ht="15" customHeight="1">
      <c r="A278" s="13" t="str">
        <f t="shared" si="50"/>
        <v>Friday</v>
      </c>
      <c r="B278" s="28">
        <f t="shared" si="51"/>
        <v>46353</v>
      </c>
      <c r="C278" s="108">
        <f t="shared" si="52"/>
        <v>3017.6768000000002</v>
      </c>
      <c r="D278" s="108">
        <f t="shared" si="53"/>
        <v>1843.7062000000001</v>
      </c>
      <c r="E278" s="108">
        <f t="shared" si="54"/>
        <v>3550.4016000000001</v>
      </c>
      <c r="F278" s="108">
        <f t="shared" si="55"/>
        <v>2262.8017</v>
      </c>
      <c r="G278" s="108">
        <f t="shared" si="56"/>
        <v>947.15689999999995</v>
      </c>
      <c r="H278" s="108">
        <f t="shared" si="57"/>
        <v>1731.5308</v>
      </c>
      <c r="I278" s="108">
        <f t="shared" si="58"/>
        <v>1150.0934999999999</v>
      </c>
      <c r="J278" s="108">
        <f t="shared" si="59"/>
        <v>1297.3042</v>
      </c>
      <c r="K278" s="108">
        <f t="shared" si="60"/>
        <v>3535.8029000000001</v>
      </c>
      <c r="L278" s="108">
        <f t="shared" si="61"/>
        <v>1766.9590000000001</v>
      </c>
      <c r="M278" s="77"/>
    </row>
    <row r="279" spans="1:13" ht="15" customHeight="1">
      <c r="A279" s="13" t="str">
        <f t="shared" si="50"/>
        <v>Saturday</v>
      </c>
      <c r="B279" s="28">
        <f t="shared" si="51"/>
        <v>46354</v>
      </c>
      <c r="C279" s="108">
        <f t="shared" si="52"/>
        <v>3017.6941999999999</v>
      </c>
      <c r="D279" s="108">
        <f t="shared" si="53"/>
        <v>1843.7163</v>
      </c>
      <c r="E279" s="108">
        <f t="shared" si="54"/>
        <v>3550.4259000000002</v>
      </c>
      <c r="F279" s="108">
        <f t="shared" si="55"/>
        <v>2262.8110000000001</v>
      </c>
      <c r="G279" s="108">
        <f t="shared" si="56"/>
        <v>947.16340000000002</v>
      </c>
      <c r="H279" s="108">
        <f t="shared" si="57"/>
        <v>1731.5398</v>
      </c>
      <c r="I279" s="108">
        <f t="shared" si="58"/>
        <v>1150.1014</v>
      </c>
      <c r="J279" s="108">
        <f t="shared" si="59"/>
        <v>1297.3575000000001</v>
      </c>
      <c r="K279" s="108">
        <f t="shared" si="60"/>
        <v>3535.8029000000001</v>
      </c>
      <c r="L279" s="108">
        <f t="shared" si="61"/>
        <v>1766.9711</v>
      </c>
      <c r="M279" s="77"/>
    </row>
    <row r="280" spans="1:13" ht="15" customHeight="1">
      <c r="A280" s="13" t="str">
        <f t="shared" si="50"/>
        <v>Sunday</v>
      </c>
      <c r="B280" s="28">
        <f t="shared" si="51"/>
        <v>46355</v>
      </c>
      <c r="C280" s="108">
        <f t="shared" si="52"/>
        <v>3017.7116000000001</v>
      </c>
      <c r="D280" s="108">
        <f t="shared" si="53"/>
        <v>1843.7264</v>
      </c>
      <c r="E280" s="108">
        <f t="shared" si="54"/>
        <v>3550.4502000000002</v>
      </c>
      <c r="F280" s="108">
        <f t="shared" si="55"/>
        <v>2262.8202999999999</v>
      </c>
      <c r="G280" s="108">
        <f t="shared" si="56"/>
        <v>947.16989999999998</v>
      </c>
      <c r="H280" s="108">
        <f t="shared" si="57"/>
        <v>1731.5488</v>
      </c>
      <c r="I280" s="108">
        <f t="shared" si="58"/>
        <v>1150.1093000000001</v>
      </c>
      <c r="J280" s="108">
        <f t="shared" si="59"/>
        <v>1297.4108000000001</v>
      </c>
      <c r="K280" s="108">
        <f t="shared" si="60"/>
        <v>3535.8029000000001</v>
      </c>
      <c r="L280" s="108">
        <f t="shared" si="61"/>
        <v>1766.9831999999999</v>
      </c>
      <c r="M280" s="77"/>
    </row>
    <row r="281" spans="1:13" ht="15" customHeight="1">
      <c r="A281" s="13" t="str">
        <f t="shared" si="50"/>
        <v>Monday</v>
      </c>
      <c r="B281" s="28">
        <f t="shared" si="51"/>
        <v>46356</v>
      </c>
      <c r="C281" s="108">
        <f t="shared" si="52"/>
        <v>3017.7289999999998</v>
      </c>
      <c r="D281" s="108">
        <f t="shared" si="53"/>
        <v>1843.7365</v>
      </c>
      <c r="E281" s="108">
        <f t="shared" si="54"/>
        <v>3550.4744999999998</v>
      </c>
      <c r="F281" s="108">
        <f t="shared" si="55"/>
        <v>2262.8296</v>
      </c>
      <c r="G281" s="108">
        <f t="shared" si="56"/>
        <v>947.17639999999994</v>
      </c>
      <c r="H281" s="108">
        <f t="shared" si="57"/>
        <v>1731.5578</v>
      </c>
      <c r="I281" s="108">
        <f t="shared" si="58"/>
        <v>1150.1171999999999</v>
      </c>
      <c r="J281" s="108">
        <f t="shared" si="59"/>
        <v>1297.4640999999999</v>
      </c>
      <c r="K281" s="108">
        <f t="shared" si="60"/>
        <v>3535.8029000000001</v>
      </c>
      <c r="L281" s="108">
        <f t="shared" si="61"/>
        <v>1766.9953</v>
      </c>
      <c r="M281" s="77"/>
    </row>
    <row r="282" spans="1:13" ht="15" customHeight="1">
      <c r="A282" s="13" t="str">
        <f t="shared" si="50"/>
        <v>Tuesday</v>
      </c>
      <c r="B282" s="28">
        <f t="shared" si="51"/>
        <v>46357</v>
      </c>
      <c r="C282" s="108">
        <f t="shared" si="52"/>
        <v>3017.7464</v>
      </c>
      <c r="D282" s="108">
        <f t="shared" si="53"/>
        <v>1843.7465999999999</v>
      </c>
      <c r="E282" s="108">
        <f t="shared" si="54"/>
        <v>3550.4987999999998</v>
      </c>
      <c r="F282" s="108">
        <f t="shared" si="55"/>
        <v>2262.8389000000002</v>
      </c>
      <c r="G282" s="108">
        <f t="shared" si="56"/>
        <v>947.18290000000002</v>
      </c>
      <c r="H282" s="108">
        <f t="shared" si="57"/>
        <v>1731.5668000000001</v>
      </c>
      <c r="I282" s="108">
        <f t="shared" si="58"/>
        <v>1150.1251</v>
      </c>
      <c r="J282" s="108">
        <f t="shared" si="59"/>
        <v>1297.5174</v>
      </c>
      <c r="K282" s="108">
        <f t="shared" si="60"/>
        <v>3535.8029000000001</v>
      </c>
      <c r="L282" s="108">
        <f t="shared" si="61"/>
        <v>1767.0074</v>
      </c>
      <c r="M282" s="77"/>
    </row>
    <row r="283" spans="1:13" ht="15" customHeight="1">
      <c r="A283" s="13" t="str">
        <f t="shared" si="50"/>
        <v>Wednesday</v>
      </c>
      <c r="B283" s="28">
        <f t="shared" si="51"/>
        <v>46358</v>
      </c>
      <c r="C283" s="108">
        <f t="shared" si="52"/>
        <v>3017.7638000000002</v>
      </c>
      <c r="D283" s="108">
        <f t="shared" si="53"/>
        <v>1843.7566999999999</v>
      </c>
      <c r="E283" s="108">
        <f t="shared" si="54"/>
        <v>3550.5230999999999</v>
      </c>
      <c r="F283" s="108">
        <f t="shared" si="55"/>
        <v>2262.8481999999999</v>
      </c>
      <c r="G283" s="108">
        <f t="shared" si="56"/>
        <v>947.18939999999998</v>
      </c>
      <c r="H283" s="108">
        <f t="shared" si="57"/>
        <v>1731.5758000000001</v>
      </c>
      <c r="I283" s="108">
        <f t="shared" si="58"/>
        <v>1150.133</v>
      </c>
      <c r="J283" s="108">
        <f t="shared" si="59"/>
        <v>1297.5707</v>
      </c>
      <c r="K283" s="108">
        <f t="shared" si="60"/>
        <v>3535.8029000000001</v>
      </c>
      <c r="L283" s="108">
        <f t="shared" si="61"/>
        <v>1767.0195000000001</v>
      </c>
      <c r="M283" s="77"/>
    </row>
    <row r="284" spans="1:13" ht="15" customHeight="1">
      <c r="A284" s="13" t="str">
        <f t="shared" si="50"/>
        <v>Thursday</v>
      </c>
      <c r="B284" s="28">
        <f t="shared" si="51"/>
        <v>46359</v>
      </c>
      <c r="C284" s="108">
        <f t="shared" si="52"/>
        <v>3017.7811999999999</v>
      </c>
      <c r="D284" s="108">
        <f t="shared" si="53"/>
        <v>1843.7668000000001</v>
      </c>
      <c r="E284" s="108">
        <f t="shared" si="54"/>
        <v>3550.5473999999999</v>
      </c>
      <c r="F284" s="108">
        <f t="shared" si="55"/>
        <v>2262.8575000000001</v>
      </c>
      <c r="G284" s="108">
        <f t="shared" si="56"/>
        <v>947.19590000000005</v>
      </c>
      <c r="H284" s="108">
        <f t="shared" si="57"/>
        <v>1731.5848000000001</v>
      </c>
      <c r="I284" s="108">
        <f t="shared" si="58"/>
        <v>1150.1409000000001</v>
      </c>
      <c r="J284" s="108">
        <f t="shared" si="59"/>
        <v>1297.624</v>
      </c>
      <c r="K284" s="108">
        <f t="shared" si="60"/>
        <v>3535.8029000000001</v>
      </c>
      <c r="L284" s="108">
        <f t="shared" si="61"/>
        <v>1767.0316</v>
      </c>
      <c r="M284" s="77"/>
    </row>
    <row r="285" spans="1:13" ht="15" customHeight="1">
      <c r="A285" s="13" t="str">
        <f t="shared" si="50"/>
        <v>Friday</v>
      </c>
      <c r="B285" s="28">
        <f t="shared" si="51"/>
        <v>46360</v>
      </c>
      <c r="C285" s="108">
        <f t="shared" si="52"/>
        <v>3017.7986000000001</v>
      </c>
      <c r="D285" s="108">
        <f t="shared" si="53"/>
        <v>1843.7769000000001</v>
      </c>
      <c r="E285" s="108">
        <f t="shared" si="54"/>
        <v>3550.5717</v>
      </c>
      <c r="F285" s="108">
        <f t="shared" si="55"/>
        <v>2262.8667999999998</v>
      </c>
      <c r="G285" s="108">
        <f t="shared" si="56"/>
        <v>947.20240000000001</v>
      </c>
      <c r="H285" s="108">
        <f t="shared" si="57"/>
        <v>1731.5938000000001</v>
      </c>
      <c r="I285" s="108">
        <f t="shared" si="58"/>
        <v>1150.1487999999999</v>
      </c>
      <c r="J285" s="108">
        <f t="shared" si="59"/>
        <v>1297.6773000000001</v>
      </c>
      <c r="K285" s="108">
        <f t="shared" si="60"/>
        <v>3535.8029000000001</v>
      </c>
      <c r="L285" s="108">
        <f t="shared" si="61"/>
        <v>1767.0436999999999</v>
      </c>
      <c r="M285" s="77"/>
    </row>
    <row r="286" spans="1:13" ht="15" customHeight="1">
      <c r="A286" s="13" t="str">
        <f t="shared" si="50"/>
        <v>Saturday</v>
      </c>
      <c r="B286" s="28">
        <f t="shared" si="51"/>
        <v>46361</v>
      </c>
      <c r="C286" s="108">
        <f t="shared" si="52"/>
        <v>3017.8159999999998</v>
      </c>
      <c r="D286" s="108">
        <f t="shared" si="53"/>
        <v>1843.787</v>
      </c>
      <c r="E286" s="108">
        <f t="shared" si="54"/>
        <v>3550.596</v>
      </c>
      <c r="F286" s="108">
        <f t="shared" si="55"/>
        <v>2262.8761</v>
      </c>
      <c r="G286" s="108">
        <f t="shared" si="56"/>
        <v>947.20889999999997</v>
      </c>
      <c r="H286" s="108">
        <f t="shared" si="57"/>
        <v>1731.6027999999999</v>
      </c>
      <c r="I286" s="108">
        <f t="shared" si="58"/>
        <v>1150.1567</v>
      </c>
      <c r="J286" s="108">
        <f t="shared" si="59"/>
        <v>1297.7306000000001</v>
      </c>
      <c r="K286" s="108">
        <f t="shared" si="60"/>
        <v>3535.8029000000001</v>
      </c>
      <c r="L286" s="108">
        <f t="shared" si="61"/>
        <v>1767.0558000000001</v>
      </c>
      <c r="M286" s="77"/>
    </row>
    <row r="287" spans="1:13" ht="15" customHeight="1">
      <c r="A287" s="13" t="str">
        <f t="shared" si="50"/>
        <v>Sunday</v>
      </c>
      <c r="B287" s="28">
        <f t="shared" si="51"/>
        <v>46362</v>
      </c>
      <c r="C287" s="108">
        <f t="shared" si="52"/>
        <v>3017.8334</v>
      </c>
      <c r="D287" s="108">
        <f t="shared" si="53"/>
        <v>1843.7971</v>
      </c>
      <c r="E287" s="108">
        <f t="shared" si="54"/>
        <v>3550.6203</v>
      </c>
      <c r="F287" s="108">
        <f t="shared" si="55"/>
        <v>2262.8854000000001</v>
      </c>
      <c r="G287" s="108">
        <f t="shared" si="56"/>
        <v>947.21540000000005</v>
      </c>
      <c r="H287" s="108">
        <f t="shared" si="57"/>
        <v>1731.6117999999999</v>
      </c>
      <c r="I287" s="108">
        <f t="shared" si="58"/>
        <v>1150.1646000000001</v>
      </c>
      <c r="J287" s="108">
        <f t="shared" si="59"/>
        <v>1297.7838999999999</v>
      </c>
      <c r="K287" s="108">
        <f t="shared" si="60"/>
        <v>3535.8029000000001</v>
      </c>
      <c r="L287" s="108">
        <f t="shared" si="61"/>
        <v>1767.0679</v>
      </c>
      <c r="M287" s="77"/>
    </row>
    <row r="288" spans="1:13" ht="15" customHeight="1">
      <c r="A288" s="13" t="str">
        <f t="shared" si="50"/>
        <v>Monday</v>
      </c>
      <c r="B288" s="28">
        <f t="shared" si="51"/>
        <v>46363</v>
      </c>
      <c r="C288" s="108">
        <f t="shared" si="52"/>
        <v>3017.8508000000002</v>
      </c>
      <c r="D288" s="108">
        <f t="shared" si="53"/>
        <v>1843.8072</v>
      </c>
      <c r="E288" s="108">
        <f t="shared" si="54"/>
        <v>3550.6446000000001</v>
      </c>
      <c r="F288" s="108">
        <f t="shared" si="55"/>
        <v>2262.8946999999998</v>
      </c>
      <c r="G288" s="108">
        <f t="shared" si="56"/>
        <v>947.22190000000001</v>
      </c>
      <c r="H288" s="108">
        <f t="shared" si="57"/>
        <v>1731.6207999999999</v>
      </c>
      <c r="I288" s="108">
        <f t="shared" si="58"/>
        <v>1150.1724999999999</v>
      </c>
      <c r="J288" s="108">
        <f t="shared" si="59"/>
        <v>1297.8371999999999</v>
      </c>
      <c r="K288" s="108">
        <f t="shared" si="60"/>
        <v>3535.8029000000001</v>
      </c>
      <c r="L288" s="108">
        <f t="shared" si="61"/>
        <v>1767.08</v>
      </c>
      <c r="M288" s="77"/>
    </row>
    <row r="289" spans="1:13" ht="15" customHeight="1">
      <c r="A289" s="13" t="str">
        <f t="shared" si="50"/>
        <v>Tuesday</v>
      </c>
      <c r="B289" s="28">
        <f t="shared" si="51"/>
        <v>46364</v>
      </c>
      <c r="C289" s="108">
        <f t="shared" si="52"/>
        <v>3017.8681999999999</v>
      </c>
      <c r="D289" s="108">
        <f t="shared" si="53"/>
        <v>1843.8172999999999</v>
      </c>
      <c r="E289" s="108">
        <f t="shared" si="54"/>
        <v>3550.6689000000001</v>
      </c>
      <c r="F289" s="108">
        <f t="shared" si="55"/>
        <v>2262.904</v>
      </c>
      <c r="G289" s="108">
        <f t="shared" si="56"/>
        <v>947.22839999999997</v>
      </c>
      <c r="H289" s="108">
        <f t="shared" si="57"/>
        <v>1731.6297999999999</v>
      </c>
      <c r="I289" s="108">
        <f t="shared" si="58"/>
        <v>1150.1804</v>
      </c>
      <c r="J289" s="108">
        <f t="shared" si="59"/>
        <v>1297.8905</v>
      </c>
      <c r="K289" s="108">
        <f t="shared" si="60"/>
        <v>3535.8029000000001</v>
      </c>
      <c r="L289" s="108">
        <f t="shared" si="61"/>
        <v>1767.0921000000001</v>
      </c>
      <c r="M289" s="77"/>
    </row>
    <row r="290" spans="1:13" ht="15" customHeight="1">
      <c r="A290" s="13" t="str">
        <f t="shared" si="50"/>
        <v>Wednesday</v>
      </c>
      <c r="B290" s="28">
        <f t="shared" si="51"/>
        <v>46365</v>
      </c>
      <c r="C290" s="108">
        <f t="shared" si="52"/>
        <v>3017.8856000000001</v>
      </c>
      <c r="D290" s="108">
        <f t="shared" si="53"/>
        <v>1843.8273999999999</v>
      </c>
      <c r="E290" s="108">
        <f t="shared" si="54"/>
        <v>3550.6932000000002</v>
      </c>
      <c r="F290" s="108">
        <f t="shared" si="55"/>
        <v>2262.9133000000002</v>
      </c>
      <c r="G290" s="108">
        <f t="shared" si="56"/>
        <v>947.23490000000004</v>
      </c>
      <c r="H290" s="108">
        <f t="shared" si="57"/>
        <v>1731.6387999999999</v>
      </c>
      <c r="I290" s="108">
        <f t="shared" si="58"/>
        <v>1150.1883</v>
      </c>
      <c r="J290" s="108">
        <f t="shared" si="59"/>
        <v>1297.9438</v>
      </c>
      <c r="K290" s="108">
        <f t="shared" si="60"/>
        <v>3535.8029000000001</v>
      </c>
      <c r="L290" s="108">
        <f t="shared" si="61"/>
        <v>1767.1042</v>
      </c>
      <c r="M290" s="77"/>
    </row>
    <row r="291" spans="1:13" ht="15" customHeight="1">
      <c r="A291" s="13" t="str">
        <f t="shared" si="50"/>
        <v>Thursday</v>
      </c>
      <c r="B291" s="28">
        <f t="shared" si="51"/>
        <v>46366</v>
      </c>
      <c r="C291" s="108">
        <f t="shared" si="52"/>
        <v>3017.9029999999998</v>
      </c>
      <c r="D291" s="108">
        <f t="shared" si="53"/>
        <v>1843.8375000000001</v>
      </c>
      <c r="E291" s="108">
        <f t="shared" si="54"/>
        <v>3550.7175000000002</v>
      </c>
      <c r="F291" s="108">
        <f t="shared" si="55"/>
        <v>2262.9225999999999</v>
      </c>
      <c r="G291" s="108">
        <f t="shared" si="56"/>
        <v>947.2414</v>
      </c>
      <c r="H291" s="108">
        <f t="shared" si="57"/>
        <v>1731.6478</v>
      </c>
      <c r="I291" s="108">
        <f t="shared" si="58"/>
        <v>1150.1962000000001</v>
      </c>
      <c r="J291" s="108">
        <f t="shared" si="59"/>
        <v>1297.9971</v>
      </c>
      <c r="K291" s="108">
        <f t="shared" si="60"/>
        <v>3535.8029000000001</v>
      </c>
      <c r="L291" s="108">
        <f t="shared" si="61"/>
        <v>1767.1162999999999</v>
      </c>
      <c r="M291" s="77"/>
    </row>
    <row r="292" spans="1:13" ht="15" customHeight="1">
      <c r="A292" s="13" t="str">
        <f t="shared" si="50"/>
        <v>Friday</v>
      </c>
      <c r="B292" s="28">
        <f t="shared" si="51"/>
        <v>46367</v>
      </c>
      <c r="C292" s="108">
        <f t="shared" si="52"/>
        <v>3017.9204</v>
      </c>
      <c r="D292" s="108">
        <f t="shared" si="53"/>
        <v>1843.8476000000001</v>
      </c>
      <c r="E292" s="108">
        <f t="shared" si="54"/>
        <v>3550.7417999999998</v>
      </c>
      <c r="F292" s="108">
        <f t="shared" si="55"/>
        <v>2262.9319</v>
      </c>
      <c r="G292" s="108">
        <f t="shared" si="56"/>
        <v>947.24789999999996</v>
      </c>
      <c r="H292" s="108">
        <f t="shared" si="57"/>
        <v>1731.6568</v>
      </c>
      <c r="I292" s="108">
        <f t="shared" si="58"/>
        <v>1150.2040999999999</v>
      </c>
      <c r="J292" s="108">
        <f t="shared" si="59"/>
        <v>1298.0504000000001</v>
      </c>
      <c r="K292" s="108">
        <f t="shared" si="60"/>
        <v>3535.8029000000001</v>
      </c>
      <c r="L292" s="108">
        <f t="shared" si="61"/>
        <v>1767.1284000000001</v>
      </c>
      <c r="M292" s="77"/>
    </row>
    <row r="293" spans="1:13" ht="15" customHeight="1">
      <c r="A293" s="13" t="str">
        <f t="shared" si="50"/>
        <v>Saturday</v>
      </c>
      <c r="B293" s="28">
        <f t="shared" si="51"/>
        <v>46368</v>
      </c>
      <c r="C293" s="108">
        <f t="shared" si="52"/>
        <v>3017.9378000000002</v>
      </c>
      <c r="D293" s="108">
        <f t="shared" si="53"/>
        <v>1843.8577</v>
      </c>
      <c r="E293" s="108">
        <f t="shared" si="54"/>
        <v>3550.7660999999998</v>
      </c>
      <c r="F293" s="108">
        <f t="shared" si="55"/>
        <v>2262.9412000000002</v>
      </c>
      <c r="G293" s="108">
        <f t="shared" si="56"/>
        <v>947.25440000000003</v>
      </c>
      <c r="H293" s="108">
        <f t="shared" si="57"/>
        <v>1731.6658</v>
      </c>
      <c r="I293" s="108">
        <f t="shared" si="58"/>
        <v>1150.212</v>
      </c>
      <c r="J293" s="108">
        <f t="shared" si="59"/>
        <v>1298.1036999999999</v>
      </c>
      <c r="K293" s="108">
        <f t="shared" si="60"/>
        <v>3535.8029000000001</v>
      </c>
      <c r="L293" s="108">
        <f t="shared" si="61"/>
        <v>1767.1405</v>
      </c>
      <c r="M293" s="77"/>
    </row>
    <row r="294" spans="1:13" ht="15" customHeight="1">
      <c r="A294" s="13" t="str">
        <f t="shared" si="50"/>
        <v>Sunday</v>
      </c>
      <c r="B294" s="28">
        <f t="shared" si="51"/>
        <v>46369</v>
      </c>
      <c r="C294" s="108">
        <f t="shared" si="52"/>
        <v>3017.9551999999999</v>
      </c>
      <c r="D294" s="108">
        <f t="shared" si="53"/>
        <v>1843.8678</v>
      </c>
      <c r="E294" s="108">
        <f t="shared" si="54"/>
        <v>3550.7903999999999</v>
      </c>
      <c r="F294" s="108">
        <f t="shared" si="55"/>
        <v>2262.9504999999999</v>
      </c>
      <c r="G294" s="108">
        <f t="shared" si="56"/>
        <v>947.26089999999999</v>
      </c>
      <c r="H294" s="108">
        <f t="shared" si="57"/>
        <v>1731.6748</v>
      </c>
      <c r="I294" s="108">
        <f t="shared" si="58"/>
        <v>1150.2199000000001</v>
      </c>
      <c r="J294" s="108">
        <f t="shared" si="59"/>
        <v>1298.1569999999999</v>
      </c>
      <c r="K294" s="108">
        <f t="shared" si="60"/>
        <v>3535.8029000000001</v>
      </c>
      <c r="L294" s="108">
        <f t="shared" si="61"/>
        <v>1767.1525999999999</v>
      </c>
      <c r="M294" s="77"/>
    </row>
    <row r="295" spans="1:13" ht="15" customHeight="1">
      <c r="A295" s="13" t="str">
        <f t="shared" si="50"/>
        <v>Monday</v>
      </c>
      <c r="B295" s="28">
        <f t="shared" si="51"/>
        <v>46370</v>
      </c>
      <c r="C295" s="108">
        <f t="shared" si="52"/>
        <v>3017.9726000000001</v>
      </c>
      <c r="D295" s="108">
        <f t="shared" si="53"/>
        <v>1843.8779</v>
      </c>
      <c r="E295" s="108">
        <f t="shared" si="54"/>
        <v>3550.8146999999999</v>
      </c>
      <c r="F295" s="108">
        <f t="shared" si="55"/>
        <v>2262.9598000000001</v>
      </c>
      <c r="G295" s="108">
        <f t="shared" si="56"/>
        <v>947.26739999999995</v>
      </c>
      <c r="H295" s="108">
        <f t="shared" si="57"/>
        <v>1731.6838</v>
      </c>
      <c r="I295" s="108">
        <f t="shared" si="58"/>
        <v>1150.2277999999999</v>
      </c>
      <c r="J295" s="108">
        <f t="shared" si="59"/>
        <v>1298.2103</v>
      </c>
      <c r="K295" s="108">
        <f t="shared" si="60"/>
        <v>3535.8029000000001</v>
      </c>
      <c r="L295" s="108">
        <f t="shared" si="61"/>
        <v>1767.1647</v>
      </c>
      <c r="M295" s="77"/>
    </row>
    <row r="296" spans="1:13" ht="15" customHeight="1">
      <c r="A296" s="13" t="str">
        <f t="shared" si="50"/>
        <v>Tuesday</v>
      </c>
      <c r="B296" s="28">
        <f t="shared" si="51"/>
        <v>46371</v>
      </c>
      <c r="C296" s="108">
        <f t="shared" si="52"/>
        <v>3017.99</v>
      </c>
      <c r="D296" s="108">
        <f t="shared" si="53"/>
        <v>1843.8879999999999</v>
      </c>
      <c r="E296" s="108">
        <f t="shared" si="54"/>
        <v>3550.8389999999999</v>
      </c>
      <c r="F296" s="108">
        <f t="shared" si="55"/>
        <v>2262.9690999999998</v>
      </c>
      <c r="G296" s="108">
        <f t="shared" si="56"/>
        <v>947.27390000000003</v>
      </c>
      <c r="H296" s="108">
        <f t="shared" si="57"/>
        <v>1731.6928</v>
      </c>
      <c r="I296" s="108">
        <f t="shared" si="58"/>
        <v>1150.2357</v>
      </c>
      <c r="J296" s="108">
        <f t="shared" si="59"/>
        <v>1298.2637</v>
      </c>
      <c r="K296" s="108">
        <f t="shared" si="60"/>
        <v>3535.8029000000001</v>
      </c>
      <c r="L296" s="108">
        <f t="shared" si="61"/>
        <v>1767.1768</v>
      </c>
      <c r="M296" s="77"/>
    </row>
    <row r="297" spans="1:13" ht="15" customHeight="1">
      <c r="A297" s="13" t="str">
        <f t="shared" si="50"/>
        <v>Wednesday</v>
      </c>
      <c r="B297" s="28">
        <f t="shared" si="51"/>
        <v>46372</v>
      </c>
      <c r="C297" s="108">
        <f t="shared" si="52"/>
        <v>3018.0074</v>
      </c>
      <c r="D297" s="108">
        <f t="shared" si="53"/>
        <v>1843.8981000000001</v>
      </c>
      <c r="E297" s="108">
        <f t="shared" si="54"/>
        <v>3550.8633</v>
      </c>
      <c r="F297" s="108">
        <f t="shared" si="55"/>
        <v>2262.9784</v>
      </c>
      <c r="G297" s="108">
        <f t="shared" si="56"/>
        <v>947.28039999999999</v>
      </c>
      <c r="H297" s="108">
        <f t="shared" si="57"/>
        <v>1731.7018</v>
      </c>
      <c r="I297" s="108">
        <f t="shared" si="58"/>
        <v>1150.2436</v>
      </c>
      <c r="J297" s="108">
        <f t="shared" si="59"/>
        <v>1298.3171</v>
      </c>
      <c r="K297" s="108">
        <f t="shared" si="60"/>
        <v>3535.8029000000001</v>
      </c>
      <c r="L297" s="108">
        <f t="shared" si="61"/>
        <v>1767.1889000000001</v>
      </c>
      <c r="M297" s="77"/>
    </row>
    <row r="298" spans="1:13" ht="15" customHeight="1">
      <c r="A298" s="13" t="str">
        <f t="shared" si="50"/>
        <v>Thursday</v>
      </c>
      <c r="B298" s="28">
        <f t="shared" si="51"/>
        <v>46373</v>
      </c>
      <c r="C298" s="108">
        <f t="shared" si="52"/>
        <v>3018.0248000000001</v>
      </c>
      <c r="D298" s="108">
        <f t="shared" si="53"/>
        <v>1843.9082000000001</v>
      </c>
      <c r="E298" s="108">
        <f t="shared" si="54"/>
        <v>3550.8876</v>
      </c>
      <c r="F298" s="108">
        <f t="shared" si="55"/>
        <v>2262.9877000000001</v>
      </c>
      <c r="G298" s="108">
        <f t="shared" si="56"/>
        <v>947.28689999999995</v>
      </c>
      <c r="H298" s="108">
        <f t="shared" si="57"/>
        <v>1731.7108000000001</v>
      </c>
      <c r="I298" s="108">
        <f t="shared" si="58"/>
        <v>1150.2515000000001</v>
      </c>
      <c r="J298" s="108">
        <f t="shared" si="59"/>
        <v>1298.3705</v>
      </c>
      <c r="K298" s="108">
        <f t="shared" si="60"/>
        <v>3535.8029000000001</v>
      </c>
      <c r="L298" s="108">
        <f t="shared" si="61"/>
        <v>1767.201</v>
      </c>
      <c r="M298" s="77"/>
    </row>
    <row r="299" spans="1:13" ht="15" customHeight="1">
      <c r="A299" s="13" t="str">
        <f t="shared" si="50"/>
        <v>Friday</v>
      </c>
      <c r="B299" s="28">
        <f t="shared" si="51"/>
        <v>46374</v>
      </c>
      <c r="C299" s="108">
        <f t="shared" si="52"/>
        <v>3018.0421999999999</v>
      </c>
      <c r="D299" s="108">
        <f t="shared" si="53"/>
        <v>1843.9183</v>
      </c>
      <c r="E299" s="108">
        <f t="shared" si="54"/>
        <v>3550.9119000000001</v>
      </c>
      <c r="F299" s="108">
        <f t="shared" si="55"/>
        <v>2262.9969999999998</v>
      </c>
      <c r="G299" s="108">
        <f t="shared" si="56"/>
        <v>947.29340000000002</v>
      </c>
      <c r="H299" s="108">
        <f t="shared" si="57"/>
        <v>1731.7198000000001</v>
      </c>
      <c r="I299" s="108">
        <f t="shared" si="58"/>
        <v>1150.2593999999999</v>
      </c>
      <c r="J299" s="108">
        <f t="shared" si="59"/>
        <v>1298.4239</v>
      </c>
      <c r="K299" s="108">
        <f t="shared" si="60"/>
        <v>3535.8029000000001</v>
      </c>
      <c r="L299" s="108">
        <f t="shared" si="61"/>
        <v>1767.2130999999999</v>
      </c>
      <c r="M299" s="77"/>
    </row>
    <row r="300" spans="1:13" ht="15" customHeight="1">
      <c r="A300" s="13" t="str">
        <f t="shared" si="50"/>
        <v>Saturday</v>
      </c>
      <c r="B300" s="28">
        <f t="shared" si="51"/>
        <v>46375</v>
      </c>
      <c r="C300" s="108">
        <f t="shared" si="52"/>
        <v>3018.0596</v>
      </c>
      <c r="D300" s="108">
        <f t="shared" si="53"/>
        <v>1843.9284</v>
      </c>
      <c r="E300" s="108">
        <f t="shared" si="54"/>
        <v>3550.9362000000001</v>
      </c>
      <c r="F300" s="108">
        <f t="shared" si="55"/>
        <v>2263.0063</v>
      </c>
      <c r="G300" s="108">
        <f t="shared" si="56"/>
        <v>947.29989999999998</v>
      </c>
      <c r="H300" s="108">
        <f t="shared" si="57"/>
        <v>1731.7288000000001</v>
      </c>
      <c r="I300" s="108">
        <f t="shared" si="58"/>
        <v>1150.2673</v>
      </c>
      <c r="J300" s="108">
        <f t="shared" si="59"/>
        <v>1298.4773</v>
      </c>
      <c r="K300" s="108">
        <f t="shared" si="60"/>
        <v>3535.8029000000001</v>
      </c>
      <c r="L300" s="108">
        <f t="shared" si="61"/>
        <v>1767.2252000000001</v>
      </c>
      <c r="M300" s="77"/>
    </row>
    <row r="301" spans="1:13" ht="15" customHeight="1">
      <c r="A301" s="13" t="str">
        <f t="shared" si="50"/>
        <v>Sunday</v>
      </c>
      <c r="B301" s="28">
        <f t="shared" si="51"/>
        <v>46376</v>
      </c>
      <c r="C301" s="108">
        <f t="shared" si="52"/>
        <v>3018.0770000000002</v>
      </c>
      <c r="D301" s="108">
        <f t="shared" si="53"/>
        <v>1843.9385</v>
      </c>
      <c r="E301" s="108">
        <f t="shared" si="54"/>
        <v>3550.9605000000001</v>
      </c>
      <c r="F301" s="108">
        <f t="shared" si="55"/>
        <v>2263.0156000000002</v>
      </c>
      <c r="G301" s="108">
        <f t="shared" si="56"/>
        <v>947.30640000000005</v>
      </c>
      <c r="H301" s="108">
        <f t="shared" si="57"/>
        <v>1731.7378000000001</v>
      </c>
      <c r="I301" s="108">
        <f t="shared" si="58"/>
        <v>1150.2752</v>
      </c>
      <c r="J301" s="108">
        <f t="shared" si="59"/>
        <v>1298.5307</v>
      </c>
      <c r="K301" s="108">
        <f t="shared" si="60"/>
        <v>3535.8029000000001</v>
      </c>
      <c r="L301" s="108">
        <f t="shared" si="61"/>
        <v>1767.2373</v>
      </c>
      <c r="M301" s="77"/>
    </row>
    <row r="302" spans="1:13" ht="15" customHeight="1">
      <c r="A302" s="13" t="str">
        <f t="shared" si="50"/>
        <v>Monday</v>
      </c>
      <c r="B302" s="28">
        <f t="shared" si="51"/>
        <v>46377</v>
      </c>
      <c r="C302" s="108">
        <f t="shared" si="52"/>
        <v>3018.0944</v>
      </c>
      <c r="D302" s="108">
        <f t="shared" si="53"/>
        <v>1843.9485999999999</v>
      </c>
      <c r="E302" s="108">
        <f t="shared" si="54"/>
        <v>3550.9848000000002</v>
      </c>
      <c r="F302" s="108">
        <f t="shared" si="55"/>
        <v>2263.0248999999999</v>
      </c>
      <c r="G302" s="108">
        <f t="shared" si="56"/>
        <v>947.31290000000001</v>
      </c>
      <c r="H302" s="108">
        <f t="shared" si="57"/>
        <v>1731.7467999999999</v>
      </c>
      <c r="I302" s="108">
        <f t="shared" si="58"/>
        <v>1150.2831000000001</v>
      </c>
      <c r="J302" s="108">
        <f t="shared" si="59"/>
        <v>1298.5841</v>
      </c>
      <c r="K302" s="108">
        <f t="shared" si="60"/>
        <v>3535.8029000000001</v>
      </c>
      <c r="L302" s="108">
        <f t="shared" si="61"/>
        <v>1767.2493999999999</v>
      </c>
      <c r="M302" s="77"/>
    </row>
    <row r="303" spans="1:13" ht="15" customHeight="1">
      <c r="A303" s="13" t="str">
        <f t="shared" si="50"/>
        <v>Tuesday</v>
      </c>
      <c r="B303" s="28">
        <f t="shared" si="51"/>
        <v>46378</v>
      </c>
      <c r="C303" s="108">
        <f t="shared" si="52"/>
        <v>3018.1118000000001</v>
      </c>
      <c r="D303" s="108">
        <f t="shared" si="53"/>
        <v>1843.9586999999999</v>
      </c>
      <c r="E303" s="108">
        <f t="shared" si="54"/>
        <v>3551.0091000000002</v>
      </c>
      <c r="F303" s="108">
        <f t="shared" si="55"/>
        <v>2263.0342000000001</v>
      </c>
      <c r="G303" s="108">
        <f t="shared" si="56"/>
        <v>947.31939999999997</v>
      </c>
      <c r="H303" s="108">
        <f t="shared" si="57"/>
        <v>1731.7557999999999</v>
      </c>
      <c r="I303" s="108">
        <f t="shared" si="58"/>
        <v>1150.2909999999999</v>
      </c>
      <c r="J303" s="108">
        <f t="shared" si="59"/>
        <v>1298.6375</v>
      </c>
      <c r="K303" s="108">
        <f t="shared" si="60"/>
        <v>3535.8029000000001</v>
      </c>
      <c r="L303" s="108">
        <f t="shared" si="61"/>
        <v>1767.2615000000001</v>
      </c>
      <c r="M303" s="77"/>
    </row>
    <row r="304" spans="1:13" ht="15" customHeight="1">
      <c r="A304" s="13" t="str">
        <f t="shared" si="50"/>
        <v>Wednesday</v>
      </c>
      <c r="B304" s="28">
        <f t="shared" si="51"/>
        <v>46379</v>
      </c>
      <c r="C304" s="108">
        <f t="shared" si="52"/>
        <v>3018.1291999999999</v>
      </c>
      <c r="D304" s="108">
        <f t="shared" si="53"/>
        <v>1843.9688000000001</v>
      </c>
      <c r="E304" s="108">
        <f t="shared" si="54"/>
        <v>3551.0333999999998</v>
      </c>
      <c r="F304" s="108">
        <f t="shared" si="55"/>
        <v>2263.0435000000002</v>
      </c>
      <c r="G304" s="108">
        <f t="shared" si="56"/>
        <v>947.32590000000005</v>
      </c>
      <c r="H304" s="108">
        <f t="shared" si="57"/>
        <v>1731.7647999999999</v>
      </c>
      <c r="I304" s="108">
        <f t="shared" si="58"/>
        <v>1150.2989</v>
      </c>
      <c r="J304" s="108">
        <f t="shared" si="59"/>
        <v>1298.6909000000001</v>
      </c>
      <c r="K304" s="108">
        <f t="shared" si="60"/>
        <v>3535.8029000000001</v>
      </c>
      <c r="L304" s="108">
        <f t="shared" si="61"/>
        <v>1767.2736</v>
      </c>
      <c r="M304" s="77"/>
    </row>
    <row r="305" spans="1:13" ht="15" customHeight="1">
      <c r="A305" s="13" t="str">
        <f t="shared" si="50"/>
        <v>Thursday</v>
      </c>
      <c r="B305" s="28">
        <f t="shared" si="51"/>
        <v>46380</v>
      </c>
      <c r="C305" s="108">
        <f t="shared" si="52"/>
        <v>3018.1466</v>
      </c>
      <c r="D305" s="108">
        <f t="shared" si="53"/>
        <v>1843.9789000000001</v>
      </c>
      <c r="E305" s="108">
        <f t="shared" si="54"/>
        <v>3551.0576999999998</v>
      </c>
      <c r="F305" s="108">
        <f t="shared" si="55"/>
        <v>2263.0527999999999</v>
      </c>
      <c r="G305" s="108">
        <f t="shared" si="56"/>
        <v>947.33240000000001</v>
      </c>
      <c r="H305" s="108">
        <f t="shared" si="57"/>
        <v>1731.7737999999999</v>
      </c>
      <c r="I305" s="108">
        <f t="shared" si="58"/>
        <v>1150.3068000000001</v>
      </c>
      <c r="J305" s="108">
        <f t="shared" si="59"/>
        <v>1298.7443000000001</v>
      </c>
      <c r="K305" s="108">
        <f t="shared" si="60"/>
        <v>3535.8029000000001</v>
      </c>
      <c r="L305" s="108">
        <f t="shared" si="61"/>
        <v>1767.2856999999999</v>
      </c>
      <c r="M305" s="77"/>
    </row>
    <row r="306" spans="1:13" ht="15" customHeight="1">
      <c r="A306" s="13" t="str">
        <f t="shared" si="50"/>
        <v>Friday</v>
      </c>
      <c r="B306" s="28">
        <f t="shared" si="51"/>
        <v>46381</v>
      </c>
      <c r="C306" s="108">
        <f t="shared" si="52"/>
        <v>3018.1640000000002</v>
      </c>
      <c r="D306" s="108">
        <f t="shared" si="53"/>
        <v>1843.989</v>
      </c>
      <c r="E306" s="108">
        <f t="shared" si="54"/>
        <v>3551.0819999999999</v>
      </c>
      <c r="F306" s="108">
        <f t="shared" si="55"/>
        <v>2263.0621000000001</v>
      </c>
      <c r="G306" s="108">
        <f t="shared" si="56"/>
        <v>947.33889999999997</v>
      </c>
      <c r="H306" s="108">
        <f t="shared" si="57"/>
        <v>1731.7828</v>
      </c>
      <c r="I306" s="108">
        <f t="shared" si="58"/>
        <v>1150.3146999999999</v>
      </c>
      <c r="J306" s="108">
        <f t="shared" si="59"/>
        <v>1298.7977000000001</v>
      </c>
      <c r="K306" s="108">
        <f t="shared" si="60"/>
        <v>3535.8029000000001</v>
      </c>
      <c r="L306" s="108">
        <f t="shared" si="61"/>
        <v>1767.2978000000001</v>
      </c>
      <c r="M306" s="77"/>
    </row>
    <row r="307" spans="1:13" ht="15" customHeight="1">
      <c r="A307" s="13" t="str">
        <f t="shared" si="50"/>
        <v>Saturday</v>
      </c>
      <c r="B307" s="28">
        <f t="shared" si="51"/>
        <v>46382</v>
      </c>
      <c r="C307" s="108">
        <f t="shared" si="52"/>
        <v>3018.1813999999999</v>
      </c>
      <c r="D307" s="108">
        <f t="shared" si="53"/>
        <v>1843.9991</v>
      </c>
      <c r="E307" s="108">
        <f t="shared" si="54"/>
        <v>3551.1062999999999</v>
      </c>
      <c r="F307" s="108">
        <f t="shared" si="55"/>
        <v>2263.0713999999998</v>
      </c>
      <c r="G307" s="108">
        <f t="shared" si="56"/>
        <v>947.34540000000004</v>
      </c>
      <c r="H307" s="108">
        <f t="shared" si="57"/>
        <v>1731.7918</v>
      </c>
      <c r="I307" s="108">
        <f t="shared" si="58"/>
        <v>1150.3226</v>
      </c>
      <c r="J307" s="108">
        <f t="shared" si="59"/>
        <v>1298.8511000000001</v>
      </c>
      <c r="K307" s="108">
        <f t="shared" si="60"/>
        <v>3535.8029000000001</v>
      </c>
      <c r="L307" s="108">
        <f t="shared" si="61"/>
        <v>1767.3099</v>
      </c>
      <c r="M307" s="77"/>
    </row>
    <row r="308" spans="1:13" ht="15" customHeight="1">
      <c r="A308" s="13" t="str">
        <f t="shared" si="50"/>
        <v>Sunday</v>
      </c>
      <c r="B308" s="28">
        <f t="shared" si="51"/>
        <v>46383</v>
      </c>
      <c r="C308" s="108">
        <f t="shared" si="52"/>
        <v>3018.1988000000001</v>
      </c>
      <c r="D308" s="108">
        <f t="shared" si="53"/>
        <v>1844.0092</v>
      </c>
      <c r="E308" s="108">
        <f t="shared" si="54"/>
        <v>3551.1306</v>
      </c>
      <c r="F308" s="108">
        <f t="shared" si="55"/>
        <v>2263.0807</v>
      </c>
      <c r="G308" s="108">
        <f t="shared" si="56"/>
        <v>947.3519</v>
      </c>
      <c r="H308" s="108">
        <f t="shared" si="57"/>
        <v>1731.8008</v>
      </c>
      <c r="I308" s="108">
        <f t="shared" si="58"/>
        <v>1150.3305</v>
      </c>
      <c r="J308" s="108">
        <f t="shared" si="59"/>
        <v>1298.9045000000001</v>
      </c>
      <c r="K308" s="108">
        <f t="shared" si="60"/>
        <v>3535.8029000000001</v>
      </c>
      <c r="L308" s="108">
        <f t="shared" si="61"/>
        <v>1767.3219999999999</v>
      </c>
      <c r="M308" s="77"/>
    </row>
    <row r="309" spans="1:13" ht="15" customHeight="1">
      <c r="A309" s="13" t="str">
        <f t="shared" si="50"/>
        <v>Monday</v>
      </c>
      <c r="B309" s="28">
        <f t="shared" si="51"/>
        <v>46384</v>
      </c>
      <c r="C309" s="108">
        <f t="shared" si="52"/>
        <v>3018.2161999999998</v>
      </c>
      <c r="D309" s="108">
        <f t="shared" si="53"/>
        <v>1844.0192999999999</v>
      </c>
      <c r="E309" s="108">
        <f t="shared" si="54"/>
        <v>3551.1549</v>
      </c>
      <c r="F309" s="108">
        <f t="shared" si="55"/>
        <v>2263.09</v>
      </c>
      <c r="G309" s="108">
        <f t="shared" si="56"/>
        <v>947.35839999999996</v>
      </c>
      <c r="H309" s="108">
        <f t="shared" si="57"/>
        <v>1731.8098</v>
      </c>
      <c r="I309" s="108">
        <f t="shared" si="58"/>
        <v>1150.3384000000001</v>
      </c>
      <c r="J309" s="108">
        <f t="shared" si="59"/>
        <v>1298.9579000000001</v>
      </c>
      <c r="K309" s="108">
        <f t="shared" si="60"/>
        <v>3535.8029000000001</v>
      </c>
      <c r="L309" s="108">
        <f t="shared" si="61"/>
        <v>1767.3341</v>
      </c>
      <c r="M309" s="77"/>
    </row>
    <row r="310" spans="1:13" ht="15" customHeight="1">
      <c r="A310" s="13" t="str">
        <f t="shared" si="50"/>
        <v>Tuesday</v>
      </c>
      <c r="B310" s="28">
        <f t="shared" si="51"/>
        <v>46385</v>
      </c>
      <c r="C310" s="108">
        <f t="shared" si="52"/>
        <v>3018.2336</v>
      </c>
      <c r="D310" s="108">
        <f t="shared" si="53"/>
        <v>1844.0293999999999</v>
      </c>
      <c r="E310" s="108">
        <f t="shared" si="54"/>
        <v>3551.1792</v>
      </c>
      <c r="F310" s="108">
        <f t="shared" si="55"/>
        <v>2263.0992999999999</v>
      </c>
      <c r="G310" s="108">
        <f t="shared" si="56"/>
        <v>947.36490000000003</v>
      </c>
      <c r="H310" s="108">
        <f t="shared" si="57"/>
        <v>1731.8188</v>
      </c>
      <c r="I310" s="108">
        <f t="shared" si="58"/>
        <v>1150.3462999999999</v>
      </c>
      <c r="J310" s="108">
        <f t="shared" si="59"/>
        <v>1299.0112999999999</v>
      </c>
      <c r="K310" s="108">
        <f t="shared" si="60"/>
        <v>3535.8029000000001</v>
      </c>
      <c r="L310" s="108">
        <f t="shared" si="61"/>
        <v>1767.3462</v>
      </c>
      <c r="M310" s="77"/>
    </row>
    <row r="311" spans="1:13" ht="15" customHeight="1">
      <c r="A311" s="13" t="str">
        <f t="shared" si="50"/>
        <v>Wednesday</v>
      </c>
      <c r="B311" s="28">
        <f t="shared" si="51"/>
        <v>46386</v>
      </c>
      <c r="C311" s="108">
        <f t="shared" si="52"/>
        <v>3018.2510000000002</v>
      </c>
      <c r="D311" s="108">
        <f t="shared" si="53"/>
        <v>1844.0395000000001</v>
      </c>
      <c r="E311" s="108">
        <f t="shared" si="54"/>
        <v>3551.2035000000001</v>
      </c>
      <c r="F311" s="108">
        <f t="shared" si="55"/>
        <v>2263.1086</v>
      </c>
      <c r="G311" s="108">
        <f t="shared" si="56"/>
        <v>947.37139999999999</v>
      </c>
      <c r="H311" s="108">
        <f t="shared" si="57"/>
        <v>1731.8278</v>
      </c>
      <c r="I311" s="108">
        <f t="shared" si="58"/>
        <v>1150.3542</v>
      </c>
      <c r="J311" s="108">
        <f t="shared" si="59"/>
        <v>1299.0646999999999</v>
      </c>
      <c r="K311" s="108">
        <f t="shared" si="60"/>
        <v>3535.8029000000001</v>
      </c>
      <c r="L311" s="108">
        <f t="shared" si="61"/>
        <v>1767.3583000000001</v>
      </c>
      <c r="M311" s="77"/>
    </row>
    <row r="312" spans="1:13" ht="15" customHeight="1">
      <c r="A312" s="13" t="str">
        <f t="shared" si="50"/>
        <v>Thursday</v>
      </c>
      <c r="B312" s="28">
        <f t="shared" si="51"/>
        <v>46387</v>
      </c>
      <c r="C312" s="108">
        <f t="shared" si="52"/>
        <v>3018.2683999999999</v>
      </c>
      <c r="D312" s="108">
        <f t="shared" si="53"/>
        <v>1844.0496000000001</v>
      </c>
      <c r="E312" s="108">
        <f t="shared" si="54"/>
        <v>3551.2278000000001</v>
      </c>
      <c r="F312" s="108">
        <f t="shared" si="55"/>
        <v>2263.1179000000002</v>
      </c>
      <c r="G312" s="108">
        <f t="shared" si="56"/>
        <v>947.37789999999995</v>
      </c>
      <c r="H312" s="108">
        <f t="shared" si="57"/>
        <v>1731.8368</v>
      </c>
      <c r="I312" s="108">
        <f t="shared" si="58"/>
        <v>1150.3621000000001</v>
      </c>
      <c r="J312" s="108">
        <f t="shared" si="59"/>
        <v>1299.1180999999999</v>
      </c>
      <c r="K312" s="108">
        <f t="shared" si="60"/>
        <v>3535.8029000000001</v>
      </c>
      <c r="L312" s="108">
        <f t="shared" si="61"/>
        <v>1767.3704</v>
      </c>
      <c r="M312" s="77"/>
    </row>
    <row r="313" spans="1:13" ht="15" customHeight="1">
      <c r="A313" s="13" t="str">
        <f t="shared" si="50"/>
        <v>Friday</v>
      </c>
      <c r="B313" s="28">
        <f t="shared" si="51"/>
        <v>46388</v>
      </c>
      <c r="C313" s="108">
        <f t="shared" si="52"/>
        <v>3018.2858000000001</v>
      </c>
      <c r="D313" s="108">
        <f t="shared" si="53"/>
        <v>1844.0597</v>
      </c>
      <c r="E313" s="108">
        <f t="shared" si="54"/>
        <v>3551.2521000000002</v>
      </c>
      <c r="F313" s="108">
        <f t="shared" si="55"/>
        <v>2263.1271999999999</v>
      </c>
      <c r="G313" s="108">
        <f t="shared" si="56"/>
        <v>947.38440000000003</v>
      </c>
      <c r="H313" s="108">
        <f t="shared" si="57"/>
        <v>1731.8458000000001</v>
      </c>
      <c r="I313" s="108">
        <f t="shared" si="58"/>
        <v>1150.3699999999999</v>
      </c>
      <c r="J313" s="108">
        <f t="shared" si="59"/>
        <v>1299.1714999999999</v>
      </c>
      <c r="K313" s="108">
        <f t="shared" si="60"/>
        <v>3535.8029000000001</v>
      </c>
      <c r="L313" s="108">
        <f t="shared" si="61"/>
        <v>1767.3824999999999</v>
      </c>
      <c r="M313" s="77"/>
    </row>
    <row r="314" spans="1:13" ht="15" customHeight="1">
      <c r="A314" s="13" t="str">
        <f t="shared" si="50"/>
        <v>Saturday</v>
      </c>
      <c r="B314" s="28">
        <f t="shared" si="51"/>
        <v>46389</v>
      </c>
      <c r="C314" s="108">
        <f t="shared" si="52"/>
        <v>3018.3031999999998</v>
      </c>
      <c r="D314" s="108">
        <f t="shared" si="53"/>
        <v>1844.0698</v>
      </c>
      <c r="E314" s="108">
        <f t="shared" si="54"/>
        <v>3551.2764000000002</v>
      </c>
      <c r="F314" s="108">
        <f t="shared" si="55"/>
        <v>2263.1365000000001</v>
      </c>
      <c r="G314" s="108">
        <f t="shared" si="56"/>
        <v>947.39089999999999</v>
      </c>
      <c r="H314" s="108">
        <f t="shared" si="57"/>
        <v>1731.8548000000001</v>
      </c>
      <c r="I314" s="108">
        <f t="shared" si="58"/>
        <v>1150.3779</v>
      </c>
      <c r="J314" s="108">
        <f t="shared" si="59"/>
        <v>1299.2248999999999</v>
      </c>
      <c r="K314" s="108">
        <f t="shared" si="60"/>
        <v>3535.8029000000001</v>
      </c>
      <c r="L314" s="108">
        <f t="shared" si="61"/>
        <v>1767.3946000000001</v>
      </c>
      <c r="M314" s="77"/>
    </row>
    <row r="315" spans="1:13" ht="15" customHeight="1">
      <c r="A315" s="13" t="str">
        <f t="shared" si="50"/>
        <v>Sunday</v>
      </c>
      <c r="B315" s="28">
        <f t="shared" si="51"/>
        <v>46390</v>
      </c>
      <c r="C315" s="108">
        <f t="shared" si="52"/>
        <v>3018.3206</v>
      </c>
      <c r="D315" s="108">
        <f t="shared" si="53"/>
        <v>1844.0799</v>
      </c>
      <c r="E315" s="108">
        <f t="shared" si="54"/>
        <v>3551.3006999999998</v>
      </c>
      <c r="F315" s="108">
        <f t="shared" si="55"/>
        <v>2263.1457999999998</v>
      </c>
      <c r="G315" s="108">
        <f t="shared" si="56"/>
        <v>947.39739999999995</v>
      </c>
      <c r="H315" s="108">
        <f t="shared" si="57"/>
        <v>1731.8638000000001</v>
      </c>
      <c r="I315" s="108">
        <f t="shared" si="58"/>
        <v>1150.3858</v>
      </c>
      <c r="J315" s="108">
        <f t="shared" si="59"/>
        <v>1299.2782999999999</v>
      </c>
      <c r="K315" s="108">
        <f t="shared" si="60"/>
        <v>3535.8029000000001</v>
      </c>
      <c r="L315" s="108">
        <f t="shared" si="61"/>
        <v>1767.4067</v>
      </c>
      <c r="M315" s="77"/>
    </row>
    <row r="316" spans="1:13" ht="15" customHeight="1">
      <c r="A316" s="13" t="str">
        <f t="shared" si="50"/>
        <v>Monday</v>
      </c>
      <c r="B316" s="28">
        <f t="shared" si="51"/>
        <v>46391</v>
      </c>
      <c r="C316" s="108">
        <f t="shared" si="52"/>
        <v>3018.3380000000002</v>
      </c>
      <c r="D316" s="108">
        <f t="shared" si="53"/>
        <v>1844.09</v>
      </c>
      <c r="E316" s="108">
        <f t="shared" si="54"/>
        <v>3551.3249999999998</v>
      </c>
      <c r="F316" s="108">
        <f t="shared" si="55"/>
        <v>2263.1550999999999</v>
      </c>
      <c r="G316" s="108">
        <f t="shared" si="56"/>
        <v>947.40390000000002</v>
      </c>
      <c r="H316" s="108">
        <f t="shared" si="57"/>
        <v>1731.8728000000001</v>
      </c>
      <c r="I316" s="108">
        <f t="shared" si="58"/>
        <v>1150.3937000000001</v>
      </c>
      <c r="J316" s="108">
        <f t="shared" si="59"/>
        <v>1299.3317</v>
      </c>
      <c r="K316" s="108">
        <f t="shared" si="60"/>
        <v>3535.8029000000001</v>
      </c>
      <c r="L316" s="108">
        <f t="shared" si="61"/>
        <v>1767.4187999999999</v>
      </c>
      <c r="M316" s="77"/>
    </row>
    <row r="317" spans="1:13" ht="15" customHeight="1">
      <c r="A317" s="13" t="str">
        <f t="shared" si="50"/>
        <v>Tuesday</v>
      </c>
      <c r="B317" s="28">
        <f t="shared" si="51"/>
        <v>46392</v>
      </c>
      <c r="C317" s="108">
        <f t="shared" si="52"/>
        <v>3018.3553999999999</v>
      </c>
      <c r="D317" s="108">
        <f t="shared" si="53"/>
        <v>1844.1001000000001</v>
      </c>
      <c r="E317" s="108">
        <f t="shared" si="54"/>
        <v>3551.3492999999999</v>
      </c>
      <c r="F317" s="108">
        <f t="shared" si="55"/>
        <v>2263.1644000000001</v>
      </c>
      <c r="G317" s="108">
        <f t="shared" si="56"/>
        <v>947.41039999999998</v>
      </c>
      <c r="H317" s="108">
        <f t="shared" si="57"/>
        <v>1731.8818000000001</v>
      </c>
      <c r="I317" s="108">
        <f t="shared" si="58"/>
        <v>1150.4015999999999</v>
      </c>
      <c r="J317" s="108">
        <f t="shared" si="59"/>
        <v>1299.3851</v>
      </c>
      <c r="K317" s="108">
        <f t="shared" si="60"/>
        <v>3535.8029000000001</v>
      </c>
      <c r="L317" s="108">
        <f t="shared" si="61"/>
        <v>1767.4309000000001</v>
      </c>
      <c r="M317" s="77"/>
    </row>
    <row r="318" spans="1:13" ht="15" customHeight="1">
      <c r="A318" s="13" t="str">
        <f t="shared" si="50"/>
        <v>Wednesday</v>
      </c>
      <c r="B318" s="28">
        <f t="shared" si="51"/>
        <v>46393</v>
      </c>
      <c r="C318" s="108">
        <f t="shared" si="52"/>
        <v>3018.3728000000001</v>
      </c>
      <c r="D318" s="108">
        <f t="shared" si="53"/>
        <v>1844.1102000000001</v>
      </c>
      <c r="E318" s="108">
        <f t="shared" si="54"/>
        <v>3551.3735999999999</v>
      </c>
      <c r="F318" s="108">
        <f t="shared" si="55"/>
        <v>2263.1736999999998</v>
      </c>
      <c r="G318" s="108">
        <f t="shared" si="56"/>
        <v>947.41690000000006</v>
      </c>
      <c r="H318" s="108">
        <f t="shared" si="57"/>
        <v>1731.8907999999999</v>
      </c>
      <c r="I318" s="108">
        <f t="shared" si="58"/>
        <v>1150.4095</v>
      </c>
      <c r="J318" s="108">
        <f t="shared" si="59"/>
        <v>1299.4385</v>
      </c>
      <c r="K318" s="108">
        <f t="shared" si="60"/>
        <v>3535.8029000000001</v>
      </c>
      <c r="L318" s="108">
        <f t="shared" si="61"/>
        <v>1767.443</v>
      </c>
      <c r="M318" s="77"/>
    </row>
    <row r="319" spans="1:13" ht="15" customHeight="1">
      <c r="A319" s="13" t="str">
        <f t="shared" si="50"/>
        <v>Thursday</v>
      </c>
      <c r="B319" s="28">
        <f t="shared" si="51"/>
        <v>46394</v>
      </c>
      <c r="C319" s="108">
        <f t="shared" si="52"/>
        <v>3018.3901999999998</v>
      </c>
      <c r="D319" s="108">
        <f t="shared" si="53"/>
        <v>1844.1203</v>
      </c>
      <c r="E319" s="108">
        <f t="shared" si="54"/>
        <v>3551.3978999999999</v>
      </c>
      <c r="F319" s="108">
        <f t="shared" si="55"/>
        <v>2263.183</v>
      </c>
      <c r="G319" s="108">
        <f t="shared" si="56"/>
        <v>947.42340000000002</v>
      </c>
      <c r="H319" s="108">
        <f t="shared" si="57"/>
        <v>1731.8997999999999</v>
      </c>
      <c r="I319" s="108">
        <f t="shared" si="58"/>
        <v>1150.4174</v>
      </c>
      <c r="J319" s="108">
        <f t="shared" si="59"/>
        <v>1299.4919</v>
      </c>
      <c r="K319" s="108">
        <f t="shared" si="60"/>
        <v>3535.8029000000001</v>
      </c>
      <c r="L319" s="108">
        <f t="shared" si="61"/>
        <v>1767.4550999999999</v>
      </c>
      <c r="M319" s="77"/>
    </row>
    <row r="320" spans="1:13" ht="15" customHeight="1">
      <c r="A320" s="13" t="str">
        <f t="shared" si="50"/>
        <v>Friday</v>
      </c>
      <c r="B320" s="28">
        <f t="shared" si="51"/>
        <v>46395</v>
      </c>
      <c r="C320" s="108">
        <f t="shared" si="52"/>
        <v>3018.4076</v>
      </c>
      <c r="D320" s="108">
        <f t="shared" si="53"/>
        <v>1844.1304</v>
      </c>
      <c r="E320" s="108">
        <f t="shared" si="54"/>
        <v>3551.4222</v>
      </c>
      <c r="F320" s="108">
        <f t="shared" si="55"/>
        <v>2263.1923000000002</v>
      </c>
      <c r="G320" s="108">
        <f t="shared" si="56"/>
        <v>947.42989999999998</v>
      </c>
      <c r="H320" s="108">
        <f t="shared" si="57"/>
        <v>1731.9087999999999</v>
      </c>
      <c r="I320" s="108">
        <f t="shared" si="58"/>
        <v>1150.4253000000001</v>
      </c>
      <c r="J320" s="108">
        <f t="shared" si="59"/>
        <v>1299.5453</v>
      </c>
      <c r="K320" s="108">
        <f t="shared" si="60"/>
        <v>3535.8029000000001</v>
      </c>
      <c r="L320" s="108">
        <f t="shared" si="61"/>
        <v>1767.4672</v>
      </c>
      <c r="M320" s="77"/>
    </row>
    <row r="321" spans="1:13" ht="15" customHeight="1">
      <c r="A321" s="13" t="str">
        <f t="shared" si="50"/>
        <v>Saturday</v>
      </c>
      <c r="B321" s="28">
        <f t="shared" si="51"/>
        <v>46396</v>
      </c>
      <c r="C321" s="108">
        <f t="shared" si="52"/>
        <v>3018.4250000000002</v>
      </c>
      <c r="D321" s="108">
        <f t="shared" si="53"/>
        <v>1844.1405</v>
      </c>
      <c r="E321" s="108">
        <f t="shared" si="54"/>
        <v>3551.4465</v>
      </c>
      <c r="F321" s="108">
        <f t="shared" si="55"/>
        <v>2263.2015999999999</v>
      </c>
      <c r="G321" s="108">
        <f t="shared" si="56"/>
        <v>947.43640000000005</v>
      </c>
      <c r="H321" s="108">
        <f t="shared" si="57"/>
        <v>1731.9177999999999</v>
      </c>
      <c r="I321" s="108">
        <f t="shared" si="58"/>
        <v>1150.4331999999999</v>
      </c>
      <c r="J321" s="108">
        <f t="shared" si="59"/>
        <v>1299.5987</v>
      </c>
      <c r="K321" s="108">
        <f t="shared" si="60"/>
        <v>3535.8029000000001</v>
      </c>
      <c r="L321" s="108">
        <f t="shared" si="61"/>
        <v>1767.4793</v>
      </c>
      <c r="M321" s="77"/>
    </row>
    <row r="322" spans="1:13" ht="15" customHeight="1">
      <c r="A322" s="13" t="str">
        <f t="shared" si="50"/>
        <v>Sunday</v>
      </c>
      <c r="B322" s="28">
        <f t="shared" si="51"/>
        <v>46397</v>
      </c>
      <c r="C322" s="108">
        <f t="shared" si="52"/>
        <v>3018.4423999999999</v>
      </c>
      <c r="D322" s="108">
        <f t="shared" si="53"/>
        <v>1844.1505999999999</v>
      </c>
      <c r="E322" s="108">
        <f t="shared" si="54"/>
        <v>3551.4708000000001</v>
      </c>
      <c r="F322" s="108">
        <f t="shared" si="55"/>
        <v>2263.2109</v>
      </c>
      <c r="G322" s="108">
        <f t="shared" si="56"/>
        <v>947.44290000000001</v>
      </c>
      <c r="H322" s="108">
        <f t="shared" si="57"/>
        <v>1731.9268</v>
      </c>
      <c r="I322" s="108">
        <f t="shared" si="58"/>
        <v>1150.4411</v>
      </c>
      <c r="J322" s="108">
        <f t="shared" si="59"/>
        <v>1299.6521</v>
      </c>
      <c r="K322" s="108">
        <f t="shared" si="60"/>
        <v>3535.8029000000001</v>
      </c>
      <c r="L322" s="108">
        <f t="shared" si="61"/>
        <v>1767.4914000000001</v>
      </c>
      <c r="M322" s="77"/>
    </row>
    <row r="323" spans="1:13" ht="15" customHeight="1">
      <c r="A323" s="13" t="str">
        <f t="shared" si="50"/>
        <v>Monday</v>
      </c>
      <c r="B323" s="28">
        <f t="shared" si="51"/>
        <v>46398</v>
      </c>
      <c r="C323" s="108">
        <f t="shared" si="52"/>
        <v>3018.4598000000001</v>
      </c>
      <c r="D323" s="108">
        <f t="shared" si="53"/>
        <v>1844.1606999999999</v>
      </c>
      <c r="E323" s="108">
        <f t="shared" si="54"/>
        <v>3551.4951000000001</v>
      </c>
      <c r="F323" s="108">
        <f t="shared" si="55"/>
        <v>2263.2202000000002</v>
      </c>
      <c r="G323" s="108">
        <f t="shared" si="56"/>
        <v>947.44939999999997</v>
      </c>
      <c r="H323" s="108">
        <f t="shared" si="57"/>
        <v>1731.9358</v>
      </c>
      <c r="I323" s="108">
        <f t="shared" si="58"/>
        <v>1150.4490000000001</v>
      </c>
      <c r="J323" s="108">
        <f t="shared" si="59"/>
        <v>1299.7055</v>
      </c>
      <c r="K323" s="108">
        <f t="shared" si="60"/>
        <v>3535.8029000000001</v>
      </c>
      <c r="L323" s="108">
        <f t="shared" si="61"/>
        <v>1767.5035</v>
      </c>
      <c r="M323" s="77"/>
    </row>
    <row r="324" spans="1:13" ht="15" customHeight="1">
      <c r="A324" s="13" t="str">
        <f t="shared" si="50"/>
        <v>Tuesday</v>
      </c>
      <c r="B324" s="28">
        <f t="shared" si="51"/>
        <v>46399</v>
      </c>
      <c r="C324" s="108">
        <f t="shared" si="52"/>
        <v>3018.4771999999998</v>
      </c>
      <c r="D324" s="108">
        <f t="shared" si="53"/>
        <v>1844.1708000000001</v>
      </c>
      <c r="E324" s="108">
        <f t="shared" si="54"/>
        <v>3551.5194000000001</v>
      </c>
      <c r="F324" s="108">
        <f t="shared" si="55"/>
        <v>2263.2294999999999</v>
      </c>
      <c r="G324" s="108">
        <f t="shared" si="56"/>
        <v>947.45590000000004</v>
      </c>
      <c r="H324" s="108">
        <f t="shared" si="57"/>
        <v>1731.9448</v>
      </c>
      <c r="I324" s="108">
        <f t="shared" si="58"/>
        <v>1150.4568999999999</v>
      </c>
      <c r="J324" s="108">
        <f t="shared" si="59"/>
        <v>1299.7589</v>
      </c>
      <c r="K324" s="108">
        <f t="shared" si="60"/>
        <v>3535.8029000000001</v>
      </c>
      <c r="L324" s="108">
        <f t="shared" si="61"/>
        <v>1767.5155999999999</v>
      </c>
      <c r="M324" s="77"/>
    </row>
    <row r="325" spans="1:13" ht="15" customHeight="1">
      <c r="A325" s="13" t="str">
        <f t="shared" si="50"/>
        <v>Wednesday</v>
      </c>
      <c r="B325" s="28">
        <f t="shared" si="51"/>
        <v>46400</v>
      </c>
      <c r="C325" s="108">
        <f t="shared" si="52"/>
        <v>3018.4946</v>
      </c>
      <c r="D325" s="108">
        <f t="shared" si="53"/>
        <v>1844.1809000000001</v>
      </c>
      <c r="E325" s="108">
        <f t="shared" si="54"/>
        <v>3551.5437000000002</v>
      </c>
      <c r="F325" s="108">
        <f t="shared" si="55"/>
        <v>2263.2388000000001</v>
      </c>
      <c r="G325" s="108">
        <f t="shared" si="56"/>
        <v>947.4624</v>
      </c>
      <c r="H325" s="108">
        <f t="shared" si="57"/>
        <v>1731.9538</v>
      </c>
      <c r="I325" s="108">
        <f t="shared" si="58"/>
        <v>1150.4648</v>
      </c>
      <c r="J325" s="108">
        <f t="shared" si="59"/>
        <v>1299.8123000000001</v>
      </c>
      <c r="K325" s="108">
        <f t="shared" si="60"/>
        <v>3535.8029000000001</v>
      </c>
      <c r="L325" s="108">
        <f t="shared" si="61"/>
        <v>1767.5277000000001</v>
      </c>
      <c r="M325" s="77"/>
    </row>
    <row r="326" spans="1:13" ht="15" customHeight="1">
      <c r="A326" s="13" t="str">
        <f t="shared" si="50"/>
        <v>Thursday</v>
      </c>
      <c r="B326" s="28">
        <f t="shared" si="51"/>
        <v>46401</v>
      </c>
      <c r="C326" s="108">
        <f t="shared" si="52"/>
        <v>3018.5120000000002</v>
      </c>
      <c r="D326" s="108">
        <f t="shared" si="53"/>
        <v>1844.191</v>
      </c>
      <c r="E326" s="108">
        <f t="shared" si="54"/>
        <v>3551.5680000000002</v>
      </c>
      <c r="F326" s="108">
        <f t="shared" si="55"/>
        <v>2263.2480999999998</v>
      </c>
      <c r="G326" s="108">
        <f t="shared" si="56"/>
        <v>947.46889999999996</v>
      </c>
      <c r="H326" s="108">
        <f t="shared" si="57"/>
        <v>1731.9628</v>
      </c>
      <c r="I326" s="108">
        <f t="shared" si="58"/>
        <v>1150.4727</v>
      </c>
      <c r="J326" s="108">
        <f t="shared" si="59"/>
        <v>1299.8657000000001</v>
      </c>
      <c r="K326" s="108">
        <f t="shared" si="60"/>
        <v>3535.8029000000001</v>
      </c>
      <c r="L326" s="108">
        <f t="shared" si="61"/>
        <v>1767.5398</v>
      </c>
      <c r="M326" s="77"/>
    </row>
    <row r="327" spans="1:13" ht="15" customHeight="1">
      <c r="A327" s="13" t="str">
        <f t="shared" si="50"/>
        <v>Friday</v>
      </c>
      <c r="B327" s="28">
        <f t="shared" si="51"/>
        <v>46402</v>
      </c>
      <c r="C327" s="108">
        <f t="shared" si="52"/>
        <v>3018.5293999999999</v>
      </c>
      <c r="D327" s="108">
        <f t="shared" si="53"/>
        <v>1844.2011</v>
      </c>
      <c r="E327" s="108">
        <f t="shared" si="54"/>
        <v>3551.5922999999998</v>
      </c>
      <c r="F327" s="108">
        <f t="shared" si="55"/>
        <v>2263.2574</v>
      </c>
      <c r="G327" s="108">
        <f t="shared" si="56"/>
        <v>947.47540000000004</v>
      </c>
      <c r="H327" s="108">
        <f t="shared" si="57"/>
        <v>1731.9718</v>
      </c>
      <c r="I327" s="108">
        <f t="shared" si="58"/>
        <v>1150.4806000000001</v>
      </c>
      <c r="J327" s="108">
        <f t="shared" si="59"/>
        <v>1299.9191000000001</v>
      </c>
      <c r="K327" s="108">
        <f t="shared" si="60"/>
        <v>3535.8029000000001</v>
      </c>
      <c r="L327" s="108">
        <f t="shared" si="61"/>
        <v>1767.5518999999999</v>
      </c>
      <c r="M327" s="77"/>
    </row>
    <row r="328" spans="1:13" ht="15" customHeight="1">
      <c r="A328" s="13" t="str">
        <f t="shared" ref="A328:A371" si="62">VLOOKUP(WEEKDAY(B328),$N$7:$O$13,2)</f>
        <v>Saturday</v>
      </c>
      <c r="B328" s="28">
        <f t="shared" si="51"/>
        <v>46403</v>
      </c>
      <c r="C328" s="108">
        <f t="shared" si="52"/>
        <v>3018.5468000000001</v>
      </c>
      <c r="D328" s="108">
        <f t="shared" si="53"/>
        <v>1844.2112</v>
      </c>
      <c r="E328" s="108">
        <f t="shared" si="54"/>
        <v>3551.6165999999998</v>
      </c>
      <c r="F328" s="108">
        <f t="shared" si="55"/>
        <v>2263.2667000000001</v>
      </c>
      <c r="G328" s="108">
        <f t="shared" si="56"/>
        <v>947.4819</v>
      </c>
      <c r="H328" s="108">
        <f t="shared" si="57"/>
        <v>1731.9808</v>
      </c>
      <c r="I328" s="108">
        <f t="shared" si="58"/>
        <v>1150.4884999999999</v>
      </c>
      <c r="J328" s="108">
        <f t="shared" si="59"/>
        <v>1299.9725000000001</v>
      </c>
      <c r="K328" s="108">
        <f t="shared" si="60"/>
        <v>3535.8029000000001</v>
      </c>
      <c r="L328" s="108">
        <f t="shared" si="61"/>
        <v>1767.5640000000001</v>
      </c>
      <c r="M328" s="77"/>
    </row>
    <row r="329" spans="1:13" ht="15" customHeight="1">
      <c r="A329" s="13" t="str">
        <f t="shared" si="62"/>
        <v>Sunday</v>
      </c>
      <c r="B329" s="28">
        <f t="shared" ref="B329:B371" si="63">B328+1</f>
        <v>46404</v>
      </c>
      <c r="C329" s="108">
        <f t="shared" ref="C329:C371" si="64">ROUND(C328*(1+C$4),4)</f>
        <v>3018.5641999999998</v>
      </c>
      <c r="D329" s="108">
        <f t="shared" ref="D329:D371" si="65">ROUND(D328*(1+D$4),4)</f>
        <v>1844.2212999999999</v>
      </c>
      <c r="E329" s="108">
        <f t="shared" ref="E329:E371" si="66">ROUND(E328*(1+E$4),4)</f>
        <v>3551.6408999999999</v>
      </c>
      <c r="F329" s="108">
        <f t="shared" ref="F329:F371" si="67">ROUND(F328*(1+F$4),4)</f>
        <v>2263.2759999999998</v>
      </c>
      <c r="G329" s="108">
        <f t="shared" ref="G329:G371" si="68">ROUND(G328*(1+G$4),4)</f>
        <v>947.48839999999996</v>
      </c>
      <c r="H329" s="108">
        <f t="shared" ref="H329:H371" si="69">ROUND(H328*(1+H$4),4)</f>
        <v>1731.9898000000001</v>
      </c>
      <c r="I329" s="108">
        <f t="shared" ref="I329:I371" si="70">ROUND(I328*(1+I$4),4)</f>
        <v>1150.4964</v>
      </c>
      <c r="J329" s="108">
        <f t="shared" ref="J329:J371" si="71">ROUND(J328*(1+J$4),4)</f>
        <v>1300.0259000000001</v>
      </c>
      <c r="K329" s="108">
        <f t="shared" ref="K329:K371" si="72">ROUND(K328*(1+K$4),4)</f>
        <v>3535.8029000000001</v>
      </c>
      <c r="L329" s="108">
        <f t="shared" ref="L329:L371" si="73">ROUND(L328*(1+L$4),4)</f>
        <v>1767.5761</v>
      </c>
      <c r="M329" s="77"/>
    </row>
    <row r="330" spans="1:13" ht="15" customHeight="1">
      <c r="A330" s="13" t="str">
        <f t="shared" si="62"/>
        <v>Monday</v>
      </c>
      <c r="B330" s="28">
        <f t="shared" si="63"/>
        <v>46405</v>
      </c>
      <c r="C330" s="108">
        <f t="shared" si="64"/>
        <v>3018.5816</v>
      </c>
      <c r="D330" s="108">
        <f t="shared" si="65"/>
        <v>1844.2313999999999</v>
      </c>
      <c r="E330" s="108">
        <f t="shared" si="66"/>
        <v>3551.6651999999999</v>
      </c>
      <c r="F330" s="108">
        <f t="shared" si="67"/>
        <v>2263.2853</v>
      </c>
      <c r="G330" s="108">
        <f t="shared" si="68"/>
        <v>947.49490000000003</v>
      </c>
      <c r="H330" s="108">
        <f t="shared" si="69"/>
        <v>1731.9988000000001</v>
      </c>
      <c r="I330" s="108">
        <f t="shared" si="70"/>
        <v>1150.5043000000001</v>
      </c>
      <c r="J330" s="108">
        <f t="shared" si="71"/>
        <v>1300.0793000000001</v>
      </c>
      <c r="K330" s="108">
        <f t="shared" si="72"/>
        <v>3535.8029000000001</v>
      </c>
      <c r="L330" s="108">
        <f t="shared" si="73"/>
        <v>1767.5881999999999</v>
      </c>
      <c r="M330" s="77"/>
    </row>
    <row r="331" spans="1:13" ht="15" customHeight="1">
      <c r="A331" s="13" t="str">
        <f t="shared" si="62"/>
        <v>Tuesday</v>
      </c>
      <c r="B331" s="28">
        <f t="shared" si="63"/>
        <v>46406</v>
      </c>
      <c r="C331" s="108">
        <f t="shared" si="64"/>
        <v>3018.5990000000002</v>
      </c>
      <c r="D331" s="108">
        <f t="shared" si="65"/>
        <v>1844.2415000000001</v>
      </c>
      <c r="E331" s="108">
        <f t="shared" si="66"/>
        <v>3551.6895</v>
      </c>
      <c r="F331" s="108">
        <f t="shared" si="67"/>
        <v>2263.2946000000002</v>
      </c>
      <c r="G331" s="108">
        <f t="shared" si="68"/>
        <v>947.50139999999999</v>
      </c>
      <c r="H331" s="108">
        <f t="shared" si="69"/>
        <v>1732.0078000000001</v>
      </c>
      <c r="I331" s="108">
        <f t="shared" si="70"/>
        <v>1150.5121999999999</v>
      </c>
      <c r="J331" s="108">
        <f t="shared" si="71"/>
        <v>1300.1327000000001</v>
      </c>
      <c r="K331" s="108">
        <f t="shared" si="72"/>
        <v>3535.8029000000001</v>
      </c>
      <c r="L331" s="108">
        <f t="shared" si="73"/>
        <v>1767.6003000000001</v>
      </c>
      <c r="M331" s="77"/>
    </row>
    <row r="332" spans="1:13" ht="15" customHeight="1">
      <c r="A332" s="13" t="str">
        <f t="shared" si="62"/>
        <v>Wednesday</v>
      </c>
      <c r="B332" s="28">
        <f t="shared" si="63"/>
        <v>46407</v>
      </c>
      <c r="C332" s="108">
        <f t="shared" si="64"/>
        <v>3018.6163999999999</v>
      </c>
      <c r="D332" s="108">
        <f t="shared" si="65"/>
        <v>1844.2516000000001</v>
      </c>
      <c r="E332" s="108">
        <f t="shared" si="66"/>
        <v>3551.7138</v>
      </c>
      <c r="F332" s="108">
        <f t="shared" si="67"/>
        <v>2263.3038999999999</v>
      </c>
      <c r="G332" s="108">
        <f t="shared" si="68"/>
        <v>947.50789999999995</v>
      </c>
      <c r="H332" s="108">
        <f t="shared" si="69"/>
        <v>1732.0168000000001</v>
      </c>
      <c r="I332" s="108">
        <f t="shared" si="70"/>
        <v>1150.5201</v>
      </c>
      <c r="J332" s="108">
        <f t="shared" si="71"/>
        <v>1300.1860999999999</v>
      </c>
      <c r="K332" s="108">
        <f t="shared" si="72"/>
        <v>3535.8029000000001</v>
      </c>
      <c r="L332" s="108">
        <f t="shared" si="73"/>
        <v>1767.6124</v>
      </c>
      <c r="M332" s="77"/>
    </row>
    <row r="333" spans="1:13" ht="15" customHeight="1">
      <c r="A333" s="13" t="str">
        <f t="shared" si="62"/>
        <v>Thursday</v>
      </c>
      <c r="B333" s="28">
        <f t="shared" si="63"/>
        <v>46408</v>
      </c>
      <c r="C333" s="108">
        <f t="shared" si="64"/>
        <v>3018.6338000000001</v>
      </c>
      <c r="D333" s="108">
        <f t="shared" si="65"/>
        <v>1844.2617</v>
      </c>
      <c r="E333" s="108">
        <f t="shared" si="66"/>
        <v>3551.7381</v>
      </c>
      <c r="F333" s="108">
        <f t="shared" si="67"/>
        <v>2263.3132000000001</v>
      </c>
      <c r="G333" s="108">
        <f t="shared" si="68"/>
        <v>947.51440000000002</v>
      </c>
      <c r="H333" s="108">
        <f t="shared" si="69"/>
        <v>1732.0257999999999</v>
      </c>
      <c r="I333" s="108">
        <f t="shared" si="70"/>
        <v>1150.528</v>
      </c>
      <c r="J333" s="108">
        <f t="shared" si="71"/>
        <v>1300.2394999999999</v>
      </c>
      <c r="K333" s="108">
        <f t="shared" si="72"/>
        <v>3535.8029000000001</v>
      </c>
      <c r="L333" s="108">
        <f t="shared" si="73"/>
        <v>1767.6244999999999</v>
      </c>
      <c r="M333" s="77"/>
    </row>
    <row r="334" spans="1:13" ht="15" customHeight="1">
      <c r="A334" s="13" t="str">
        <f t="shared" si="62"/>
        <v>Friday</v>
      </c>
      <c r="B334" s="28">
        <f t="shared" si="63"/>
        <v>46409</v>
      </c>
      <c r="C334" s="108">
        <f t="shared" si="64"/>
        <v>3018.6511999999998</v>
      </c>
      <c r="D334" s="108">
        <f t="shared" si="65"/>
        <v>1844.2718</v>
      </c>
      <c r="E334" s="108">
        <f t="shared" si="66"/>
        <v>3551.7624000000001</v>
      </c>
      <c r="F334" s="108">
        <f t="shared" si="67"/>
        <v>2263.3225000000002</v>
      </c>
      <c r="G334" s="108">
        <f t="shared" si="68"/>
        <v>947.52089999999998</v>
      </c>
      <c r="H334" s="108">
        <f t="shared" si="69"/>
        <v>1732.0347999999999</v>
      </c>
      <c r="I334" s="108">
        <f t="shared" si="70"/>
        <v>1150.5359000000001</v>
      </c>
      <c r="J334" s="108">
        <f t="shared" si="71"/>
        <v>1300.2928999999999</v>
      </c>
      <c r="K334" s="108">
        <f t="shared" si="72"/>
        <v>3535.8029000000001</v>
      </c>
      <c r="L334" s="108">
        <f t="shared" si="73"/>
        <v>1767.6366</v>
      </c>
      <c r="M334" s="77"/>
    </row>
    <row r="335" spans="1:13" ht="15" customHeight="1">
      <c r="A335" s="13" t="str">
        <f t="shared" si="62"/>
        <v>Saturday</v>
      </c>
      <c r="B335" s="28">
        <f t="shared" si="63"/>
        <v>46410</v>
      </c>
      <c r="C335" s="108">
        <f t="shared" si="64"/>
        <v>3018.6686</v>
      </c>
      <c r="D335" s="108">
        <f t="shared" si="65"/>
        <v>1844.2819</v>
      </c>
      <c r="E335" s="108">
        <f t="shared" si="66"/>
        <v>3551.7867000000001</v>
      </c>
      <c r="F335" s="108">
        <f t="shared" si="67"/>
        <v>2263.3317999999999</v>
      </c>
      <c r="G335" s="108">
        <f t="shared" si="68"/>
        <v>947.52739999999994</v>
      </c>
      <c r="H335" s="108">
        <f t="shared" si="69"/>
        <v>1732.0437999999999</v>
      </c>
      <c r="I335" s="108">
        <f t="shared" si="70"/>
        <v>1150.5437999999999</v>
      </c>
      <c r="J335" s="108">
        <f t="shared" si="71"/>
        <v>1300.3462999999999</v>
      </c>
      <c r="K335" s="108">
        <f t="shared" si="72"/>
        <v>3535.8029000000001</v>
      </c>
      <c r="L335" s="108">
        <f t="shared" si="73"/>
        <v>1767.6487</v>
      </c>
      <c r="M335" s="77"/>
    </row>
    <row r="336" spans="1:13" ht="15" customHeight="1">
      <c r="A336" s="13" t="str">
        <f t="shared" si="62"/>
        <v>Sunday</v>
      </c>
      <c r="B336" s="28">
        <f t="shared" si="63"/>
        <v>46411</v>
      </c>
      <c r="C336" s="108">
        <f t="shared" si="64"/>
        <v>3018.6860000000001</v>
      </c>
      <c r="D336" s="108">
        <f t="shared" si="65"/>
        <v>1844.2919999999999</v>
      </c>
      <c r="E336" s="108">
        <f t="shared" si="66"/>
        <v>3551.8110000000001</v>
      </c>
      <c r="F336" s="108">
        <f t="shared" si="67"/>
        <v>2263.3411000000001</v>
      </c>
      <c r="G336" s="108">
        <f t="shared" si="68"/>
        <v>947.53390000000002</v>
      </c>
      <c r="H336" s="108">
        <f t="shared" si="69"/>
        <v>1732.0527999999999</v>
      </c>
      <c r="I336" s="108">
        <f t="shared" si="70"/>
        <v>1150.5517</v>
      </c>
      <c r="J336" s="108">
        <f t="shared" si="71"/>
        <v>1300.3996999999999</v>
      </c>
      <c r="K336" s="108">
        <f t="shared" si="72"/>
        <v>3535.8029000000001</v>
      </c>
      <c r="L336" s="108">
        <f t="shared" si="73"/>
        <v>1767.6608000000001</v>
      </c>
      <c r="M336" s="77"/>
    </row>
    <row r="337" spans="1:13" ht="15" customHeight="1">
      <c r="A337" s="13" t="str">
        <f t="shared" si="62"/>
        <v>Monday</v>
      </c>
      <c r="B337" s="28">
        <f t="shared" si="63"/>
        <v>46412</v>
      </c>
      <c r="C337" s="108">
        <f t="shared" si="64"/>
        <v>3018.7033999999999</v>
      </c>
      <c r="D337" s="108">
        <f t="shared" si="65"/>
        <v>1844.3021000000001</v>
      </c>
      <c r="E337" s="108">
        <f t="shared" si="66"/>
        <v>3551.8353000000002</v>
      </c>
      <c r="F337" s="108">
        <f t="shared" si="67"/>
        <v>2263.3503999999998</v>
      </c>
      <c r="G337" s="108">
        <f t="shared" si="68"/>
        <v>947.54039999999998</v>
      </c>
      <c r="H337" s="108">
        <f t="shared" si="69"/>
        <v>1732.0617999999999</v>
      </c>
      <c r="I337" s="108">
        <f t="shared" si="70"/>
        <v>1150.5596</v>
      </c>
      <c r="J337" s="108">
        <f t="shared" si="71"/>
        <v>1300.4530999999999</v>
      </c>
      <c r="K337" s="108">
        <f t="shared" si="72"/>
        <v>3535.8029000000001</v>
      </c>
      <c r="L337" s="108">
        <f t="shared" si="73"/>
        <v>1767.6729</v>
      </c>
      <c r="M337" s="77"/>
    </row>
    <row r="338" spans="1:13" ht="15" customHeight="1">
      <c r="A338" s="13" t="str">
        <f t="shared" si="62"/>
        <v>Tuesday</v>
      </c>
      <c r="B338" s="28">
        <f t="shared" si="63"/>
        <v>46413</v>
      </c>
      <c r="C338" s="108">
        <f t="shared" si="64"/>
        <v>3018.7208000000001</v>
      </c>
      <c r="D338" s="108">
        <f t="shared" si="65"/>
        <v>1844.3122000000001</v>
      </c>
      <c r="E338" s="108">
        <f t="shared" si="66"/>
        <v>3551.8595999999998</v>
      </c>
      <c r="F338" s="108">
        <f t="shared" si="67"/>
        <v>2263.3597</v>
      </c>
      <c r="G338" s="108">
        <f t="shared" si="68"/>
        <v>947.54690000000005</v>
      </c>
      <c r="H338" s="108">
        <f t="shared" si="69"/>
        <v>1732.0708</v>
      </c>
      <c r="I338" s="108">
        <f t="shared" si="70"/>
        <v>1150.5675000000001</v>
      </c>
      <c r="J338" s="108">
        <f t="shared" si="71"/>
        <v>1300.5065</v>
      </c>
      <c r="K338" s="108">
        <f t="shared" si="72"/>
        <v>3535.8029000000001</v>
      </c>
      <c r="L338" s="108">
        <f t="shared" si="73"/>
        <v>1767.6849999999999</v>
      </c>
      <c r="M338" s="77"/>
    </row>
    <row r="339" spans="1:13" ht="15" customHeight="1">
      <c r="A339" s="13" t="str">
        <f t="shared" si="62"/>
        <v>Wednesday</v>
      </c>
      <c r="B339" s="28">
        <f t="shared" si="63"/>
        <v>46414</v>
      </c>
      <c r="C339" s="108">
        <f t="shared" si="64"/>
        <v>3018.7381999999998</v>
      </c>
      <c r="D339" s="108">
        <f t="shared" si="65"/>
        <v>1844.3223</v>
      </c>
      <c r="E339" s="108">
        <f t="shared" si="66"/>
        <v>3551.8838999999998</v>
      </c>
      <c r="F339" s="108">
        <f t="shared" si="67"/>
        <v>2263.3690000000001</v>
      </c>
      <c r="G339" s="108">
        <f t="shared" si="68"/>
        <v>947.55340000000001</v>
      </c>
      <c r="H339" s="108">
        <f t="shared" si="69"/>
        <v>1732.0798</v>
      </c>
      <c r="I339" s="108">
        <f t="shared" si="70"/>
        <v>1150.5753999999999</v>
      </c>
      <c r="J339" s="108">
        <f t="shared" si="71"/>
        <v>1300.5599</v>
      </c>
      <c r="K339" s="108">
        <f t="shared" si="72"/>
        <v>3535.8029000000001</v>
      </c>
      <c r="L339" s="108">
        <f t="shared" si="73"/>
        <v>1767.6971000000001</v>
      </c>
      <c r="M339" s="77"/>
    </row>
    <row r="340" spans="1:13" ht="15" customHeight="1">
      <c r="A340" s="13" t="str">
        <f t="shared" si="62"/>
        <v>Thursday</v>
      </c>
      <c r="B340" s="28">
        <f t="shared" si="63"/>
        <v>46415</v>
      </c>
      <c r="C340" s="108">
        <f t="shared" si="64"/>
        <v>3018.7556</v>
      </c>
      <c r="D340" s="108">
        <f t="shared" si="65"/>
        <v>1844.3324</v>
      </c>
      <c r="E340" s="108">
        <f t="shared" si="66"/>
        <v>3551.9081999999999</v>
      </c>
      <c r="F340" s="108">
        <f t="shared" si="67"/>
        <v>2263.3782999999999</v>
      </c>
      <c r="G340" s="108">
        <f t="shared" si="68"/>
        <v>947.55989999999997</v>
      </c>
      <c r="H340" s="108">
        <f t="shared" si="69"/>
        <v>1732.0888</v>
      </c>
      <c r="I340" s="108">
        <f t="shared" si="70"/>
        <v>1150.5833</v>
      </c>
      <c r="J340" s="108">
        <f t="shared" si="71"/>
        <v>1300.6133</v>
      </c>
      <c r="K340" s="108">
        <f t="shared" si="72"/>
        <v>3535.8029000000001</v>
      </c>
      <c r="L340" s="108">
        <f t="shared" si="73"/>
        <v>1767.7092</v>
      </c>
      <c r="M340" s="77"/>
    </row>
    <row r="341" spans="1:13" ht="15" customHeight="1">
      <c r="A341" s="13" t="str">
        <f t="shared" si="62"/>
        <v>Friday</v>
      </c>
      <c r="B341" s="28">
        <f t="shared" si="63"/>
        <v>46416</v>
      </c>
      <c r="C341" s="108">
        <f t="shared" si="64"/>
        <v>3018.7730000000001</v>
      </c>
      <c r="D341" s="108">
        <f t="shared" si="65"/>
        <v>1844.3425</v>
      </c>
      <c r="E341" s="108">
        <f t="shared" si="66"/>
        <v>3551.9324999999999</v>
      </c>
      <c r="F341" s="108">
        <f t="shared" si="67"/>
        <v>2263.3876</v>
      </c>
      <c r="G341" s="108">
        <f t="shared" si="68"/>
        <v>947.56640000000004</v>
      </c>
      <c r="H341" s="108">
        <f t="shared" si="69"/>
        <v>1732.0978</v>
      </c>
      <c r="I341" s="108">
        <f t="shared" si="70"/>
        <v>1150.5912000000001</v>
      </c>
      <c r="J341" s="108">
        <f t="shared" si="71"/>
        <v>1300.6667</v>
      </c>
      <c r="K341" s="108">
        <f t="shared" si="72"/>
        <v>3535.8029000000001</v>
      </c>
      <c r="L341" s="108">
        <f t="shared" si="73"/>
        <v>1767.7212999999999</v>
      </c>
      <c r="M341" s="77"/>
    </row>
    <row r="342" spans="1:13" ht="15" customHeight="1">
      <c r="A342" s="13" t="str">
        <f t="shared" si="62"/>
        <v>Saturday</v>
      </c>
      <c r="B342" s="28">
        <f t="shared" si="63"/>
        <v>46417</v>
      </c>
      <c r="C342" s="108">
        <f t="shared" si="64"/>
        <v>3018.7903999999999</v>
      </c>
      <c r="D342" s="108">
        <f t="shared" si="65"/>
        <v>1844.3525999999999</v>
      </c>
      <c r="E342" s="108">
        <f t="shared" si="66"/>
        <v>3551.9567999999999</v>
      </c>
      <c r="F342" s="108">
        <f t="shared" si="67"/>
        <v>2263.3969000000002</v>
      </c>
      <c r="G342" s="108">
        <f t="shared" si="68"/>
        <v>947.5729</v>
      </c>
      <c r="H342" s="108">
        <f t="shared" si="69"/>
        <v>1732.1068</v>
      </c>
      <c r="I342" s="108">
        <f t="shared" si="70"/>
        <v>1150.5990999999999</v>
      </c>
      <c r="J342" s="108">
        <f t="shared" si="71"/>
        <v>1300.7202</v>
      </c>
      <c r="K342" s="108">
        <f t="shared" si="72"/>
        <v>3535.8029000000001</v>
      </c>
      <c r="L342" s="108">
        <f t="shared" si="73"/>
        <v>1767.7334000000001</v>
      </c>
      <c r="M342" s="77"/>
    </row>
    <row r="343" spans="1:13" ht="15" customHeight="1">
      <c r="A343" s="13" t="str">
        <f t="shared" si="62"/>
        <v>Sunday</v>
      </c>
      <c r="B343" s="28">
        <f t="shared" si="63"/>
        <v>46418</v>
      </c>
      <c r="C343" s="108">
        <f t="shared" si="64"/>
        <v>3018.8078</v>
      </c>
      <c r="D343" s="108">
        <f t="shared" si="65"/>
        <v>1844.3626999999999</v>
      </c>
      <c r="E343" s="108">
        <f t="shared" si="66"/>
        <v>3551.9811</v>
      </c>
      <c r="F343" s="108">
        <f t="shared" si="67"/>
        <v>2263.4061999999999</v>
      </c>
      <c r="G343" s="108">
        <f t="shared" si="68"/>
        <v>947.57939999999996</v>
      </c>
      <c r="H343" s="108">
        <f t="shared" si="69"/>
        <v>1732.1158</v>
      </c>
      <c r="I343" s="108">
        <f t="shared" si="70"/>
        <v>1150.607</v>
      </c>
      <c r="J343" s="108">
        <f t="shared" si="71"/>
        <v>1300.7737</v>
      </c>
      <c r="K343" s="108">
        <f t="shared" si="72"/>
        <v>3535.8029000000001</v>
      </c>
      <c r="L343" s="108">
        <f t="shared" si="73"/>
        <v>1767.7455</v>
      </c>
      <c r="M343" s="77"/>
    </row>
    <row r="344" spans="1:13" ht="15" customHeight="1">
      <c r="A344" s="13" t="str">
        <f t="shared" si="62"/>
        <v>Monday</v>
      </c>
      <c r="B344" s="28">
        <f t="shared" si="63"/>
        <v>46419</v>
      </c>
      <c r="C344" s="108">
        <f t="shared" si="64"/>
        <v>3018.8252000000002</v>
      </c>
      <c r="D344" s="108">
        <f t="shared" si="65"/>
        <v>1844.3728000000001</v>
      </c>
      <c r="E344" s="108">
        <f t="shared" si="66"/>
        <v>3552.0054</v>
      </c>
      <c r="F344" s="108">
        <f t="shared" si="67"/>
        <v>2263.4155000000001</v>
      </c>
      <c r="G344" s="108">
        <f t="shared" si="68"/>
        <v>947.58590000000004</v>
      </c>
      <c r="H344" s="108">
        <f t="shared" si="69"/>
        <v>1732.1248000000001</v>
      </c>
      <c r="I344" s="108">
        <f t="shared" si="70"/>
        <v>1150.6149</v>
      </c>
      <c r="J344" s="108">
        <f t="shared" si="71"/>
        <v>1300.8271999999999</v>
      </c>
      <c r="K344" s="108">
        <f t="shared" si="72"/>
        <v>3535.8029000000001</v>
      </c>
      <c r="L344" s="108">
        <f t="shared" si="73"/>
        <v>1767.7575999999999</v>
      </c>
      <c r="M344" s="77"/>
    </row>
    <row r="345" spans="1:13" ht="15" customHeight="1">
      <c r="A345" s="13" t="str">
        <f t="shared" si="62"/>
        <v>Tuesday</v>
      </c>
      <c r="B345" s="28">
        <f t="shared" si="63"/>
        <v>46420</v>
      </c>
      <c r="C345" s="108">
        <f t="shared" si="64"/>
        <v>3018.8425999999999</v>
      </c>
      <c r="D345" s="108">
        <f t="shared" si="65"/>
        <v>1844.3829000000001</v>
      </c>
      <c r="E345" s="108">
        <f t="shared" si="66"/>
        <v>3552.0297</v>
      </c>
      <c r="F345" s="108">
        <f t="shared" si="67"/>
        <v>2263.4247999999998</v>
      </c>
      <c r="G345" s="108">
        <f t="shared" si="68"/>
        <v>947.5924</v>
      </c>
      <c r="H345" s="108">
        <f t="shared" si="69"/>
        <v>1732.1338000000001</v>
      </c>
      <c r="I345" s="108">
        <f t="shared" si="70"/>
        <v>1150.6228000000001</v>
      </c>
      <c r="J345" s="108">
        <f t="shared" si="71"/>
        <v>1300.8806999999999</v>
      </c>
      <c r="K345" s="108">
        <f t="shared" si="72"/>
        <v>3535.8029000000001</v>
      </c>
      <c r="L345" s="108">
        <f t="shared" si="73"/>
        <v>1767.7697000000001</v>
      </c>
      <c r="M345" s="77"/>
    </row>
    <row r="346" spans="1:13" ht="15" customHeight="1">
      <c r="A346" s="13" t="str">
        <f t="shared" si="62"/>
        <v>Wednesday</v>
      </c>
      <c r="B346" s="28">
        <f t="shared" si="63"/>
        <v>46421</v>
      </c>
      <c r="C346" s="108">
        <f t="shared" si="64"/>
        <v>3018.86</v>
      </c>
      <c r="D346" s="108">
        <f t="shared" si="65"/>
        <v>1844.393</v>
      </c>
      <c r="E346" s="108">
        <f t="shared" si="66"/>
        <v>3552.0540000000001</v>
      </c>
      <c r="F346" s="108">
        <f t="shared" si="67"/>
        <v>2263.4340999999999</v>
      </c>
      <c r="G346" s="108">
        <f t="shared" si="68"/>
        <v>947.59889999999996</v>
      </c>
      <c r="H346" s="108">
        <f t="shared" si="69"/>
        <v>1732.1428000000001</v>
      </c>
      <c r="I346" s="108">
        <f t="shared" si="70"/>
        <v>1150.6306999999999</v>
      </c>
      <c r="J346" s="108">
        <f t="shared" si="71"/>
        <v>1300.9341999999999</v>
      </c>
      <c r="K346" s="108">
        <f t="shared" si="72"/>
        <v>3535.8029000000001</v>
      </c>
      <c r="L346" s="108">
        <f t="shared" si="73"/>
        <v>1767.7818</v>
      </c>
      <c r="M346" s="77"/>
    </row>
    <row r="347" spans="1:13" ht="15" customHeight="1">
      <c r="A347" s="13" t="str">
        <f t="shared" si="62"/>
        <v>Thursday</v>
      </c>
      <c r="B347" s="28">
        <f t="shared" si="63"/>
        <v>46422</v>
      </c>
      <c r="C347" s="108">
        <f t="shared" si="64"/>
        <v>3018.8773999999999</v>
      </c>
      <c r="D347" s="108">
        <f t="shared" si="65"/>
        <v>1844.4031</v>
      </c>
      <c r="E347" s="108">
        <f t="shared" si="66"/>
        <v>3552.0783000000001</v>
      </c>
      <c r="F347" s="108">
        <f t="shared" si="67"/>
        <v>2263.4434000000001</v>
      </c>
      <c r="G347" s="108">
        <f t="shared" si="68"/>
        <v>947.60540000000003</v>
      </c>
      <c r="H347" s="108">
        <f t="shared" si="69"/>
        <v>1732.1518000000001</v>
      </c>
      <c r="I347" s="108">
        <f t="shared" si="70"/>
        <v>1150.6386</v>
      </c>
      <c r="J347" s="108">
        <f t="shared" si="71"/>
        <v>1300.9876999999999</v>
      </c>
      <c r="K347" s="108">
        <f t="shared" si="72"/>
        <v>3535.8029000000001</v>
      </c>
      <c r="L347" s="108">
        <f t="shared" si="73"/>
        <v>1767.7938999999999</v>
      </c>
      <c r="M347" s="77"/>
    </row>
    <row r="348" spans="1:13" ht="15" customHeight="1">
      <c r="A348" s="13" t="str">
        <f t="shared" si="62"/>
        <v>Friday</v>
      </c>
      <c r="B348" s="28">
        <f t="shared" si="63"/>
        <v>46423</v>
      </c>
      <c r="C348" s="108">
        <f t="shared" si="64"/>
        <v>3018.8948</v>
      </c>
      <c r="D348" s="108">
        <f t="shared" si="65"/>
        <v>1844.4132</v>
      </c>
      <c r="E348" s="108">
        <f t="shared" si="66"/>
        <v>3552.1026000000002</v>
      </c>
      <c r="F348" s="108">
        <f t="shared" si="67"/>
        <v>2263.4526999999998</v>
      </c>
      <c r="G348" s="108">
        <f t="shared" si="68"/>
        <v>947.61189999999999</v>
      </c>
      <c r="H348" s="108">
        <f t="shared" si="69"/>
        <v>1732.1608000000001</v>
      </c>
      <c r="I348" s="108">
        <f t="shared" si="70"/>
        <v>1150.6465000000001</v>
      </c>
      <c r="J348" s="108">
        <f t="shared" si="71"/>
        <v>1301.0411999999999</v>
      </c>
      <c r="K348" s="108">
        <f t="shared" si="72"/>
        <v>3535.8029000000001</v>
      </c>
      <c r="L348" s="108">
        <f t="shared" si="73"/>
        <v>1767.806</v>
      </c>
      <c r="M348" s="77"/>
    </row>
    <row r="349" spans="1:13" ht="15" customHeight="1">
      <c r="A349" s="13" t="str">
        <f t="shared" si="62"/>
        <v>Saturday</v>
      </c>
      <c r="B349" s="28">
        <f t="shared" si="63"/>
        <v>46424</v>
      </c>
      <c r="C349" s="108">
        <f t="shared" si="64"/>
        <v>3018.9122000000002</v>
      </c>
      <c r="D349" s="108">
        <f t="shared" si="65"/>
        <v>1844.4232999999999</v>
      </c>
      <c r="E349" s="108">
        <f t="shared" si="66"/>
        <v>3552.1269000000002</v>
      </c>
      <c r="F349" s="108">
        <f t="shared" si="67"/>
        <v>2263.462</v>
      </c>
      <c r="G349" s="108">
        <f t="shared" si="68"/>
        <v>947.61839999999995</v>
      </c>
      <c r="H349" s="108">
        <f t="shared" si="69"/>
        <v>1732.1697999999999</v>
      </c>
      <c r="I349" s="108">
        <f t="shared" si="70"/>
        <v>1150.6543999999999</v>
      </c>
      <c r="J349" s="108">
        <f t="shared" si="71"/>
        <v>1301.0947000000001</v>
      </c>
      <c r="K349" s="108">
        <f t="shared" si="72"/>
        <v>3535.8029000000001</v>
      </c>
      <c r="L349" s="108">
        <f t="shared" si="73"/>
        <v>1767.8181</v>
      </c>
      <c r="M349" s="77"/>
    </row>
    <row r="350" spans="1:13" ht="15" customHeight="1">
      <c r="A350" s="13" t="str">
        <f t="shared" si="62"/>
        <v>Sunday</v>
      </c>
      <c r="B350" s="28">
        <f t="shared" si="63"/>
        <v>46425</v>
      </c>
      <c r="C350" s="108">
        <f t="shared" si="64"/>
        <v>3018.9295999999999</v>
      </c>
      <c r="D350" s="108">
        <f t="shared" si="65"/>
        <v>1844.4333999999999</v>
      </c>
      <c r="E350" s="108">
        <f t="shared" si="66"/>
        <v>3552.1511999999998</v>
      </c>
      <c r="F350" s="108">
        <f t="shared" si="67"/>
        <v>2263.4713000000002</v>
      </c>
      <c r="G350" s="108">
        <f t="shared" si="68"/>
        <v>947.62490000000003</v>
      </c>
      <c r="H350" s="108">
        <f t="shared" si="69"/>
        <v>1732.1787999999999</v>
      </c>
      <c r="I350" s="108">
        <f t="shared" si="70"/>
        <v>1150.6623</v>
      </c>
      <c r="J350" s="108">
        <f t="shared" si="71"/>
        <v>1301.1482000000001</v>
      </c>
      <c r="K350" s="108">
        <f t="shared" si="72"/>
        <v>3535.8029000000001</v>
      </c>
      <c r="L350" s="108">
        <f t="shared" si="73"/>
        <v>1767.8302000000001</v>
      </c>
      <c r="M350" s="77"/>
    </row>
    <row r="351" spans="1:13" ht="15" customHeight="1">
      <c r="A351" s="13" t="str">
        <f t="shared" si="62"/>
        <v>Monday</v>
      </c>
      <c r="B351" s="28">
        <f t="shared" si="63"/>
        <v>46426</v>
      </c>
      <c r="C351" s="108">
        <f t="shared" si="64"/>
        <v>3018.9470000000001</v>
      </c>
      <c r="D351" s="108">
        <f t="shared" si="65"/>
        <v>1844.4435000000001</v>
      </c>
      <c r="E351" s="108">
        <f t="shared" si="66"/>
        <v>3552.1754999999998</v>
      </c>
      <c r="F351" s="108">
        <f t="shared" si="67"/>
        <v>2263.4805999999999</v>
      </c>
      <c r="G351" s="108">
        <f t="shared" si="68"/>
        <v>947.63139999999999</v>
      </c>
      <c r="H351" s="108">
        <f t="shared" si="69"/>
        <v>1732.1877999999999</v>
      </c>
      <c r="I351" s="108">
        <f t="shared" si="70"/>
        <v>1150.6702</v>
      </c>
      <c r="J351" s="108">
        <f t="shared" si="71"/>
        <v>1301.2017000000001</v>
      </c>
      <c r="K351" s="108">
        <f t="shared" si="72"/>
        <v>3535.8029000000001</v>
      </c>
      <c r="L351" s="108">
        <f t="shared" si="73"/>
        <v>1767.8423</v>
      </c>
      <c r="M351" s="77"/>
    </row>
    <row r="352" spans="1:13" ht="15" customHeight="1">
      <c r="A352" s="13" t="str">
        <f t="shared" si="62"/>
        <v>Tuesday</v>
      </c>
      <c r="B352" s="28">
        <f t="shared" si="63"/>
        <v>46427</v>
      </c>
      <c r="C352" s="108">
        <f t="shared" si="64"/>
        <v>3018.9643999999998</v>
      </c>
      <c r="D352" s="108">
        <f t="shared" si="65"/>
        <v>1844.4536000000001</v>
      </c>
      <c r="E352" s="108">
        <f t="shared" si="66"/>
        <v>3552.1997999999999</v>
      </c>
      <c r="F352" s="108">
        <f t="shared" si="67"/>
        <v>2263.4899</v>
      </c>
      <c r="G352" s="108">
        <f t="shared" si="68"/>
        <v>947.63789999999995</v>
      </c>
      <c r="H352" s="108">
        <f t="shared" si="69"/>
        <v>1732.1967999999999</v>
      </c>
      <c r="I352" s="108">
        <f t="shared" si="70"/>
        <v>1150.6781000000001</v>
      </c>
      <c r="J352" s="108">
        <f t="shared" si="71"/>
        <v>1301.2552000000001</v>
      </c>
      <c r="K352" s="108">
        <f t="shared" si="72"/>
        <v>3535.8029000000001</v>
      </c>
      <c r="L352" s="108">
        <f t="shared" si="73"/>
        <v>1767.8543999999999</v>
      </c>
      <c r="M352" s="77"/>
    </row>
    <row r="353" spans="1:13" ht="15" customHeight="1">
      <c r="A353" s="13" t="str">
        <f t="shared" si="62"/>
        <v>Wednesday</v>
      </c>
      <c r="B353" s="28">
        <f t="shared" si="63"/>
        <v>46428</v>
      </c>
      <c r="C353" s="108">
        <f t="shared" si="64"/>
        <v>3018.9818</v>
      </c>
      <c r="D353" s="108">
        <f t="shared" si="65"/>
        <v>1844.4637</v>
      </c>
      <c r="E353" s="108">
        <f t="shared" si="66"/>
        <v>3552.2240999999999</v>
      </c>
      <c r="F353" s="108">
        <f t="shared" si="67"/>
        <v>2263.4992000000002</v>
      </c>
      <c r="G353" s="108">
        <f t="shared" si="68"/>
        <v>947.64440000000002</v>
      </c>
      <c r="H353" s="108">
        <f t="shared" si="69"/>
        <v>1732.2058</v>
      </c>
      <c r="I353" s="108">
        <f t="shared" si="70"/>
        <v>1150.6859999999999</v>
      </c>
      <c r="J353" s="108">
        <f t="shared" si="71"/>
        <v>1301.3087</v>
      </c>
      <c r="K353" s="108">
        <f t="shared" si="72"/>
        <v>3535.8029000000001</v>
      </c>
      <c r="L353" s="108">
        <f t="shared" si="73"/>
        <v>1767.8665000000001</v>
      </c>
      <c r="M353" s="77"/>
    </row>
    <row r="354" spans="1:13" ht="15" customHeight="1">
      <c r="A354" s="13" t="str">
        <f t="shared" si="62"/>
        <v>Thursday</v>
      </c>
      <c r="B354" s="28">
        <f t="shared" si="63"/>
        <v>46429</v>
      </c>
      <c r="C354" s="108">
        <f t="shared" si="64"/>
        <v>3018.9992000000002</v>
      </c>
      <c r="D354" s="108">
        <f t="shared" si="65"/>
        <v>1844.4738</v>
      </c>
      <c r="E354" s="108">
        <f t="shared" si="66"/>
        <v>3552.2483999999999</v>
      </c>
      <c r="F354" s="108">
        <f t="shared" si="67"/>
        <v>2263.5084999999999</v>
      </c>
      <c r="G354" s="108">
        <f t="shared" si="68"/>
        <v>947.65089999999998</v>
      </c>
      <c r="H354" s="108">
        <f t="shared" si="69"/>
        <v>1732.2148</v>
      </c>
      <c r="I354" s="108">
        <f t="shared" si="70"/>
        <v>1150.6939</v>
      </c>
      <c r="J354" s="108">
        <f t="shared" si="71"/>
        <v>1301.3622</v>
      </c>
      <c r="K354" s="108">
        <f t="shared" si="72"/>
        <v>3535.8029000000001</v>
      </c>
      <c r="L354" s="108">
        <f t="shared" si="73"/>
        <v>1767.8786</v>
      </c>
      <c r="M354" s="77"/>
    </row>
    <row r="355" spans="1:13" ht="15" customHeight="1">
      <c r="A355" s="13" t="str">
        <f t="shared" si="62"/>
        <v>Friday</v>
      </c>
      <c r="B355" s="28">
        <f t="shared" si="63"/>
        <v>46430</v>
      </c>
      <c r="C355" s="108">
        <f t="shared" si="64"/>
        <v>3019.0165999999999</v>
      </c>
      <c r="D355" s="108">
        <f t="shared" si="65"/>
        <v>1844.4838999999999</v>
      </c>
      <c r="E355" s="108">
        <f t="shared" si="66"/>
        <v>3552.2727</v>
      </c>
      <c r="F355" s="108">
        <f t="shared" si="67"/>
        <v>2263.5178000000001</v>
      </c>
      <c r="G355" s="108">
        <f t="shared" si="68"/>
        <v>947.65740000000005</v>
      </c>
      <c r="H355" s="108">
        <f t="shared" si="69"/>
        <v>1732.2238</v>
      </c>
      <c r="I355" s="108">
        <f t="shared" si="70"/>
        <v>1150.7018</v>
      </c>
      <c r="J355" s="108">
        <f t="shared" si="71"/>
        <v>1301.4157</v>
      </c>
      <c r="K355" s="108">
        <f t="shared" si="72"/>
        <v>3535.8029000000001</v>
      </c>
      <c r="L355" s="108">
        <f t="shared" si="73"/>
        <v>1767.8906999999999</v>
      </c>
      <c r="M355" s="77"/>
    </row>
    <row r="356" spans="1:13" ht="15" customHeight="1">
      <c r="A356" s="13" t="str">
        <f t="shared" si="62"/>
        <v>Saturday</v>
      </c>
      <c r="B356" s="28">
        <f t="shared" si="63"/>
        <v>46431</v>
      </c>
      <c r="C356" s="108">
        <f t="shared" si="64"/>
        <v>3019.0340000000001</v>
      </c>
      <c r="D356" s="108">
        <f t="shared" si="65"/>
        <v>1844.4939999999999</v>
      </c>
      <c r="E356" s="108">
        <f t="shared" si="66"/>
        <v>3552.297</v>
      </c>
      <c r="F356" s="108">
        <f t="shared" si="67"/>
        <v>2263.5270999999998</v>
      </c>
      <c r="G356" s="108">
        <f t="shared" si="68"/>
        <v>947.66390000000001</v>
      </c>
      <c r="H356" s="108">
        <f t="shared" si="69"/>
        <v>1732.2328</v>
      </c>
      <c r="I356" s="108">
        <f t="shared" si="70"/>
        <v>1150.7097000000001</v>
      </c>
      <c r="J356" s="108">
        <f t="shared" si="71"/>
        <v>1301.4692</v>
      </c>
      <c r="K356" s="108">
        <f t="shared" si="72"/>
        <v>3535.8029000000001</v>
      </c>
      <c r="L356" s="108">
        <f t="shared" si="73"/>
        <v>1767.9028000000001</v>
      </c>
      <c r="M356" s="77"/>
    </row>
    <row r="357" spans="1:13" ht="15" customHeight="1">
      <c r="A357" s="13" t="str">
        <f t="shared" si="62"/>
        <v>Sunday</v>
      </c>
      <c r="B357" s="28">
        <f t="shared" si="63"/>
        <v>46432</v>
      </c>
      <c r="C357" s="108">
        <f t="shared" si="64"/>
        <v>3019.0513999999998</v>
      </c>
      <c r="D357" s="108">
        <f t="shared" si="65"/>
        <v>1844.5041000000001</v>
      </c>
      <c r="E357" s="108">
        <f t="shared" si="66"/>
        <v>3552.3213000000001</v>
      </c>
      <c r="F357" s="108">
        <f t="shared" si="67"/>
        <v>2263.5364</v>
      </c>
      <c r="G357" s="108">
        <f t="shared" si="68"/>
        <v>947.67039999999997</v>
      </c>
      <c r="H357" s="108">
        <f t="shared" si="69"/>
        <v>1732.2418</v>
      </c>
      <c r="I357" s="108">
        <f t="shared" si="70"/>
        <v>1150.7175999999999</v>
      </c>
      <c r="J357" s="108">
        <f t="shared" si="71"/>
        <v>1301.5227</v>
      </c>
      <c r="K357" s="108">
        <f t="shared" si="72"/>
        <v>3535.8029000000001</v>
      </c>
      <c r="L357" s="108">
        <f t="shared" si="73"/>
        <v>1767.9149</v>
      </c>
      <c r="M357" s="77"/>
    </row>
    <row r="358" spans="1:13" ht="15" customHeight="1">
      <c r="A358" s="13" t="str">
        <f t="shared" si="62"/>
        <v>Monday</v>
      </c>
      <c r="B358" s="28">
        <f t="shared" si="63"/>
        <v>46433</v>
      </c>
      <c r="C358" s="108">
        <f t="shared" si="64"/>
        <v>3019.0688</v>
      </c>
      <c r="D358" s="108">
        <f t="shared" si="65"/>
        <v>1844.5142000000001</v>
      </c>
      <c r="E358" s="108">
        <f t="shared" si="66"/>
        <v>3552.3456000000001</v>
      </c>
      <c r="F358" s="108">
        <f t="shared" si="67"/>
        <v>2263.5457000000001</v>
      </c>
      <c r="G358" s="108">
        <f t="shared" si="68"/>
        <v>947.67690000000005</v>
      </c>
      <c r="H358" s="108">
        <f t="shared" si="69"/>
        <v>1732.2508</v>
      </c>
      <c r="I358" s="108">
        <f t="shared" si="70"/>
        <v>1150.7255</v>
      </c>
      <c r="J358" s="108">
        <f t="shared" si="71"/>
        <v>1301.5762</v>
      </c>
      <c r="K358" s="108">
        <f t="shared" si="72"/>
        <v>3535.8029000000001</v>
      </c>
      <c r="L358" s="108">
        <f t="shared" si="73"/>
        <v>1767.9269999999999</v>
      </c>
      <c r="M358" s="77"/>
    </row>
    <row r="359" spans="1:13" ht="15" customHeight="1">
      <c r="A359" s="13" t="str">
        <f t="shared" si="62"/>
        <v>Tuesday</v>
      </c>
      <c r="B359" s="28">
        <f t="shared" si="63"/>
        <v>46434</v>
      </c>
      <c r="C359" s="108">
        <f t="shared" si="64"/>
        <v>3019.0862000000002</v>
      </c>
      <c r="D359" s="108">
        <f t="shared" si="65"/>
        <v>1844.5243</v>
      </c>
      <c r="E359" s="108">
        <f t="shared" si="66"/>
        <v>3552.3699000000001</v>
      </c>
      <c r="F359" s="108">
        <f t="shared" si="67"/>
        <v>2263.5549999999998</v>
      </c>
      <c r="G359" s="108">
        <f t="shared" si="68"/>
        <v>947.68340000000001</v>
      </c>
      <c r="H359" s="108">
        <f t="shared" si="69"/>
        <v>1732.2598</v>
      </c>
      <c r="I359" s="108">
        <f t="shared" si="70"/>
        <v>1150.7334000000001</v>
      </c>
      <c r="J359" s="108">
        <f t="shared" si="71"/>
        <v>1301.6297</v>
      </c>
      <c r="K359" s="108">
        <f t="shared" si="72"/>
        <v>3535.8029000000001</v>
      </c>
      <c r="L359" s="108">
        <f t="shared" si="73"/>
        <v>1767.9391000000001</v>
      </c>
      <c r="M359" s="77"/>
    </row>
    <row r="360" spans="1:13" ht="15" customHeight="1">
      <c r="A360" s="13" t="str">
        <f t="shared" si="62"/>
        <v>Wednesday</v>
      </c>
      <c r="B360" s="28">
        <f t="shared" si="63"/>
        <v>46435</v>
      </c>
      <c r="C360" s="108">
        <f t="shared" si="64"/>
        <v>3019.1035999999999</v>
      </c>
      <c r="D360" s="108">
        <f t="shared" si="65"/>
        <v>1844.5344</v>
      </c>
      <c r="E360" s="108">
        <f t="shared" si="66"/>
        <v>3552.3942000000002</v>
      </c>
      <c r="F360" s="108">
        <f t="shared" si="67"/>
        <v>2263.5643</v>
      </c>
      <c r="G360" s="108">
        <f t="shared" si="68"/>
        <v>947.68989999999997</v>
      </c>
      <c r="H360" s="108">
        <f t="shared" si="69"/>
        <v>1732.2688000000001</v>
      </c>
      <c r="I360" s="108">
        <f t="shared" si="70"/>
        <v>1150.7412999999999</v>
      </c>
      <c r="J360" s="108">
        <f t="shared" si="71"/>
        <v>1301.6831999999999</v>
      </c>
      <c r="K360" s="108">
        <f t="shared" si="72"/>
        <v>3535.8029000000001</v>
      </c>
      <c r="L360" s="108">
        <f t="shared" si="73"/>
        <v>1767.9512</v>
      </c>
      <c r="M360" s="77"/>
    </row>
    <row r="361" spans="1:13" ht="15" customHeight="1">
      <c r="A361" s="13" t="str">
        <f t="shared" si="62"/>
        <v>Thursday</v>
      </c>
      <c r="B361" s="28">
        <f t="shared" si="63"/>
        <v>46436</v>
      </c>
      <c r="C361" s="108">
        <f t="shared" si="64"/>
        <v>3019.1210000000001</v>
      </c>
      <c r="D361" s="108">
        <f t="shared" si="65"/>
        <v>1844.5445</v>
      </c>
      <c r="E361" s="108">
        <f t="shared" si="66"/>
        <v>3552.4185000000002</v>
      </c>
      <c r="F361" s="108">
        <f t="shared" si="67"/>
        <v>2263.5736000000002</v>
      </c>
      <c r="G361" s="108">
        <f t="shared" si="68"/>
        <v>947.69640000000004</v>
      </c>
      <c r="H361" s="108">
        <f t="shared" si="69"/>
        <v>1732.2778000000001</v>
      </c>
      <c r="I361" s="108">
        <f t="shared" si="70"/>
        <v>1150.7492</v>
      </c>
      <c r="J361" s="108">
        <f t="shared" si="71"/>
        <v>1301.7366999999999</v>
      </c>
      <c r="K361" s="108">
        <f t="shared" si="72"/>
        <v>3535.8029000000001</v>
      </c>
      <c r="L361" s="108">
        <f t="shared" si="73"/>
        <v>1767.9632999999999</v>
      </c>
      <c r="M361" s="77"/>
    </row>
    <row r="362" spans="1:13" ht="15" customHeight="1">
      <c r="A362" s="13" t="str">
        <f t="shared" si="62"/>
        <v>Friday</v>
      </c>
      <c r="B362" s="28">
        <f t="shared" si="63"/>
        <v>46437</v>
      </c>
      <c r="C362" s="108">
        <f t="shared" si="64"/>
        <v>3019.1383999999998</v>
      </c>
      <c r="D362" s="108">
        <f t="shared" si="65"/>
        <v>1844.5545999999999</v>
      </c>
      <c r="E362" s="108">
        <f t="shared" si="66"/>
        <v>3552.4427999999998</v>
      </c>
      <c r="F362" s="108">
        <f t="shared" si="67"/>
        <v>2263.5828999999999</v>
      </c>
      <c r="G362" s="108">
        <f t="shared" si="68"/>
        <v>947.7029</v>
      </c>
      <c r="H362" s="108">
        <f t="shared" si="69"/>
        <v>1732.2868000000001</v>
      </c>
      <c r="I362" s="108">
        <f t="shared" si="70"/>
        <v>1150.7571</v>
      </c>
      <c r="J362" s="108">
        <f t="shared" si="71"/>
        <v>1301.7901999999999</v>
      </c>
      <c r="K362" s="108">
        <f t="shared" si="72"/>
        <v>3535.8029000000001</v>
      </c>
      <c r="L362" s="108">
        <f t="shared" si="73"/>
        <v>1767.9754</v>
      </c>
      <c r="M362" s="77"/>
    </row>
    <row r="363" spans="1:13" ht="15" customHeight="1">
      <c r="A363" s="13" t="str">
        <f t="shared" si="62"/>
        <v>Saturday</v>
      </c>
      <c r="B363" s="28">
        <f t="shared" si="63"/>
        <v>46438</v>
      </c>
      <c r="C363" s="108">
        <f t="shared" si="64"/>
        <v>3019.1558</v>
      </c>
      <c r="D363" s="108">
        <f t="shared" si="65"/>
        <v>1844.5646999999999</v>
      </c>
      <c r="E363" s="108">
        <f t="shared" si="66"/>
        <v>3552.4670999999998</v>
      </c>
      <c r="F363" s="108">
        <f t="shared" si="67"/>
        <v>2263.5922</v>
      </c>
      <c r="G363" s="108">
        <f t="shared" si="68"/>
        <v>947.70939999999996</v>
      </c>
      <c r="H363" s="108">
        <f t="shared" si="69"/>
        <v>1732.2958000000001</v>
      </c>
      <c r="I363" s="108">
        <f t="shared" si="70"/>
        <v>1150.7650000000001</v>
      </c>
      <c r="J363" s="108">
        <f t="shared" si="71"/>
        <v>1301.8436999999999</v>
      </c>
      <c r="K363" s="108">
        <f t="shared" si="72"/>
        <v>3535.8029000000001</v>
      </c>
      <c r="L363" s="108">
        <f t="shared" si="73"/>
        <v>1767.9875</v>
      </c>
      <c r="M363" s="77"/>
    </row>
    <row r="364" spans="1:13" ht="15" customHeight="1">
      <c r="A364" s="13" t="str">
        <f t="shared" si="62"/>
        <v>Sunday</v>
      </c>
      <c r="B364" s="28">
        <f t="shared" si="63"/>
        <v>46439</v>
      </c>
      <c r="C364" s="108">
        <f t="shared" si="64"/>
        <v>3019.1732000000002</v>
      </c>
      <c r="D364" s="108">
        <f t="shared" si="65"/>
        <v>1844.5748000000001</v>
      </c>
      <c r="E364" s="108">
        <f t="shared" si="66"/>
        <v>3552.4913999999999</v>
      </c>
      <c r="F364" s="108">
        <f t="shared" si="67"/>
        <v>2263.6015000000002</v>
      </c>
      <c r="G364" s="108">
        <f t="shared" si="68"/>
        <v>947.71590000000003</v>
      </c>
      <c r="H364" s="108">
        <f t="shared" si="69"/>
        <v>1732.3047999999999</v>
      </c>
      <c r="I364" s="108">
        <f t="shared" si="70"/>
        <v>1150.7728999999999</v>
      </c>
      <c r="J364" s="108">
        <f t="shared" si="71"/>
        <v>1301.8972000000001</v>
      </c>
      <c r="K364" s="108">
        <f t="shared" si="72"/>
        <v>3535.8029000000001</v>
      </c>
      <c r="L364" s="108">
        <f t="shared" si="73"/>
        <v>1767.9996000000001</v>
      </c>
      <c r="M364" s="77"/>
    </row>
    <row r="365" spans="1:13" ht="15" customHeight="1">
      <c r="A365" s="13" t="str">
        <f t="shared" si="62"/>
        <v>Monday</v>
      </c>
      <c r="B365" s="28">
        <f t="shared" si="63"/>
        <v>46440</v>
      </c>
      <c r="C365" s="108">
        <f t="shared" si="64"/>
        <v>3019.1905999999999</v>
      </c>
      <c r="D365" s="108">
        <f t="shared" si="65"/>
        <v>1844.5849000000001</v>
      </c>
      <c r="E365" s="108">
        <f t="shared" si="66"/>
        <v>3552.5156999999999</v>
      </c>
      <c r="F365" s="108">
        <f t="shared" si="67"/>
        <v>2263.6107999999999</v>
      </c>
      <c r="G365" s="108">
        <f t="shared" si="68"/>
        <v>947.72239999999999</v>
      </c>
      <c r="H365" s="108">
        <f t="shared" si="69"/>
        <v>1732.3137999999999</v>
      </c>
      <c r="I365" s="108">
        <f t="shared" si="70"/>
        <v>1150.7808</v>
      </c>
      <c r="J365" s="108">
        <f t="shared" si="71"/>
        <v>1301.9507000000001</v>
      </c>
      <c r="K365" s="108">
        <f t="shared" si="72"/>
        <v>3535.8029000000001</v>
      </c>
      <c r="L365" s="108">
        <f t="shared" si="73"/>
        <v>1768.0117</v>
      </c>
      <c r="M365" s="77"/>
    </row>
    <row r="366" spans="1:13" ht="15" customHeight="1">
      <c r="A366" s="13" t="str">
        <f t="shared" si="62"/>
        <v>Tuesday</v>
      </c>
      <c r="B366" s="28">
        <f t="shared" si="63"/>
        <v>46441</v>
      </c>
      <c r="C366" s="108">
        <f t="shared" si="64"/>
        <v>3019.2080000000001</v>
      </c>
      <c r="D366" s="108">
        <f t="shared" si="65"/>
        <v>1844.595</v>
      </c>
      <c r="E366" s="108">
        <f t="shared" si="66"/>
        <v>3552.54</v>
      </c>
      <c r="F366" s="108">
        <f t="shared" si="67"/>
        <v>2263.6201000000001</v>
      </c>
      <c r="G366" s="108">
        <f t="shared" si="68"/>
        <v>947.72889999999995</v>
      </c>
      <c r="H366" s="108">
        <f t="shared" si="69"/>
        <v>1732.3227999999999</v>
      </c>
      <c r="I366" s="108">
        <f t="shared" si="70"/>
        <v>1150.7887000000001</v>
      </c>
      <c r="J366" s="108">
        <f t="shared" si="71"/>
        <v>1302.0042000000001</v>
      </c>
      <c r="K366" s="108">
        <f t="shared" si="72"/>
        <v>3535.8029000000001</v>
      </c>
      <c r="L366" s="108">
        <f t="shared" si="73"/>
        <v>1768.0237999999999</v>
      </c>
      <c r="M366" s="77"/>
    </row>
    <row r="367" spans="1:13" ht="15" customHeight="1">
      <c r="A367" s="13" t="str">
        <f t="shared" si="62"/>
        <v>Wednesday</v>
      </c>
      <c r="B367" s="28">
        <f t="shared" si="63"/>
        <v>46442</v>
      </c>
      <c r="C367" s="108">
        <f t="shared" si="64"/>
        <v>3019.2253999999998</v>
      </c>
      <c r="D367" s="108">
        <f t="shared" si="65"/>
        <v>1844.6051</v>
      </c>
      <c r="E367" s="108">
        <f t="shared" si="66"/>
        <v>3552.5643</v>
      </c>
      <c r="F367" s="108">
        <f t="shared" si="67"/>
        <v>2263.6293999999998</v>
      </c>
      <c r="G367" s="108">
        <f t="shared" si="68"/>
        <v>947.73540000000003</v>
      </c>
      <c r="H367" s="108">
        <f t="shared" si="69"/>
        <v>1732.3317999999999</v>
      </c>
      <c r="I367" s="108">
        <f t="shared" si="70"/>
        <v>1150.7965999999999</v>
      </c>
      <c r="J367" s="108">
        <f t="shared" si="71"/>
        <v>1302.0577000000001</v>
      </c>
      <c r="K367" s="108">
        <f t="shared" si="72"/>
        <v>3535.8029000000001</v>
      </c>
      <c r="L367" s="108">
        <f t="shared" si="73"/>
        <v>1768.0359000000001</v>
      </c>
      <c r="M367" s="77"/>
    </row>
    <row r="368" spans="1:13" ht="15" customHeight="1">
      <c r="A368" s="13" t="str">
        <f t="shared" si="62"/>
        <v>Thursday</v>
      </c>
      <c r="B368" s="28">
        <f t="shared" si="63"/>
        <v>46443</v>
      </c>
      <c r="C368" s="108">
        <f t="shared" si="64"/>
        <v>3019.2428</v>
      </c>
      <c r="D368" s="108">
        <f t="shared" si="65"/>
        <v>1844.6152</v>
      </c>
      <c r="E368" s="108">
        <f t="shared" si="66"/>
        <v>3552.5886</v>
      </c>
      <c r="F368" s="108">
        <f t="shared" si="67"/>
        <v>2263.6387</v>
      </c>
      <c r="G368" s="108">
        <f t="shared" si="68"/>
        <v>947.74189999999999</v>
      </c>
      <c r="H368" s="108">
        <f t="shared" si="69"/>
        <v>1732.3407999999999</v>
      </c>
      <c r="I368" s="108">
        <f t="shared" si="70"/>
        <v>1150.8045</v>
      </c>
      <c r="J368" s="108">
        <f t="shared" si="71"/>
        <v>1302.1112000000001</v>
      </c>
      <c r="K368" s="108">
        <f t="shared" si="72"/>
        <v>3535.8029000000001</v>
      </c>
      <c r="L368" s="108">
        <f t="shared" si="73"/>
        <v>1768.048</v>
      </c>
      <c r="M368" s="77"/>
    </row>
    <row r="369" spans="1:13" ht="15" customHeight="1">
      <c r="A369" s="13" t="str">
        <f t="shared" si="62"/>
        <v>Friday</v>
      </c>
      <c r="B369" s="28">
        <f t="shared" si="63"/>
        <v>46444</v>
      </c>
      <c r="C369" s="108">
        <f t="shared" si="64"/>
        <v>3019.2602000000002</v>
      </c>
      <c r="D369" s="108">
        <f t="shared" si="65"/>
        <v>1844.6252999999999</v>
      </c>
      <c r="E369" s="108">
        <f t="shared" si="66"/>
        <v>3552.6129000000001</v>
      </c>
      <c r="F369" s="108">
        <f t="shared" si="67"/>
        <v>2263.6480000000001</v>
      </c>
      <c r="G369" s="108">
        <f t="shared" si="68"/>
        <v>947.74839999999995</v>
      </c>
      <c r="H369" s="108">
        <f t="shared" si="69"/>
        <v>1732.3498</v>
      </c>
      <c r="I369" s="108">
        <f t="shared" si="70"/>
        <v>1150.8124</v>
      </c>
      <c r="J369" s="108">
        <f t="shared" si="71"/>
        <v>1302.1647</v>
      </c>
      <c r="K369" s="108">
        <f t="shared" si="72"/>
        <v>3535.8029000000001</v>
      </c>
      <c r="L369" s="108">
        <f t="shared" si="73"/>
        <v>1768.0600999999999</v>
      </c>
      <c r="M369" s="77"/>
    </row>
    <row r="370" spans="1:13" ht="15" customHeight="1">
      <c r="A370" s="13" t="str">
        <f t="shared" si="62"/>
        <v>Saturday</v>
      </c>
      <c r="B370" s="28">
        <f t="shared" si="63"/>
        <v>46445</v>
      </c>
      <c r="C370" s="108">
        <f t="shared" si="64"/>
        <v>3019.2775999999999</v>
      </c>
      <c r="D370" s="108">
        <f t="shared" si="65"/>
        <v>1844.6353999999999</v>
      </c>
      <c r="E370" s="108">
        <f t="shared" si="66"/>
        <v>3552.6372000000001</v>
      </c>
      <c r="F370" s="108">
        <f t="shared" si="67"/>
        <v>2263.6572999999999</v>
      </c>
      <c r="G370" s="108">
        <f t="shared" si="68"/>
        <v>947.75490000000002</v>
      </c>
      <c r="H370" s="108">
        <f t="shared" si="69"/>
        <v>1732.3588</v>
      </c>
      <c r="I370" s="108">
        <f t="shared" si="70"/>
        <v>1150.8203000000001</v>
      </c>
      <c r="J370" s="108">
        <f t="shared" si="71"/>
        <v>1302.2182</v>
      </c>
      <c r="K370" s="108">
        <f t="shared" si="72"/>
        <v>3535.8029000000001</v>
      </c>
      <c r="L370" s="108">
        <f t="shared" si="73"/>
        <v>1768.0722000000001</v>
      </c>
      <c r="M370" s="77"/>
    </row>
    <row r="371" spans="1:13" ht="15" customHeight="1">
      <c r="A371" s="13" t="str">
        <f t="shared" si="62"/>
        <v>Sunday</v>
      </c>
      <c r="B371" s="28">
        <f t="shared" si="63"/>
        <v>46446</v>
      </c>
      <c r="C371" s="108">
        <f t="shared" si="64"/>
        <v>3019.2950000000001</v>
      </c>
      <c r="D371" s="108">
        <f t="shared" si="65"/>
        <v>1844.6455000000001</v>
      </c>
      <c r="E371" s="108">
        <f t="shared" si="66"/>
        <v>3552.6615000000002</v>
      </c>
      <c r="F371" s="108">
        <f t="shared" si="67"/>
        <v>2263.6666</v>
      </c>
      <c r="G371" s="108">
        <f t="shared" si="68"/>
        <v>947.76139999999998</v>
      </c>
      <c r="H371" s="108">
        <f t="shared" si="69"/>
        <v>1732.3678</v>
      </c>
      <c r="I371" s="108">
        <f t="shared" si="70"/>
        <v>1150.8281999999999</v>
      </c>
      <c r="J371" s="108">
        <f t="shared" si="71"/>
        <v>1302.2717</v>
      </c>
      <c r="K371" s="108">
        <f t="shared" si="72"/>
        <v>3535.8029000000001</v>
      </c>
      <c r="L371" s="108">
        <f t="shared" si="73"/>
        <v>1768.0843</v>
      </c>
      <c r="M371" s="77"/>
    </row>
  </sheetData>
  <sortState xmlns:xlrd2="http://schemas.microsoft.com/office/spreadsheetml/2017/richdata2" ref="N23:N32">
    <sortCondition ref="N23:N32"/>
  </sortState>
  <hyperlinks>
    <hyperlink ref="N3" r:id="rId1" display="https://mooloo.net/bitcoin-etf-fees-comparison/" xr:uid="{C27D6F9A-F943-402F-8CF4-E73F1D4F1443}"/>
  </hyperlinks>
  <pageMargins left="0.7" right="0.7" top="0.75" bottom="0.75" header="0.3" footer="0.3"/>
  <pageSetup orientation="portrait" r:id="rId2"/>
  <ignoredErrors>
    <ignoredError sqref="C8:I8 L7 F7 D10:L112 K8:L8 D9:I9 K9:L9 D118:L371 D114:G114 I114:L114 D113:G113 I113:L113 D115:G117 I115:L117" calculatedColumn="1"/>
  </ignoredErrors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EE0-332C-4CE9-9806-EDBFA1E21E1B}">
  <sheetPr codeName="Sheet8">
    <tabColor theme="5" tint="0.39997558519241921"/>
  </sheetPr>
  <dimension ref="A1:N158"/>
  <sheetViews>
    <sheetView zoomScale="80" zoomScaleNormal="80" workbookViewId="0">
      <pane xSplit="2" ySplit="5" topLeftCell="C121" activePane="bottomRight" state="frozen"/>
      <selection pane="topRight" activeCell="C1" sqref="C1"/>
      <selection pane="bottomLeft" activeCell="A6" sqref="A6"/>
      <selection pane="bottomRight" activeCell="J157" sqref="J157"/>
    </sheetView>
  </sheetViews>
  <sheetFormatPr defaultRowHeight="15"/>
  <cols>
    <col min="1" max="1" width="15.7109375" style="1" customWidth="1"/>
    <col min="2" max="2" width="10.5703125" style="1" bestFit="1" customWidth="1"/>
    <col min="3" max="4" width="14.85546875" style="19" customWidth="1"/>
    <col min="5" max="5" width="14.85546875" style="140" customWidth="1"/>
    <col min="6" max="8" width="14.85546875" style="19" customWidth="1"/>
    <col min="10" max="12" width="14.85546875" style="19" customWidth="1"/>
  </cols>
  <sheetData>
    <row r="1" spans="1:12">
      <c r="A1" s="5" t="s">
        <v>81</v>
      </c>
    </row>
    <row r="2" spans="1:12">
      <c r="A2" s="5" t="s">
        <v>87</v>
      </c>
    </row>
    <row r="3" spans="1:12">
      <c r="A3" s="5"/>
    </row>
    <row r="4" spans="1:12">
      <c r="C4" s="182" t="s">
        <v>31</v>
      </c>
      <c r="D4" s="182"/>
      <c r="E4" s="182"/>
      <c r="F4" s="182"/>
      <c r="G4" s="182"/>
      <c r="H4" s="182"/>
      <c r="J4" s="182" t="s">
        <v>86</v>
      </c>
      <c r="K4" s="182"/>
      <c r="L4" s="182"/>
    </row>
    <row r="5" spans="1:12" ht="15" customHeight="1">
      <c r="A5" s="27" t="s">
        <v>42</v>
      </c>
      <c r="B5" s="30" t="s">
        <v>30</v>
      </c>
      <c r="C5" s="131" t="s">
        <v>91</v>
      </c>
      <c r="D5" s="131" t="s">
        <v>90</v>
      </c>
      <c r="E5" s="131" t="s">
        <v>95</v>
      </c>
      <c r="F5" s="131" t="s">
        <v>92</v>
      </c>
      <c r="G5" s="131" t="s">
        <v>93</v>
      </c>
      <c r="H5" s="131" t="s">
        <v>94</v>
      </c>
      <c r="J5" s="131" t="s">
        <v>91</v>
      </c>
      <c r="K5" s="131" t="s">
        <v>90</v>
      </c>
      <c r="L5" s="131" t="s">
        <v>95</v>
      </c>
    </row>
    <row r="6" spans="1:12">
      <c r="A6" s="1" t="str">
        <f>SCALARS!A7</f>
        <v>Sunday</v>
      </c>
      <c r="B6" s="28">
        <f>SCALARS!B7</f>
        <v>46082</v>
      </c>
    </row>
    <row r="7" spans="1:12">
      <c r="A7" s="1" t="str">
        <f>SCALARS!A8</f>
        <v>Monday</v>
      </c>
      <c r="B7" s="28">
        <f>SCALARS!B8</f>
        <v>46083</v>
      </c>
    </row>
    <row r="8" spans="1:12">
      <c r="A8" s="1" t="str">
        <f>SCALARS!A9</f>
        <v>Tuesday</v>
      </c>
      <c r="B8" s="28">
        <f>SCALARS!B9</f>
        <v>46084</v>
      </c>
    </row>
    <row r="9" spans="1:12">
      <c r="A9" s="1" t="str">
        <f>SCALARS!A10</f>
        <v>Wednesday</v>
      </c>
      <c r="B9" s="28">
        <f>SCALARS!B10</f>
        <v>46085</v>
      </c>
    </row>
    <row r="10" spans="1:12">
      <c r="A10" s="1" t="str">
        <f>SCALARS!A11</f>
        <v>Thursday</v>
      </c>
      <c r="B10" s="28">
        <f>SCALARS!B11</f>
        <v>46086</v>
      </c>
    </row>
    <row r="11" spans="1:12">
      <c r="A11" s="1" t="str">
        <f>SCALARS!A12</f>
        <v>Friday</v>
      </c>
      <c r="B11" s="28">
        <f>SCALARS!B12</f>
        <v>46087</v>
      </c>
    </row>
    <row r="12" spans="1:12">
      <c r="A12" s="1" t="str">
        <f>SCALARS!A13</f>
        <v>Saturday</v>
      </c>
      <c r="B12" s="28">
        <f>SCALARS!B13</f>
        <v>46088</v>
      </c>
    </row>
    <row r="13" spans="1:12">
      <c r="A13" s="1" t="str">
        <f>SCALARS!A14</f>
        <v>Sunday</v>
      </c>
      <c r="B13" s="28">
        <f>SCALARS!B14</f>
        <v>46089</v>
      </c>
    </row>
    <row r="14" spans="1:12">
      <c r="A14" s="1" t="str">
        <f>SCALARS!A15</f>
        <v>Monday</v>
      </c>
      <c r="B14" s="28">
        <f>SCALARS!B15</f>
        <v>46090</v>
      </c>
    </row>
    <row r="15" spans="1:12">
      <c r="A15" s="1" t="str">
        <f>SCALARS!A16</f>
        <v>Tuesday</v>
      </c>
      <c r="B15" s="28">
        <f>SCALARS!B16</f>
        <v>46091</v>
      </c>
    </row>
    <row r="16" spans="1:12">
      <c r="A16" s="1" t="str">
        <f>SCALARS!A17</f>
        <v>Wednesday</v>
      </c>
      <c r="B16" s="28">
        <f>SCALARS!B17</f>
        <v>46092</v>
      </c>
    </row>
    <row r="17" spans="1:2">
      <c r="A17" s="1" t="str">
        <f>SCALARS!A18</f>
        <v>Thursday</v>
      </c>
      <c r="B17" s="28">
        <f>SCALARS!B18</f>
        <v>46093</v>
      </c>
    </row>
    <row r="18" spans="1:2">
      <c r="A18" s="1" t="str">
        <f>SCALARS!A19</f>
        <v>Friday</v>
      </c>
      <c r="B18" s="28">
        <f>SCALARS!B19</f>
        <v>46094</v>
      </c>
    </row>
    <row r="19" spans="1:2">
      <c r="A19" s="1" t="str">
        <f>SCALARS!A20</f>
        <v>Saturday</v>
      </c>
      <c r="B19" s="28">
        <f>SCALARS!B20</f>
        <v>46095</v>
      </c>
    </row>
    <row r="20" spans="1:2">
      <c r="A20" s="1" t="str">
        <f>SCALARS!A21</f>
        <v>Sunday</v>
      </c>
      <c r="B20" s="28">
        <f>SCALARS!B21</f>
        <v>46096</v>
      </c>
    </row>
    <row r="21" spans="1:2">
      <c r="A21" s="1" t="str">
        <f>SCALARS!A22</f>
        <v>Monday</v>
      </c>
      <c r="B21" s="28">
        <f>SCALARS!B22</f>
        <v>46097</v>
      </c>
    </row>
    <row r="22" spans="1:2">
      <c r="A22" s="1" t="str">
        <f>SCALARS!A23</f>
        <v>Tuesday</v>
      </c>
      <c r="B22" s="28">
        <f>SCALARS!B23</f>
        <v>46098</v>
      </c>
    </row>
    <row r="23" spans="1:2">
      <c r="A23" s="1" t="str">
        <f>SCALARS!A24</f>
        <v>Wednesday</v>
      </c>
      <c r="B23" s="28">
        <f>SCALARS!B24</f>
        <v>46099</v>
      </c>
    </row>
    <row r="24" spans="1:2">
      <c r="A24" s="1" t="str">
        <f>SCALARS!A25</f>
        <v>Thursday</v>
      </c>
      <c r="B24" s="28">
        <f>SCALARS!B25</f>
        <v>46100</v>
      </c>
    </row>
    <row r="25" spans="1:2">
      <c r="A25" s="1" t="str">
        <f>SCALARS!A26</f>
        <v>Friday</v>
      </c>
      <c r="B25" s="28">
        <f>SCALARS!B26</f>
        <v>46101</v>
      </c>
    </row>
    <row r="26" spans="1:2">
      <c r="A26" s="1" t="str">
        <f>SCALARS!A27</f>
        <v>Saturday</v>
      </c>
      <c r="B26" s="28">
        <f>SCALARS!B27</f>
        <v>46102</v>
      </c>
    </row>
    <row r="27" spans="1:2">
      <c r="A27" s="1" t="str">
        <f>SCALARS!A28</f>
        <v>Sunday</v>
      </c>
      <c r="B27" s="28">
        <f>SCALARS!B28</f>
        <v>46103</v>
      </c>
    </row>
    <row r="28" spans="1:2">
      <c r="A28" s="1" t="str">
        <f>SCALARS!A29</f>
        <v>Monday</v>
      </c>
      <c r="B28" s="28">
        <f>SCALARS!B29</f>
        <v>46104</v>
      </c>
    </row>
    <row r="29" spans="1:2">
      <c r="A29" s="1" t="str">
        <f>SCALARS!A30</f>
        <v>Tuesday</v>
      </c>
      <c r="B29" s="28">
        <f>SCALARS!B30</f>
        <v>46105</v>
      </c>
    </row>
    <row r="30" spans="1:2">
      <c r="A30" s="1" t="str">
        <f>SCALARS!A31</f>
        <v>Wednesday</v>
      </c>
      <c r="B30" s="28">
        <f>SCALARS!B31</f>
        <v>46106</v>
      </c>
    </row>
    <row r="31" spans="1:2">
      <c r="A31" s="1" t="str">
        <f>SCALARS!A32</f>
        <v>Thursday</v>
      </c>
      <c r="B31" s="28">
        <f>SCALARS!B32</f>
        <v>46107</v>
      </c>
    </row>
    <row r="32" spans="1:2">
      <c r="A32" s="1" t="str">
        <f>SCALARS!A33</f>
        <v>Friday</v>
      </c>
      <c r="B32" s="28">
        <f>SCALARS!B33</f>
        <v>46108</v>
      </c>
    </row>
    <row r="33" spans="1:2">
      <c r="A33" s="1" t="str">
        <f>SCALARS!A34</f>
        <v>Saturday</v>
      </c>
      <c r="B33" s="28">
        <f>SCALARS!B34</f>
        <v>46109</v>
      </c>
    </row>
    <row r="34" spans="1:2">
      <c r="A34" s="1" t="str">
        <f>SCALARS!A35</f>
        <v>Sunday</v>
      </c>
      <c r="B34" s="28">
        <f>SCALARS!B35</f>
        <v>46110</v>
      </c>
    </row>
    <row r="35" spans="1:2">
      <c r="A35" s="1" t="str">
        <f>SCALARS!A36</f>
        <v>Monday</v>
      </c>
      <c r="B35" s="28">
        <f>SCALARS!B36</f>
        <v>46111</v>
      </c>
    </row>
    <row r="36" spans="1:2">
      <c r="A36" s="1" t="str">
        <f>SCALARS!A37</f>
        <v>Tuesday</v>
      </c>
      <c r="B36" s="28">
        <f>SCALARS!B37</f>
        <v>46112</v>
      </c>
    </row>
    <row r="37" spans="1:2">
      <c r="A37" s="1" t="str">
        <f>SCALARS!A38</f>
        <v>Wednesday</v>
      </c>
      <c r="B37" s="28">
        <f>SCALARS!B38</f>
        <v>46113</v>
      </c>
    </row>
    <row r="38" spans="1:2">
      <c r="A38" s="1" t="str">
        <f>SCALARS!A39</f>
        <v>Thursday</v>
      </c>
      <c r="B38" s="28">
        <f>SCALARS!B39</f>
        <v>46114</v>
      </c>
    </row>
    <row r="39" spans="1:2">
      <c r="A39" s="1" t="str">
        <f>SCALARS!A40</f>
        <v>Friday</v>
      </c>
      <c r="B39" s="28">
        <f>SCALARS!B40</f>
        <v>46115</v>
      </c>
    </row>
    <row r="40" spans="1:2">
      <c r="A40" s="1" t="str">
        <f>SCALARS!A41</f>
        <v>Saturday</v>
      </c>
      <c r="B40" s="28">
        <f>SCALARS!B41</f>
        <v>46116</v>
      </c>
    </row>
    <row r="41" spans="1:2">
      <c r="A41" s="1" t="str">
        <f>SCALARS!A42</f>
        <v>Sunday</v>
      </c>
      <c r="B41" s="28">
        <f>SCALARS!B42</f>
        <v>46117</v>
      </c>
    </row>
    <row r="42" spans="1:2">
      <c r="A42" s="1" t="str">
        <f>SCALARS!A43</f>
        <v>Monday</v>
      </c>
      <c r="B42" s="28">
        <f>SCALARS!B43</f>
        <v>46118</v>
      </c>
    </row>
    <row r="43" spans="1:2">
      <c r="A43" s="1" t="str">
        <f>SCALARS!A44</f>
        <v>Tuesday</v>
      </c>
      <c r="B43" s="28">
        <f>SCALARS!B44</f>
        <v>46119</v>
      </c>
    </row>
    <row r="44" spans="1:2">
      <c r="A44" s="1" t="str">
        <f>SCALARS!A45</f>
        <v>Wednesday</v>
      </c>
      <c r="B44" s="28">
        <f>SCALARS!B45</f>
        <v>46120</v>
      </c>
    </row>
    <row r="45" spans="1:2">
      <c r="A45" s="1" t="str">
        <f>SCALARS!A46</f>
        <v>Thursday</v>
      </c>
      <c r="B45" s="28">
        <f>SCALARS!B46</f>
        <v>46121</v>
      </c>
    </row>
    <row r="46" spans="1:2">
      <c r="A46" s="1" t="str">
        <f>SCALARS!A47</f>
        <v>Friday</v>
      </c>
      <c r="B46" s="28">
        <f>SCALARS!B47</f>
        <v>46122</v>
      </c>
    </row>
    <row r="47" spans="1:2">
      <c r="A47" s="1" t="str">
        <f>SCALARS!A48</f>
        <v>Saturday</v>
      </c>
      <c r="B47" s="28">
        <f>SCALARS!B48</f>
        <v>46123</v>
      </c>
    </row>
    <row r="48" spans="1:2">
      <c r="A48" s="1" t="str">
        <f>SCALARS!A49</f>
        <v>Sunday</v>
      </c>
      <c r="B48" s="28">
        <f>SCALARS!B49</f>
        <v>46124</v>
      </c>
    </row>
    <row r="49" spans="1:2">
      <c r="A49" s="1" t="str">
        <f>SCALARS!A50</f>
        <v>Monday</v>
      </c>
      <c r="B49" s="28">
        <f>SCALARS!B50</f>
        <v>46125</v>
      </c>
    </row>
    <row r="50" spans="1:2">
      <c r="A50" s="1" t="str">
        <f>SCALARS!A51</f>
        <v>Tuesday</v>
      </c>
      <c r="B50" s="28">
        <f>SCALARS!B51</f>
        <v>46126</v>
      </c>
    </row>
    <row r="51" spans="1:2">
      <c r="A51" s="1" t="str">
        <f>SCALARS!A52</f>
        <v>Wednesday</v>
      </c>
      <c r="B51" s="28">
        <f>SCALARS!B52</f>
        <v>46127</v>
      </c>
    </row>
    <row r="52" spans="1:2">
      <c r="A52" s="1" t="str">
        <f>SCALARS!A53</f>
        <v>Thursday</v>
      </c>
      <c r="B52" s="28">
        <f>SCALARS!B53</f>
        <v>46128</v>
      </c>
    </row>
    <row r="53" spans="1:2">
      <c r="A53" s="1" t="str">
        <f>SCALARS!A54</f>
        <v>Friday</v>
      </c>
      <c r="B53" s="28">
        <f>SCALARS!B54</f>
        <v>46129</v>
      </c>
    </row>
    <row r="54" spans="1:2">
      <c r="A54" s="1" t="str">
        <f>SCALARS!A55</f>
        <v>Saturday</v>
      </c>
      <c r="B54" s="28">
        <f>SCALARS!B55</f>
        <v>46130</v>
      </c>
    </row>
    <row r="55" spans="1:2">
      <c r="A55" s="1" t="str">
        <f>SCALARS!A56</f>
        <v>Sunday</v>
      </c>
      <c r="B55" s="28">
        <f>SCALARS!B56</f>
        <v>46131</v>
      </c>
    </row>
    <row r="56" spans="1:2">
      <c r="A56" s="1" t="str">
        <f>SCALARS!A57</f>
        <v>Monday</v>
      </c>
      <c r="B56" s="28">
        <f>SCALARS!B57</f>
        <v>46132</v>
      </c>
    </row>
    <row r="57" spans="1:2">
      <c r="A57" s="1" t="str">
        <f>SCALARS!A58</f>
        <v>Tuesday</v>
      </c>
      <c r="B57" s="28">
        <f>SCALARS!B58</f>
        <v>46133</v>
      </c>
    </row>
    <row r="58" spans="1:2">
      <c r="A58" s="1" t="str">
        <f>SCALARS!A59</f>
        <v>Wednesday</v>
      </c>
      <c r="B58" s="28">
        <f>SCALARS!B59</f>
        <v>46134</v>
      </c>
    </row>
    <row r="59" spans="1:2">
      <c r="A59" s="1" t="str">
        <f>SCALARS!A60</f>
        <v>Thursday</v>
      </c>
      <c r="B59" s="28">
        <f>SCALARS!B60</f>
        <v>46135</v>
      </c>
    </row>
    <row r="60" spans="1:2">
      <c r="A60" s="1" t="str">
        <f>SCALARS!A61</f>
        <v>Friday</v>
      </c>
      <c r="B60" s="28">
        <f>SCALARS!B61</f>
        <v>46136</v>
      </c>
    </row>
    <row r="61" spans="1:2">
      <c r="A61" s="1" t="str">
        <f>SCALARS!A62</f>
        <v>Saturday</v>
      </c>
      <c r="B61" s="28">
        <f>SCALARS!B62</f>
        <v>46137</v>
      </c>
    </row>
    <row r="62" spans="1:2">
      <c r="A62" s="1" t="str">
        <f>SCALARS!A63</f>
        <v>Sunday</v>
      </c>
      <c r="B62" s="28">
        <f>SCALARS!B63</f>
        <v>46138</v>
      </c>
    </row>
    <row r="63" spans="1:2">
      <c r="A63" s="1" t="str">
        <f>SCALARS!A64</f>
        <v>Monday</v>
      </c>
      <c r="B63" s="28">
        <f>SCALARS!B64</f>
        <v>46139</v>
      </c>
    </row>
    <row r="64" spans="1:2">
      <c r="A64" s="1" t="str">
        <f>SCALARS!A65</f>
        <v>Tuesday</v>
      </c>
      <c r="B64" s="28">
        <f>SCALARS!B65</f>
        <v>46140</v>
      </c>
    </row>
    <row r="65" spans="1:2">
      <c r="A65" s="1" t="str">
        <f>SCALARS!A66</f>
        <v>Wednesday</v>
      </c>
      <c r="B65" s="28">
        <f>SCALARS!B66</f>
        <v>46141</v>
      </c>
    </row>
    <row r="66" spans="1:2">
      <c r="A66" s="1" t="str">
        <f>SCALARS!A67</f>
        <v>Thursday</v>
      </c>
      <c r="B66" s="28">
        <f>SCALARS!B67</f>
        <v>46142</v>
      </c>
    </row>
    <row r="67" spans="1:2">
      <c r="A67" s="1" t="str">
        <f>SCALARS!A68</f>
        <v>Friday</v>
      </c>
      <c r="B67" s="28">
        <f>SCALARS!B68</f>
        <v>46143</v>
      </c>
    </row>
    <row r="68" spans="1:2">
      <c r="A68" s="1" t="str">
        <f>SCALARS!A69</f>
        <v>Saturday</v>
      </c>
      <c r="B68" s="28">
        <f>SCALARS!B69</f>
        <v>46144</v>
      </c>
    </row>
    <row r="69" spans="1:2">
      <c r="A69" s="1" t="str">
        <f>SCALARS!A70</f>
        <v>Sunday</v>
      </c>
      <c r="B69" s="28">
        <f>SCALARS!B70</f>
        <v>46145</v>
      </c>
    </row>
    <row r="70" spans="1:2">
      <c r="A70" s="1" t="str">
        <f>SCALARS!A71</f>
        <v>Monday</v>
      </c>
      <c r="B70" s="28">
        <f>SCALARS!B71</f>
        <v>46146</v>
      </c>
    </row>
    <row r="71" spans="1:2">
      <c r="A71" s="1" t="str">
        <f>SCALARS!A72</f>
        <v>Tuesday</v>
      </c>
      <c r="B71" s="28">
        <f>SCALARS!B72</f>
        <v>46147</v>
      </c>
    </row>
    <row r="72" spans="1:2">
      <c r="A72" s="1" t="str">
        <f>SCALARS!A73</f>
        <v>Wednesday</v>
      </c>
      <c r="B72" s="28">
        <f>SCALARS!B73</f>
        <v>46148</v>
      </c>
    </row>
    <row r="73" spans="1:2">
      <c r="A73" s="1" t="str">
        <f>SCALARS!A74</f>
        <v>Thursday</v>
      </c>
      <c r="B73" s="28">
        <f>SCALARS!B74</f>
        <v>46149</v>
      </c>
    </row>
    <row r="74" spans="1:2">
      <c r="A74" s="1" t="str">
        <f>SCALARS!A75</f>
        <v>Friday</v>
      </c>
      <c r="B74" s="28">
        <f>SCALARS!B75</f>
        <v>46150</v>
      </c>
    </row>
    <row r="75" spans="1:2">
      <c r="A75" s="1" t="str">
        <f>SCALARS!A76</f>
        <v>Saturday</v>
      </c>
      <c r="B75" s="28">
        <f>SCALARS!B76</f>
        <v>46151</v>
      </c>
    </row>
    <row r="76" spans="1:2">
      <c r="A76" s="1" t="str">
        <f>SCALARS!A77</f>
        <v>Sunday</v>
      </c>
      <c r="B76" s="28">
        <f>SCALARS!B77</f>
        <v>46152</v>
      </c>
    </row>
    <row r="77" spans="1:2">
      <c r="A77" s="1" t="str">
        <f>SCALARS!A78</f>
        <v>Monday</v>
      </c>
      <c r="B77" s="28">
        <f>SCALARS!B78</f>
        <v>46153</v>
      </c>
    </row>
    <row r="78" spans="1:2">
      <c r="A78" s="1" t="str">
        <f>SCALARS!A79</f>
        <v>Tuesday</v>
      </c>
      <c r="B78" s="28">
        <f>SCALARS!B79</f>
        <v>46154</v>
      </c>
    </row>
    <row r="79" spans="1:2">
      <c r="A79" s="1" t="str">
        <f>SCALARS!A80</f>
        <v>Wednesday</v>
      </c>
      <c r="B79" s="28">
        <f>SCALARS!B80</f>
        <v>46155</v>
      </c>
    </row>
    <row r="80" spans="1:2">
      <c r="A80" s="1" t="str">
        <f>SCALARS!A81</f>
        <v>Thursday</v>
      </c>
      <c r="B80" s="28">
        <f>SCALARS!B81</f>
        <v>46156</v>
      </c>
    </row>
    <row r="81" spans="1:14">
      <c r="A81" s="1" t="str">
        <f>SCALARS!A82</f>
        <v>Friday</v>
      </c>
      <c r="B81" s="28">
        <f>SCALARS!B82</f>
        <v>46157</v>
      </c>
    </row>
    <row r="82" spans="1:14">
      <c r="A82" s="1" t="str">
        <f>SCALARS!A83</f>
        <v>Saturday</v>
      </c>
      <c r="B82" s="28">
        <f>SCALARS!B83</f>
        <v>46158</v>
      </c>
    </row>
    <row r="83" spans="1:14">
      <c r="A83" s="1" t="str">
        <f>SCALARS!A84</f>
        <v>Sunday</v>
      </c>
      <c r="B83" s="28">
        <f>SCALARS!B84</f>
        <v>46159</v>
      </c>
    </row>
    <row r="84" spans="1:14">
      <c r="A84" s="1" t="str">
        <f>SCALARS!A85</f>
        <v>Monday</v>
      </c>
      <c r="B84" s="28">
        <f>SCALARS!B85</f>
        <v>46160</v>
      </c>
    </row>
    <row r="85" spans="1:14">
      <c r="A85" s="1" t="str">
        <f>SCALARS!A86</f>
        <v>Tuesday</v>
      </c>
      <c r="B85" s="28">
        <f>SCALARS!B86</f>
        <v>46161</v>
      </c>
    </row>
    <row r="86" spans="1:14">
      <c r="A86" s="1" t="str">
        <f>SCALARS!A87</f>
        <v>Wednesday</v>
      </c>
      <c r="B86" s="28">
        <f>SCALARS!B87</f>
        <v>46162</v>
      </c>
      <c r="C86" s="19">
        <v>4435</v>
      </c>
      <c r="E86" s="140">
        <f>SUM(C86:D86)</f>
        <v>4435</v>
      </c>
      <c r="H86" s="140">
        <f>SUM(F86:G86)</f>
        <v>0</v>
      </c>
      <c r="L86" s="140"/>
    </row>
    <row r="87" spans="1:14">
      <c r="A87" s="1" t="str">
        <f>SCALARS!A88</f>
        <v>Thursday</v>
      </c>
      <c r="B87" s="28">
        <f>SCALARS!B88</f>
        <v>46163</v>
      </c>
      <c r="C87" s="19">
        <v>3465</v>
      </c>
      <c r="D87" s="19">
        <v>970</v>
      </c>
      <c r="E87" s="140">
        <f t="shared" ref="E87:E94" si="0">SUM(C87:D87)</f>
        <v>4435</v>
      </c>
      <c r="H87" s="140">
        <f t="shared" ref="H87:H93" si="1">SUM(F87:G87)</f>
        <v>0</v>
      </c>
      <c r="L87" s="140"/>
      <c r="N87" t="s">
        <v>97</v>
      </c>
    </row>
    <row r="88" spans="1:14">
      <c r="A88" s="1" t="str">
        <f>SCALARS!A89</f>
        <v>Friday</v>
      </c>
      <c r="B88" s="28">
        <f>SCALARS!B89</f>
        <v>46164</v>
      </c>
      <c r="C88" s="19">
        <v>2425</v>
      </c>
      <c r="D88" s="19">
        <v>2010</v>
      </c>
      <c r="E88" s="140">
        <f t="shared" si="0"/>
        <v>4435</v>
      </c>
      <c r="H88" s="140">
        <f t="shared" si="1"/>
        <v>0</v>
      </c>
      <c r="J88" s="19">
        <v>374</v>
      </c>
      <c r="K88" s="19">
        <v>232</v>
      </c>
      <c r="L88" s="140">
        <f t="shared" ref="L88:L126" si="2">SUM(J88:K88)</f>
        <v>606</v>
      </c>
    </row>
    <row r="89" spans="1:14">
      <c r="A89" s="1" t="str">
        <f>SCALARS!A90</f>
        <v>Saturday</v>
      </c>
      <c r="B89" s="28">
        <f>SCALARS!B90</f>
        <v>46165</v>
      </c>
      <c r="H89" s="140"/>
      <c r="L89" s="140"/>
    </row>
    <row r="90" spans="1:14">
      <c r="A90" s="1" t="str">
        <f>SCALARS!A91</f>
        <v>Sunday</v>
      </c>
      <c r="B90" s="28">
        <f>SCALARS!B91</f>
        <v>46166</v>
      </c>
      <c r="H90" s="140"/>
      <c r="L90" s="140"/>
    </row>
    <row r="91" spans="1:14">
      <c r="A91" s="1" t="str">
        <f>SCALARS!A92</f>
        <v>Monday</v>
      </c>
      <c r="B91" s="28">
        <f>SCALARS!B92</f>
        <v>46167</v>
      </c>
      <c r="C91" s="161" t="s">
        <v>73</v>
      </c>
      <c r="H91" s="140"/>
      <c r="L91" s="140"/>
    </row>
    <row r="92" spans="1:14">
      <c r="A92" s="1" t="str">
        <f>SCALARS!A93</f>
        <v>Tuesday</v>
      </c>
      <c r="B92" s="28">
        <f>SCALARS!B93</f>
        <v>46168</v>
      </c>
      <c r="C92" s="19">
        <v>3030</v>
      </c>
      <c r="D92" s="19">
        <v>1405</v>
      </c>
      <c r="E92" s="140">
        <f t="shared" si="0"/>
        <v>4435</v>
      </c>
      <c r="H92" s="140">
        <f t="shared" si="1"/>
        <v>0</v>
      </c>
      <c r="J92" s="19">
        <v>254</v>
      </c>
      <c r="K92" s="19">
        <v>352</v>
      </c>
      <c r="L92" s="140">
        <f t="shared" si="2"/>
        <v>606</v>
      </c>
    </row>
    <row r="93" spans="1:14">
      <c r="A93" s="1" t="str">
        <f>SCALARS!A94</f>
        <v>Wednesday</v>
      </c>
      <c r="B93" s="28">
        <f>SCALARS!B94</f>
        <v>46169</v>
      </c>
      <c r="C93" s="19">
        <v>3870</v>
      </c>
      <c r="D93" s="19">
        <v>600</v>
      </c>
      <c r="E93" s="140">
        <f t="shared" si="0"/>
        <v>4470</v>
      </c>
      <c r="H93" s="140">
        <f t="shared" si="1"/>
        <v>0</v>
      </c>
      <c r="J93" s="19">
        <v>472</v>
      </c>
      <c r="K93" s="19">
        <v>134</v>
      </c>
      <c r="L93" s="140">
        <f t="shared" si="2"/>
        <v>606</v>
      </c>
    </row>
    <row r="94" spans="1:14">
      <c r="A94" s="1" t="str">
        <f>SCALARS!A95</f>
        <v>Thursday</v>
      </c>
      <c r="B94" s="28">
        <f>SCALARS!B95</f>
        <v>46170</v>
      </c>
      <c r="D94" s="19">
        <v>4230</v>
      </c>
      <c r="E94" s="140">
        <f t="shared" si="0"/>
        <v>4230</v>
      </c>
      <c r="G94" s="19">
        <v>1000</v>
      </c>
      <c r="H94" s="140">
        <f>SUM(F94:G94)</f>
        <v>1000</v>
      </c>
      <c r="K94" s="19">
        <v>605</v>
      </c>
      <c r="L94" s="140">
        <f t="shared" si="2"/>
        <v>605</v>
      </c>
    </row>
    <row r="95" spans="1:14">
      <c r="A95" s="1" t="str">
        <f>SCALARS!A96</f>
        <v>Friday</v>
      </c>
      <c r="B95" s="28">
        <f>SCALARS!B96</f>
        <v>46171</v>
      </c>
      <c r="D95" s="19">
        <v>4220</v>
      </c>
      <c r="E95" s="140">
        <f>SUM(C95:D95)</f>
        <v>4220</v>
      </c>
      <c r="G95" s="19">
        <v>1000</v>
      </c>
      <c r="H95" s="140">
        <f>SUM(F95:G95)</f>
        <v>1000</v>
      </c>
      <c r="K95" s="19">
        <v>605</v>
      </c>
      <c r="L95" s="140">
        <f t="shared" si="2"/>
        <v>605</v>
      </c>
      <c r="N95" t="s">
        <v>96</v>
      </c>
    </row>
    <row r="96" spans="1:14">
      <c r="A96" s="1" t="str">
        <f>SCALARS!A97</f>
        <v>Saturday</v>
      </c>
      <c r="B96" s="28">
        <f>SCALARS!B97</f>
        <v>46172</v>
      </c>
      <c r="H96" s="140"/>
      <c r="L96" s="140"/>
    </row>
    <row r="97" spans="1:12">
      <c r="A97" s="1" t="str">
        <f>SCALARS!A98</f>
        <v>Sunday</v>
      </c>
      <c r="B97" s="28">
        <f>SCALARS!B98</f>
        <v>46173</v>
      </c>
      <c r="H97" s="140"/>
      <c r="L97" s="140"/>
    </row>
    <row r="98" spans="1:12">
      <c r="A98" s="1" t="str">
        <f>SCALARS!A99</f>
        <v>Monday</v>
      </c>
      <c r="B98" s="28">
        <f>SCALARS!B99</f>
        <v>46174</v>
      </c>
      <c r="C98" s="19">
        <v>4220</v>
      </c>
      <c r="E98" s="140">
        <f t="shared" ref="E98:E158" si="3">SUM(C98:D98)</f>
        <v>4220</v>
      </c>
      <c r="F98" s="19">
        <v>1000</v>
      </c>
      <c r="H98" s="140">
        <f t="shared" ref="H98:H158" si="4">SUM(F98:G98)</f>
        <v>1000</v>
      </c>
      <c r="J98" s="19">
        <v>605</v>
      </c>
      <c r="L98" s="140">
        <f t="shared" si="2"/>
        <v>605</v>
      </c>
    </row>
    <row r="99" spans="1:12">
      <c r="A99" s="1" t="str">
        <f>SCALARS!A100</f>
        <v>Tuesday</v>
      </c>
      <c r="B99" s="28">
        <f>SCALARS!B100</f>
        <v>46175</v>
      </c>
      <c r="C99" s="19">
        <v>4235</v>
      </c>
      <c r="E99" s="140">
        <f t="shared" si="3"/>
        <v>4235</v>
      </c>
      <c r="F99" s="19">
        <v>1000</v>
      </c>
      <c r="H99" s="140">
        <f t="shared" si="4"/>
        <v>1000</v>
      </c>
      <c r="J99" s="19">
        <v>605</v>
      </c>
      <c r="L99" s="140">
        <f t="shared" si="2"/>
        <v>605</v>
      </c>
    </row>
    <row r="100" spans="1:12">
      <c r="A100" s="1" t="str">
        <f>SCALARS!A101</f>
        <v>Wednesday</v>
      </c>
      <c r="B100" s="28">
        <f>SCALARS!B101</f>
        <v>46176</v>
      </c>
      <c r="C100" s="19">
        <v>4305</v>
      </c>
      <c r="E100" s="140">
        <f t="shared" si="3"/>
        <v>4305</v>
      </c>
      <c r="F100" s="19">
        <v>1000</v>
      </c>
      <c r="H100" s="140">
        <f t="shared" si="4"/>
        <v>1000</v>
      </c>
      <c r="J100" s="19">
        <v>605</v>
      </c>
      <c r="L100" s="140">
        <f t="shared" si="2"/>
        <v>605</v>
      </c>
    </row>
    <row r="101" spans="1:12">
      <c r="A101" s="1" t="str">
        <f>SCALARS!A102</f>
        <v>Thursday</v>
      </c>
      <c r="B101" s="28">
        <f>SCALARS!B102</f>
        <v>46177</v>
      </c>
      <c r="C101" s="19">
        <v>4305</v>
      </c>
      <c r="E101" s="140">
        <f t="shared" si="3"/>
        <v>4305</v>
      </c>
      <c r="F101" s="19">
        <v>1000</v>
      </c>
      <c r="H101" s="140">
        <f t="shared" si="4"/>
        <v>1000</v>
      </c>
      <c r="J101" s="19">
        <v>599</v>
      </c>
      <c r="L101" s="140">
        <f t="shared" si="2"/>
        <v>599</v>
      </c>
    </row>
    <row r="102" spans="1:12">
      <c r="A102" s="1" t="str">
        <f>SCALARS!A103</f>
        <v>Friday</v>
      </c>
      <c r="B102" s="28">
        <f>SCALARS!B103</f>
        <v>46178</v>
      </c>
      <c r="C102" s="19">
        <v>4230</v>
      </c>
      <c r="E102" s="140">
        <f t="shared" si="3"/>
        <v>4230</v>
      </c>
      <c r="F102" s="19">
        <v>1000</v>
      </c>
      <c r="H102" s="140">
        <f t="shared" si="4"/>
        <v>1000</v>
      </c>
      <c r="J102" s="19">
        <v>624</v>
      </c>
      <c r="L102" s="140">
        <f t="shared" si="2"/>
        <v>624</v>
      </c>
    </row>
    <row r="103" spans="1:12">
      <c r="A103" s="1" t="str">
        <f>SCALARS!A104</f>
        <v>Saturday</v>
      </c>
      <c r="B103" s="28">
        <f>SCALARS!B104</f>
        <v>46179</v>
      </c>
      <c r="E103" s="140">
        <f t="shared" si="3"/>
        <v>0</v>
      </c>
      <c r="H103" s="140">
        <f t="shared" si="4"/>
        <v>0</v>
      </c>
      <c r="L103" s="140">
        <f t="shared" si="2"/>
        <v>0</v>
      </c>
    </row>
    <row r="104" spans="1:12">
      <c r="A104" s="1" t="str">
        <f>SCALARS!A105</f>
        <v>Sunday</v>
      </c>
      <c r="B104" s="28">
        <f>SCALARS!B105</f>
        <v>46180</v>
      </c>
      <c r="E104" s="140">
        <f t="shared" si="3"/>
        <v>0</v>
      </c>
      <c r="H104" s="140">
        <f t="shared" si="4"/>
        <v>0</v>
      </c>
      <c r="L104" s="140">
        <f t="shared" si="2"/>
        <v>0</v>
      </c>
    </row>
    <row r="105" spans="1:12">
      <c r="A105" s="1" t="str">
        <f>SCALARS!A106</f>
        <v>Monday</v>
      </c>
      <c r="B105" s="28">
        <f>SCALARS!B106</f>
        <v>46181</v>
      </c>
      <c r="C105" s="19">
        <v>4230</v>
      </c>
      <c r="E105" s="140">
        <f t="shared" si="3"/>
        <v>4230</v>
      </c>
      <c r="F105" s="19">
        <v>1000</v>
      </c>
      <c r="H105" s="140">
        <f t="shared" si="4"/>
        <v>1000</v>
      </c>
      <c r="J105" s="19">
        <v>624</v>
      </c>
      <c r="L105" s="140">
        <f t="shared" si="2"/>
        <v>624</v>
      </c>
    </row>
    <row r="106" spans="1:12">
      <c r="A106" s="1" t="str">
        <f>SCALARS!A107</f>
        <v>Tuesday</v>
      </c>
      <c r="B106" s="28">
        <f>SCALARS!B107</f>
        <v>46182</v>
      </c>
      <c r="C106" s="19">
        <v>4230</v>
      </c>
      <c r="E106" s="140">
        <f t="shared" si="3"/>
        <v>4230</v>
      </c>
      <c r="F106" s="19">
        <v>1000</v>
      </c>
      <c r="H106" s="140">
        <f t="shared" si="4"/>
        <v>1000</v>
      </c>
      <c r="J106" s="19">
        <v>624</v>
      </c>
      <c r="L106" s="140">
        <f t="shared" si="2"/>
        <v>624</v>
      </c>
    </row>
    <row r="107" spans="1:12">
      <c r="A107" s="1" t="str">
        <f>SCALARS!A108</f>
        <v>Wednesday</v>
      </c>
      <c r="B107" s="28">
        <f>SCALARS!B108</f>
        <v>46183</v>
      </c>
      <c r="C107" s="19">
        <v>4215</v>
      </c>
      <c r="E107" s="140">
        <f t="shared" si="3"/>
        <v>4215</v>
      </c>
      <c r="F107" s="19">
        <v>1000</v>
      </c>
      <c r="H107" s="140">
        <f t="shared" si="4"/>
        <v>1000</v>
      </c>
      <c r="J107" s="19">
        <v>624</v>
      </c>
      <c r="L107" s="140">
        <f t="shared" si="2"/>
        <v>624</v>
      </c>
    </row>
    <row r="108" spans="1:12">
      <c r="A108" s="1" t="str">
        <f>SCALARS!A109</f>
        <v>Thursday</v>
      </c>
      <c r="B108" s="28">
        <f>SCALARS!B109</f>
        <v>46184</v>
      </c>
      <c r="C108" s="19">
        <v>4130</v>
      </c>
      <c r="E108" s="140">
        <f t="shared" si="3"/>
        <v>4130</v>
      </c>
      <c r="F108" s="19">
        <v>1000</v>
      </c>
      <c r="H108" s="140">
        <f t="shared" si="4"/>
        <v>1000</v>
      </c>
      <c r="J108" s="19">
        <v>616</v>
      </c>
      <c r="L108" s="140">
        <f t="shared" si="2"/>
        <v>616</v>
      </c>
    </row>
    <row r="109" spans="1:12">
      <c r="A109" s="1" t="str">
        <f>SCALARS!A110</f>
        <v>Friday</v>
      </c>
      <c r="B109" s="28">
        <f>SCALARS!B110</f>
        <v>46185</v>
      </c>
      <c r="C109" s="19">
        <v>4130</v>
      </c>
      <c r="E109" s="140">
        <f t="shared" si="3"/>
        <v>4130</v>
      </c>
      <c r="F109" s="19">
        <v>1000</v>
      </c>
      <c r="H109" s="140">
        <f t="shared" si="4"/>
        <v>1000</v>
      </c>
      <c r="J109" s="19">
        <v>616</v>
      </c>
      <c r="L109" s="140">
        <f t="shared" si="2"/>
        <v>616</v>
      </c>
    </row>
    <row r="110" spans="1:12">
      <c r="A110" s="1" t="str">
        <f>SCALARS!A111</f>
        <v>Saturday</v>
      </c>
      <c r="B110" s="28">
        <f>SCALARS!B111</f>
        <v>46186</v>
      </c>
      <c r="E110" s="140">
        <f t="shared" si="3"/>
        <v>0</v>
      </c>
      <c r="H110" s="140">
        <f t="shared" si="4"/>
        <v>0</v>
      </c>
      <c r="L110" s="140">
        <f t="shared" si="2"/>
        <v>0</v>
      </c>
    </row>
    <row r="111" spans="1:12">
      <c r="A111" s="1" t="str">
        <f>SCALARS!A112</f>
        <v>Sunday</v>
      </c>
      <c r="B111" s="28">
        <f>SCALARS!B112</f>
        <v>46187</v>
      </c>
      <c r="E111" s="140">
        <f t="shared" si="3"/>
        <v>0</v>
      </c>
      <c r="H111" s="140">
        <f t="shared" si="4"/>
        <v>0</v>
      </c>
      <c r="L111" s="140">
        <f t="shared" si="2"/>
        <v>0</v>
      </c>
    </row>
    <row r="112" spans="1:12">
      <c r="A112" s="1" t="str">
        <f>SCALARS!A113</f>
        <v>Monday</v>
      </c>
      <c r="B112" s="28">
        <f>SCALARS!B113</f>
        <v>46188</v>
      </c>
      <c r="C112" s="19">
        <v>4110</v>
      </c>
      <c r="E112" s="140">
        <f t="shared" si="3"/>
        <v>4110</v>
      </c>
      <c r="F112" s="19">
        <v>1000</v>
      </c>
      <c r="H112" s="140">
        <f t="shared" si="4"/>
        <v>1000</v>
      </c>
      <c r="J112" s="19">
        <v>616</v>
      </c>
      <c r="L112" s="140">
        <f t="shared" si="2"/>
        <v>616</v>
      </c>
    </row>
    <row r="113" spans="1:14">
      <c r="A113" s="1" t="str">
        <f>SCALARS!A114</f>
        <v>Tuesday</v>
      </c>
      <c r="B113" s="28">
        <f>SCALARS!B114</f>
        <v>46189</v>
      </c>
      <c r="C113" s="19">
        <v>4110</v>
      </c>
      <c r="E113" s="140">
        <f t="shared" si="3"/>
        <v>4110</v>
      </c>
      <c r="F113" s="19">
        <v>1000</v>
      </c>
      <c r="H113" s="140">
        <f t="shared" si="4"/>
        <v>1000</v>
      </c>
      <c r="J113" s="19">
        <v>616</v>
      </c>
      <c r="L113" s="140">
        <f t="shared" si="2"/>
        <v>616</v>
      </c>
    </row>
    <row r="114" spans="1:14">
      <c r="A114" s="1" t="str">
        <f>SCALARS!A115</f>
        <v>Wednesday</v>
      </c>
      <c r="B114" s="28">
        <f>SCALARS!B115</f>
        <v>46190</v>
      </c>
      <c r="C114" s="19">
        <v>4120</v>
      </c>
      <c r="E114" s="140">
        <f t="shared" si="3"/>
        <v>4120</v>
      </c>
      <c r="F114" s="19">
        <v>1000</v>
      </c>
      <c r="H114" s="140">
        <f t="shared" si="4"/>
        <v>1000</v>
      </c>
      <c r="J114" s="19">
        <v>616</v>
      </c>
      <c r="L114" s="140">
        <f t="shared" si="2"/>
        <v>616</v>
      </c>
    </row>
    <row r="115" spans="1:14">
      <c r="A115" s="1" t="str">
        <f>SCALARS!A116</f>
        <v>Thursday</v>
      </c>
      <c r="B115" s="28">
        <f>SCALARS!B116</f>
        <v>46191</v>
      </c>
      <c r="C115" s="145">
        <v>3185</v>
      </c>
      <c r="D115" s="145">
        <v>750</v>
      </c>
      <c r="E115" s="159">
        <f t="shared" si="3"/>
        <v>3935</v>
      </c>
      <c r="F115" s="145"/>
      <c r="G115" s="145">
        <v>2000</v>
      </c>
      <c r="H115" s="159">
        <f t="shared" si="4"/>
        <v>2000</v>
      </c>
      <c r="J115" s="145">
        <v>491</v>
      </c>
      <c r="K115" s="145">
        <v>125</v>
      </c>
      <c r="L115" s="159">
        <f t="shared" si="2"/>
        <v>616</v>
      </c>
      <c r="N115" t="s">
        <v>97</v>
      </c>
    </row>
    <row r="116" spans="1:14">
      <c r="A116" s="1" t="str">
        <f>SCALARS!A117</f>
        <v>Friday</v>
      </c>
      <c r="B116" s="28">
        <f>SCALARS!B117</f>
        <v>46192</v>
      </c>
      <c r="C116" s="161" t="s">
        <v>73</v>
      </c>
      <c r="H116" s="140"/>
      <c r="L116" s="140"/>
    </row>
    <row r="117" spans="1:14">
      <c r="A117" s="1" t="str">
        <f>SCALARS!A118</f>
        <v>Saturday</v>
      </c>
      <c r="B117" s="28">
        <f>SCALARS!B118</f>
        <v>46193</v>
      </c>
      <c r="E117" s="140">
        <f t="shared" si="3"/>
        <v>0</v>
      </c>
      <c r="H117" s="140">
        <f t="shared" si="4"/>
        <v>0</v>
      </c>
      <c r="L117" s="140">
        <f t="shared" si="2"/>
        <v>0</v>
      </c>
    </row>
    <row r="118" spans="1:14">
      <c r="A118" s="1" t="str">
        <f>SCALARS!A119</f>
        <v>Sunday</v>
      </c>
      <c r="B118" s="28">
        <f>SCALARS!B119</f>
        <v>46194</v>
      </c>
      <c r="E118" s="140">
        <f t="shared" si="3"/>
        <v>0</v>
      </c>
      <c r="H118" s="140">
        <f t="shared" si="4"/>
        <v>0</v>
      </c>
      <c r="L118" s="140">
        <f t="shared" si="2"/>
        <v>0</v>
      </c>
    </row>
    <row r="119" spans="1:14">
      <c r="A119" s="1" t="str">
        <f>SCALARS!A120</f>
        <v>Monday</v>
      </c>
      <c r="B119" s="28">
        <f>SCALARS!B120</f>
        <v>46195</v>
      </c>
      <c r="C119" s="19">
        <v>2485</v>
      </c>
      <c r="D119" s="19">
        <v>1530</v>
      </c>
      <c r="E119" s="140">
        <f t="shared" ref="E119" si="5">SUM(C119:D119)</f>
        <v>4015</v>
      </c>
      <c r="G119" s="19">
        <v>2000</v>
      </c>
      <c r="H119" s="140">
        <f t="shared" ref="H119" si="6">SUM(F119:G119)</f>
        <v>2000</v>
      </c>
      <c r="J119" s="19">
        <v>366</v>
      </c>
      <c r="K119" s="19">
        <v>250</v>
      </c>
      <c r="L119" s="140">
        <f t="shared" ref="L119" si="7">SUM(J119:K119)</f>
        <v>616</v>
      </c>
    </row>
    <row r="120" spans="1:14">
      <c r="A120" s="1" t="str">
        <f>SCALARS!A121</f>
        <v>Tuesday</v>
      </c>
      <c r="B120" s="28">
        <f>SCALARS!B121</f>
        <v>46196</v>
      </c>
      <c r="C120" s="19">
        <v>1590</v>
      </c>
      <c r="D120" s="19">
        <v>2480</v>
      </c>
      <c r="E120" s="140">
        <f t="shared" si="3"/>
        <v>4070</v>
      </c>
      <c r="G120" s="19">
        <v>2000</v>
      </c>
      <c r="H120" s="140">
        <f t="shared" si="4"/>
        <v>2000</v>
      </c>
      <c r="J120" s="19">
        <v>241</v>
      </c>
      <c r="K120" s="19">
        <v>375</v>
      </c>
      <c r="L120" s="140">
        <f t="shared" si="2"/>
        <v>616</v>
      </c>
    </row>
    <row r="121" spans="1:14">
      <c r="A121" s="1" t="str">
        <f>SCALARS!A122</f>
        <v>Wednesday</v>
      </c>
      <c r="B121" s="28">
        <f>SCALARS!B122</f>
        <v>46197</v>
      </c>
      <c r="C121" s="19">
        <v>670</v>
      </c>
      <c r="D121" s="19">
        <v>3400</v>
      </c>
      <c r="E121" s="140">
        <f t="shared" si="3"/>
        <v>4070</v>
      </c>
      <c r="G121" s="19">
        <v>2000</v>
      </c>
      <c r="H121" s="140">
        <f t="shared" si="4"/>
        <v>2000</v>
      </c>
      <c r="J121" s="19">
        <v>115</v>
      </c>
      <c r="K121" s="19">
        <v>500</v>
      </c>
      <c r="L121" s="140">
        <f t="shared" si="2"/>
        <v>615</v>
      </c>
    </row>
    <row r="122" spans="1:14">
      <c r="A122" s="1" t="str">
        <f>SCALARS!A123</f>
        <v>Thursday</v>
      </c>
      <c r="B122" s="28">
        <f>SCALARS!B123</f>
        <v>46198</v>
      </c>
      <c r="D122" s="19">
        <v>3780</v>
      </c>
      <c r="E122" s="140">
        <f t="shared" si="3"/>
        <v>3780</v>
      </c>
      <c r="G122" s="19">
        <v>3000</v>
      </c>
      <c r="H122" s="140">
        <f t="shared" si="4"/>
        <v>3000</v>
      </c>
      <c r="K122" s="19">
        <v>615</v>
      </c>
      <c r="L122" s="140">
        <f t="shared" si="2"/>
        <v>615</v>
      </c>
    </row>
    <row r="123" spans="1:14">
      <c r="A123" s="1" t="str">
        <f>SCALARS!A124</f>
        <v>Friday</v>
      </c>
      <c r="B123" s="28">
        <f>SCALARS!B124</f>
        <v>46199</v>
      </c>
      <c r="D123" s="19">
        <v>3780</v>
      </c>
      <c r="E123" s="140">
        <f t="shared" si="3"/>
        <v>3780</v>
      </c>
      <c r="G123" s="19">
        <v>3000</v>
      </c>
      <c r="H123" s="140">
        <f t="shared" si="4"/>
        <v>3000</v>
      </c>
      <c r="K123" s="19">
        <v>615</v>
      </c>
      <c r="L123" s="140">
        <f t="shared" si="2"/>
        <v>615</v>
      </c>
      <c r="N123" t="s">
        <v>96</v>
      </c>
    </row>
    <row r="124" spans="1:14">
      <c r="A124" s="1" t="str">
        <f>SCALARS!A125</f>
        <v>Saturday</v>
      </c>
      <c r="B124" s="28">
        <f>SCALARS!B125</f>
        <v>46200</v>
      </c>
      <c r="E124" s="140">
        <f t="shared" si="3"/>
        <v>0</v>
      </c>
      <c r="H124" s="140">
        <f t="shared" si="4"/>
        <v>0</v>
      </c>
      <c r="L124" s="140">
        <f t="shared" si="2"/>
        <v>0</v>
      </c>
    </row>
    <row r="125" spans="1:14">
      <c r="A125" s="1" t="str">
        <f>SCALARS!A126</f>
        <v>Sunday</v>
      </c>
      <c r="B125" s="28">
        <f>SCALARS!B126</f>
        <v>46201</v>
      </c>
      <c r="E125" s="140">
        <f t="shared" si="3"/>
        <v>0</v>
      </c>
      <c r="H125" s="140">
        <f t="shared" si="4"/>
        <v>0</v>
      </c>
      <c r="L125" s="140">
        <f t="shared" si="2"/>
        <v>0</v>
      </c>
    </row>
    <row r="126" spans="1:14">
      <c r="A126" s="1" t="str">
        <f>SCALARS!A127</f>
        <v>Monday</v>
      </c>
      <c r="B126" s="28">
        <f>SCALARS!B127</f>
        <v>46202</v>
      </c>
      <c r="C126" s="19">
        <v>3750</v>
      </c>
      <c r="E126" s="140">
        <f t="shared" si="3"/>
        <v>3750</v>
      </c>
      <c r="F126" s="19">
        <v>3000</v>
      </c>
      <c r="H126" s="140">
        <f t="shared" si="4"/>
        <v>3000</v>
      </c>
      <c r="J126" s="19">
        <v>607</v>
      </c>
      <c r="L126" s="140">
        <f t="shared" si="2"/>
        <v>607</v>
      </c>
    </row>
    <row r="127" spans="1:14">
      <c r="A127" s="1" t="str">
        <f>SCALARS!A128</f>
        <v>Tuesday</v>
      </c>
      <c r="B127" s="28">
        <f>SCALARS!B128</f>
        <v>46203</v>
      </c>
      <c r="C127" s="19">
        <v>3780</v>
      </c>
      <c r="E127" s="140">
        <f t="shared" si="3"/>
        <v>3780</v>
      </c>
      <c r="F127" s="19">
        <v>3000</v>
      </c>
      <c r="H127" s="140">
        <f t="shared" si="4"/>
        <v>3000</v>
      </c>
      <c r="J127" s="19">
        <v>607</v>
      </c>
      <c r="L127" s="140">
        <f>SUM(J127:K127)</f>
        <v>607</v>
      </c>
    </row>
    <row r="128" spans="1:14">
      <c r="A128" s="1" t="str">
        <f>SCALARS!A129</f>
        <v>Wednesday</v>
      </c>
      <c r="B128" s="28">
        <f>SCALARS!B129</f>
        <v>46204</v>
      </c>
      <c r="C128" s="19">
        <v>3760</v>
      </c>
      <c r="E128" s="140">
        <f t="shared" si="3"/>
        <v>3760</v>
      </c>
      <c r="F128" s="19">
        <v>3000</v>
      </c>
      <c r="H128" s="140">
        <f t="shared" si="4"/>
        <v>3000</v>
      </c>
      <c r="J128" s="19">
        <v>607</v>
      </c>
      <c r="L128" s="140">
        <f t="shared" ref="L128:L158" si="8">SUM(J128:K128)</f>
        <v>607</v>
      </c>
    </row>
    <row r="129" spans="1:12">
      <c r="A129" s="1" t="str">
        <f>SCALARS!A130</f>
        <v>Thursday</v>
      </c>
      <c r="B129" s="28">
        <f>SCALARS!B130</f>
        <v>46205</v>
      </c>
      <c r="C129" s="19">
        <v>3700</v>
      </c>
      <c r="E129" s="140">
        <f t="shared" si="3"/>
        <v>3700</v>
      </c>
      <c r="F129" s="19">
        <v>3000</v>
      </c>
      <c r="H129" s="140">
        <f t="shared" si="4"/>
        <v>3000</v>
      </c>
      <c r="J129" s="19">
        <v>607</v>
      </c>
      <c r="L129" s="140">
        <f t="shared" si="8"/>
        <v>607</v>
      </c>
    </row>
    <row r="130" spans="1:12">
      <c r="A130" s="1" t="str">
        <f>SCALARS!A131</f>
        <v>Friday</v>
      </c>
      <c r="B130" s="28">
        <f>SCALARS!B131</f>
        <v>46206</v>
      </c>
      <c r="C130" s="161" t="s">
        <v>73</v>
      </c>
      <c r="H130" s="140"/>
      <c r="L130" s="140"/>
    </row>
    <row r="131" spans="1:12">
      <c r="A131" s="1" t="str">
        <f>SCALARS!A132</f>
        <v>Saturday</v>
      </c>
      <c r="B131" s="28">
        <f>SCALARS!B132</f>
        <v>46207</v>
      </c>
      <c r="E131" s="140">
        <f t="shared" ref="E131:E132" si="9">SUM(C131:D131)</f>
        <v>0</v>
      </c>
      <c r="H131" s="140">
        <f t="shared" ref="H131:H132" si="10">SUM(F131:G131)</f>
        <v>0</v>
      </c>
      <c r="L131" s="140">
        <f t="shared" ref="L131:L132" si="11">SUM(J131:K131)</f>
        <v>0</v>
      </c>
    </row>
    <row r="132" spans="1:12">
      <c r="A132" s="1" t="str">
        <f>SCALARS!A133</f>
        <v>Sunday</v>
      </c>
      <c r="B132" s="28">
        <f>SCALARS!B133</f>
        <v>46208</v>
      </c>
      <c r="E132" s="140">
        <f t="shared" si="9"/>
        <v>0</v>
      </c>
      <c r="H132" s="140">
        <f t="shared" si="10"/>
        <v>0</v>
      </c>
      <c r="L132" s="140">
        <f t="shared" si="11"/>
        <v>0</v>
      </c>
    </row>
    <row r="133" spans="1:12">
      <c r="A133" s="1" t="str">
        <f>SCALARS!A134</f>
        <v>Monday</v>
      </c>
      <c r="B133" s="28">
        <f>SCALARS!B134</f>
        <v>46209</v>
      </c>
      <c r="C133" s="19">
        <v>3770</v>
      </c>
      <c r="E133" s="140">
        <f t="shared" si="3"/>
        <v>3770</v>
      </c>
      <c r="F133" s="19">
        <v>3000</v>
      </c>
      <c r="H133" s="140">
        <f t="shared" si="4"/>
        <v>3000</v>
      </c>
      <c r="J133" s="19">
        <v>601</v>
      </c>
      <c r="L133" s="140">
        <f t="shared" si="8"/>
        <v>601</v>
      </c>
    </row>
    <row r="134" spans="1:12">
      <c r="A134" s="1" t="str">
        <f>SCALARS!A135</f>
        <v>Tuesday</v>
      </c>
      <c r="B134" s="28">
        <f>SCALARS!B135</f>
        <v>46210</v>
      </c>
      <c r="C134" s="19">
        <v>3690</v>
      </c>
      <c r="E134" s="140">
        <f t="shared" si="3"/>
        <v>3690</v>
      </c>
      <c r="F134" s="19">
        <v>3000</v>
      </c>
      <c r="H134" s="140">
        <f t="shared" si="4"/>
        <v>3000</v>
      </c>
      <c r="J134" s="19">
        <v>601</v>
      </c>
      <c r="L134" s="140">
        <f t="shared" si="8"/>
        <v>601</v>
      </c>
    </row>
    <row r="135" spans="1:12">
      <c r="A135" s="1" t="str">
        <f>SCALARS!A136</f>
        <v>Wednesday</v>
      </c>
      <c r="B135" s="28">
        <f>SCALARS!B136</f>
        <v>46211</v>
      </c>
      <c r="C135" s="19">
        <v>3690</v>
      </c>
      <c r="E135" s="140">
        <f t="shared" si="3"/>
        <v>3690</v>
      </c>
      <c r="F135" s="19">
        <v>3000</v>
      </c>
      <c r="H135" s="140">
        <f t="shared" si="4"/>
        <v>3000</v>
      </c>
      <c r="J135" s="19">
        <v>601</v>
      </c>
      <c r="L135" s="140">
        <f t="shared" si="8"/>
        <v>601</v>
      </c>
    </row>
    <row r="136" spans="1:12">
      <c r="A136" s="1" t="str">
        <f>SCALARS!A137</f>
        <v>Thursday</v>
      </c>
      <c r="B136" s="28">
        <f>SCALARS!B137</f>
        <v>46212</v>
      </c>
      <c r="C136" s="19">
        <v>3732</v>
      </c>
      <c r="E136" s="140">
        <f t="shared" si="3"/>
        <v>3732</v>
      </c>
      <c r="F136" s="19">
        <v>3000</v>
      </c>
      <c r="H136" s="140">
        <f t="shared" si="4"/>
        <v>3000</v>
      </c>
      <c r="J136" s="19">
        <v>596</v>
      </c>
      <c r="L136" s="140">
        <f t="shared" si="8"/>
        <v>596</v>
      </c>
    </row>
    <row r="137" spans="1:12">
      <c r="A137" s="1" t="str">
        <f>SCALARS!A138</f>
        <v>Friday</v>
      </c>
      <c r="B137" s="28">
        <f>SCALARS!B138</f>
        <v>46213</v>
      </c>
      <c r="C137" s="19">
        <v>3622</v>
      </c>
      <c r="E137" s="140">
        <f t="shared" si="3"/>
        <v>3622</v>
      </c>
      <c r="F137" s="19">
        <v>3000</v>
      </c>
      <c r="H137" s="140">
        <f t="shared" si="4"/>
        <v>3000</v>
      </c>
      <c r="J137" s="19">
        <v>596</v>
      </c>
      <c r="L137" s="140">
        <f t="shared" si="8"/>
        <v>596</v>
      </c>
    </row>
    <row r="138" spans="1:12">
      <c r="A138" s="1" t="str">
        <f>SCALARS!A139</f>
        <v>Saturday</v>
      </c>
      <c r="B138" s="28">
        <f>SCALARS!B139</f>
        <v>46214</v>
      </c>
      <c r="E138" s="140">
        <f t="shared" si="3"/>
        <v>0</v>
      </c>
      <c r="H138" s="140">
        <f t="shared" si="4"/>
        <v>0</v>
      </c>
      <c r="L138" s="140">
        <f t="shared" si="8"/>
        <v>0</v>
      </c>
    </row>
    <row r="139" spans="1:12">
      <c r="A139" s="1" t="str">
        <f>SCALARS!A140</f>
        <v>Sunday</v>
      </c>
      <c r="B139" s="28">
        <f>SCALARS!B140</f>
        <v>46215</v>
      </c>
      <c r="E139" s="140">
        <f t="shared" si="3"/>
        <v>0</v>
      </c>
      <c r="H139" s="140">
        <f t="shared" si="4"/>
        <v>0</v>
      </c>
      <c r="L139" s="140">
        <f t="shared" si="8"/>
        <v>0</v>
      </c>
    </row>
    <row r="140" spans="1:12">
      <c r="A140" s="1" t="str">
        <f>SCALARS!A141</f>
        <v>Monday</v>
      </c>
      <c r="B140" s="28">
        <f>SCALARS!B141</f>
        <v>46216</v>
      </c>
      <c r="C140" s="19">
        <v>3584</v>
      </c>
      <c r="E140" s="140">
        <f t="shared" si="3"/>
        <v>3584</v>
      </c>
      <c r="F140" s="19">
        <v>3000</v>
      </c>
      <c r="H140" s="140">
        <f t="shared" si="4"/>
        <v>3000</v>
      </c>
      <c r="J140" s="19">
        <v>594</v>
      </c>
      <c r="L140" s="140">
        <f t="shared" si="8"/>
        <v>594</v>
      </c>
    </row>
    <row r="141" spans="1:12">
      <c r="A141" s="1" t="str">
        <f>SCALARS!A142</f>
        <v>Tuesday</v>
      </c>
      <c r="B141" s="28">
        <f>SCALARS!B142</f>
        <v>46217</v>
      </c>
      <c r="C141" s="19">
        <v>3629</v>
      </c>
      <c r="E141" s="140">
        <f t="shared" si="3"/>
        <v>3629</v>
      </c>
      <c r="F141" s="19">
        <v>3000</v>
      </c>
      <c r="H141" s="140">
        <f t="shared" si="4"/>
        <v>3000</v>
      </c>
      <c r="J141" s="19">
        <v>594</v>
      </c>
      <c r="L141" s="140">
        <f t="shared" si="8"/>
        <v>594</v>
      </c>
    </row>
    <row r="142" spans="1:12">
      <c r="A142" s="1" t="str">
        <f>SCALARS!A143</f>
        <v>Wednesday</v>
      </c>
      <c r="B142" s="28">
        <f>SCALARS!B143</f>
        <v>46218</v>
      </c>
      <c r="C142" s="19">
        <v>3614</v>
      </c>
      <c r="E142" s="140">
        <f t="shared" si="3"/>
        <v>3614</v>
      </c>
      <c r="F142" s="19">
        <v>3000</v>
      </c>
      <c r="H142" s="140">
        <f t="shared" si="4"/>
        <v>3000</v>
      </c>
      <c r="J142" s="19">
        <v>582</v>
      </c>
      <c r="L142" s="140">
        <f t="shared" si="8"/>
        <v>582</v>
      </c>
    </row>
    <row r="143" spans="1:12">
      <c r="A143" s="1" t="str">
        <f>SCALARS!A144</f>
        <v>Thursday</v>
      </c>
      <c r="B143" s="28">
        <f>SCALARS!B144</f>
        <v>46219</v>
      </c>
      <c r="C143" s="19">
        <v>3588</v>
      </c>
      <c r="E143" s="140">
        <f t="shared" si="3"/>
        <v>3588</v>
      </c>
      <c r="F143" s="19">
        <v>3000</v>
      </c>
      <c r="H143" s="140">
        <f t="shared" si="4"/>
        <v>3000</v>
      </c>
      <c r="J143" s="19">
        <v>582</v>
      </c>
      <c r="L143" s="140">
        <f t="shared" si="8"/>
        <v>582</v>
      </c>
    </row>
    <row r="144" spans="1:12">
      <c r="A144" s="1" t="str">
        <f>SCALARS!A145</f>
        <v>Friday</v>
      </c>
      <c r="B144" s="28">
        <f>SCALARS!B145</f>
        <v>46220</v>
      </c>
      <c r="C144" s="19">
        <v>3609</v>
      </c>
      <c r="E144" s="140">
        <f t="shared" si="3"/>
        <v>3609</v>
      </c>
      <c r="F144" s="19">
        <v>3000</v>
      </c>
      <c r="H144" s="140">
        <f t="shared" si="4"/>
        <v>3000</v>
      </c>
      <c r="J144" s="19">
        <v>558</v>
      </c>
      <c r="L144" s="140">
        <f t="shared" si="8"/>
        <v>558</v>
      </c>
    </row>
    <row r="145" spans="1:14">
      <c r="A145" s="1" t="str">
        <f>SCALARS!A146</f>
        <v>Saturday</v>
      </c>
      <c r="B145" s="28">
        <f>SCALARS!B146</f>
        <v>46221</v>
      </c>
      <c r="E145" s="140">
        <f t="shared" si="3"/>
        <v>0</v>
      </c>
      <c r="H145" s="140">
        <f t="shared" si="4"/>
        <v>0</v>
      </c>
      <c r="L145" s="140">
        <f t="shared" si="8"/>
        <v>0</v>
      </c>
    </row>
    <row r="146" spans="1:14">
      <c r="A146" s="1" t="str">
        <f>SCALARS!A147</f>
        <v>Sunday</v>
      </c>
      <c r="B146" s="28">
        <f>SCALARS!B147</f>
        <v>46222</v>
      </c>
      <c r="E146" s="140">
        <f t="shared" si="3"/>
        <v>0</v>
      </c>
      <c r="H146" s="140">
        <f t="shared" si="4"/>
        <v>0</v>
      </c>
      <c r="L146" s="140">
        <f t="shared" si="8"/>
        <v>0</v>
      </c>
    </row>
    <row r="147" spans="1:14">
      <c r="A147" s="1" t="str">
        <f>SCALARS!A148</f>
        <v>Monday</v>
      </c>
      <c r="B147" s="28">
        <f>SCALARS!B148</f>
        <v>46223</v>
      </c>
      <c r="C147" s="19">
        <v>3569</v>
      </c>
      <c r="E147" s="140">
        <f t="shared" si="3"/>
        <v>3569</v>
      </c>
      <c r="F147" s="19">
        <v>3000</v>
      </c>
      <c r="H147" s="140">
        <f t="shared" si="4"/>
        <v>3000</v>
      </c>
      <c r="J147" s="19">
        <v>558</v>
      </c>
      <c r="L147" s="140">
        <f t="shared" si="8"/>
        <v>558</v>
      </c>
    </row>
    <row r="148" spans="1:14">
      <c r="A148" s="1" t="str">
        <f>SCALARS!A149</f>
        <v>Tuesday</v>
      </c>
      <c r="B148" s="28">
        <f>SCALARS!B149</f>
        <v>46224</v>
      </c>
      <c r="C148" s="19">
        <v>3542</v>
      </c>
      <c r="E148" s="140">
        <f t="shared" si="3"/>
        <v>3542</v>
      </c>
      <c r="F148" s="19">
        <v>3000</v>
      </c>
      <c r="H148" s="140">
        <f t="shared" si="4"/>
        <v>3000</v>
      </c>
      <c r="J148" s="19">
        <v>580</v>
      </c>
      <c r="L148" s="140">
        <f t="shared" si="8"/>
        <v>580</v>
      </c>
    </row>
    <row r="149" spans="1:14">
      <c r="A149" s="1" t="str">
        <f>SCALARS!A150</f>
        <v>Wednesday</v>
      </c>
      <c r="B149" s="28">
        <f>SCALARS!B150</f>
        <v>46225</v>
      </c>
      <c r="C149" s="19">
        <v>3542</v>
      </c>
      <c r="E149" s="140">
        <f t="shared" si="3"/>
        <v>3542</v>
      </c>
      <c r="F149" s="19">
        <v>3000</v>
      </c>
      <c r="H149" s="140">
        <f t="shared" si="4"/>
        <v>3000</v>
      </c>
      <c r="J149" s="19">
        <v>580</v>
      </c>
      <c r="L149" s="140">
        <f t="shared" si="8"/>
        <v>580</v>
      </c>
    </row>
    <row r="150" spans="1:14">
      <c r="A150" s="1" t="str">
        <f>SCALARS!A151</f>
        <v>Thursday</v>
      </c>
      <c r="B150" s="28">
        <f>SCALARS!B151</f>
        <v>46226</v>
      </c>
      <c r="C150" s="19">
        <v>3587</v>
      </c>
      <c r="E150" s="140">
        <f t="shared" si="3"/>
        <v>3587</v>
      </c>
      <c r="F150" s="19">
        <v>3000</v>
      </c>
      <c r="H150" s="140">
        <f t="shared" si="4"/>
        <v>3000</v>
      </c>
      <c r="J150" s="19">
        <v>580</v>
      </c>
      <c r="L150" s="140">
        <f t="shared" si="8"/>
        <v>580</v>
      </c>
    </row>
    <row r="151" spans="1:14">
      <c r="A151" s="1" t="str">
        <f>SCALARS!A152</f>
        <v>Friday</v>
      </c>
      <c r="B151" s="28">
        <f>SCALARS!B152</f>
        <v>46227</v>
      </c>
      <c r="C151" s="19">
        <v>3022</v>
      </c>
      <c r="D151" s="19">
        <v>590</v>
      </c>
      <c r="E151" s="140">
        <f t="shared" si="3"/>
        <v>3612</v>
      </c>
      <c r="F151" s="19">
        <v>3000</v>
      </c>
      <c r="H151" s="140">
        <f t="shared" si="4"/>
        <v>3000</v>
      </c>
      <c r="J151" s="19">
        <v>460</v>
      </c>
      <c r="K151" s="19">
        <v>120</v>
      </c>
      <c r="L151" s="140">
        <f t="shared" si="8"/>
        <v>580</v>
      </c>
      <c r="N151" t="s">
        <v>97</v>
      </c>
    </row>
    <row r="152" spans="1:14">
      <c r="A152" s="1" t="str">
        <f>SCALARS!A153</f>
        <v>Saturday</v>
      </c>
      <c r="B152" s="28">
        <f>SCALARS!B153</f>
        <v>46228</v>
      </c>
      <c r="E152" s="140">
        <f t="shared" si="3"/>
        <v>0</v>
      </c>
      <c r="H152" s="140">
        <f t="shared" si="4"/>
        <v>0</v>
      </c>
      <c r="L152" s="140">
        <f t="shared" si="8"/>
        <v>0</v>
      </c>
    </row>
    <row r="153" spans="1:14">
      <c r="A153" s="1" t="str">
        <f>SCALARS!A154</f>
        <v>Sunday</v>
      </c>
      <c r="B153" s="28">
        <f>SCALARS!B154</f>
        <v>46229</v>
      </c>
      <c r="E153" s="140">
        <f t="shared" si="3"/>
        <v>0</v>
      </c>
      <c r="H153" s="140">
        <f t="shared" si="4"/>
        <v>0</v>
      </c>
      <c r="L153" s="140">
        <f t="shared" si="8"/>
        <v>0</v>
      </c>
    </row>
    <row r="154" spans="1:14">
      <c r="A154" s="1" t="str">
        <f>SCALARS!A155</f>
        <v>Monday</v>
      </c>
      <c r="B154" s="28">
        <f>SCALARS!B155</f>
        <v>46230</v>
      </c>
      <c r="C154" s="19">
        <v>2360</v>
      </c>
      <c r="D154" s="19">
        <v>1290</v>
      </c>
      <c r="E154" s="140">
        <f t="shared" si="3"/>
        <v>3650</v>
      </c>
      <c r="F154" s="19">
        <v>3000</v>
      </c>
      <c r="H154" s="140">
        <f t="shared" si="4"/>
        <v>3000</v>
      </c>
      <c r="J154" s="19">
        <v>340</v>
      </c>
      <c r="K154" s="19">
        <v>240</v>
      </c>
      <c r="L154" s="140">
        <f t="shared" si="8"/>
        <v>580</v>
      </c>
    </row>
    <row r="155" spans="1:14">
      <c r="A155" s="1" t="str">
        <f>SCALARS!A156</f>
        <v>Tuesday</v>
      </c>
      <c r="B155" s="28">
        <f>SCALARS!B156</f>
        <v>46231</v>
      </c>
      <c r="C155" s="19">
        <v>2260</v>
      </c>
      <c r="D155" s="19">
        <v>1465</v>
      </c>
      <c r="E155" s="140">
        <f t="shared" si="3"/>
        <v>3725</v>
      </c>
      <c r="F155" s="19">
        <v>3000</v>
      </c>
      <c r="H155" s="140">
        <f t="shared" si="4"/>
        <v>3000</v>
      </c>
      <c r="J155" s="19">
        <v>375</v>
      </c>
      <c r="K155" s="19">
        <v>205</v>
      </c>
      <c r="L155" s="140">
        <f t="shared" si="8"/>
        <v>580</v>
      </c>
    </row>
    <row r="156" spans="1:14">
      <c r="A156" s="1" t="str">
        <f>SCALARS!A157</f>
        <v>Wednesday</v>
      </c>
      <c r="B156" s="28">
        <f>SCALARS!B157</f>
        <v>46232</v>
      </c>
      <c r="C156" s="19">
        <v>765</v>
      </c>
      <c r="D156" s="19">
        <v>2945</v>
      </c>
      <c r="E156" s="140">
        <f t="shared" si="3"/>
        <v>3710</v>
      </c>
      <c r="F156" s="19">
        <v>1000</v>
      </c>
      <c r="G156" s="19">
        <v>2000</v>
      </c>
      <c r="H156" s="140">
        <f t="shared" si="4"/>
        <v>3000</v>
      </c>
      <c r="J156" s="19">
        <v>105</v>
      </c>
      <c r="K156" s="19">
        <v>475</v>
      </c>
      <c r="L156" s="140">
        <f t="shared" si="8"/>
        <v>580</v>
      </c>
    </row>
    <row r="157" spans="1:14">
      <c r="A157" s="1" t="str">
        <f>SCALARS!A158</f>
        <v>Thursday</v>
      </c>
      <c r="B157" s="28">
        <f>SCALARS!B158</f>
        <v>46233</v>
      </c>
      <c r="E157" s="140">
        <f t="shared" si="3"/>
        <v>0</v>
      </c>
      <c r="H157" s="140">
        <f t="shared" si="4"/>
        <v>0</v>
      </c>
      <c r="L157" s="140">
        <f t="shared" si="8"/>
        <v>0</v>
      </c>
    </row>
    <row r="158" spans="1:14">
      <c r="A158" s="1" t="str">
        <f>SCALARS!A159</f>
        <v>Friday</v>
      </c>
      <c r="B158" s="28">
        <f>SCALARS!B159</f>
        <v>46234</v>
      </c>
      <c r="E158" s="140">
        <f t="shared" si="3"/>
        <v>0</v>
      </c>
      <c r="H158" s="140">
        <f t="shared" si="4"/>
        <v>0</v>
      </c>
      <c r="L158" s="140">
        <f t="shared" si="8"/>
        <v>0</v>
      </c>
      <c r="N158" t="s">
        <v>96</v>
      </c>
    </row>
  </sheetData>
  <mergeCells count="2">
    <mergeCell ref="C4:H4"/>
    <mergeCell ref="J4:L4"/>
  </mergeCells>
  <phoneticPr fontId="23" type="noConversion"/>
  <hyperlinks>
    <hyperlink ref="A1" r:id="rId1" xr:uid="{50F2BCCB-C0F2-4D77-8E12-0D5537FF684A}"/>
    <hyperlink ref="A2" r:id="rId2" xr:uid="{FEC95F69-32E9-48C8-9B96-2EAC474D4FB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DC87-746C-48AC-AFE5-5A8510341DDE}">
  <sheetPr codeName="Sheet5">
    <tabColor theme="8" tint="0.79998168889431442"/>
  </sheetPr>
  <dimension ref="A1:AC176"/>
  <sheetViews>
    <sheetView zoomScale="80" zoomScaleNormal="80" workbookViewId="0">
      <pane xSplit="6" ySplit="5" topLeftCell="G103" activePane="bottomRight" state="frozen"/>
      <selection pane="topRight" activeCell="F1" sqref="F1"/>
      <selection pane="bottomLeft" activeCell="A6" sqref="A6"/>
      <selection pane="bottomRight" activeCell="Q145" sqref="Q145"/>
    </sheetView>
  </sheetViews>
  <sheetFormatPr defaultColWidth="14.140625" defaultRowHeight="15"/>
  <cols>
    <col min="1" max="2" width="14.140625" style="1"/>
    <col min="3" max="3" width="13.7109375" style="46" bestFit="1" customWidth="1"/>
    <col min="4" max="4" width="15.28515625" style="61" customWidth="1"/>
    <col min="5" max="5" width="15" style="46" customWidth="1"/>
    <col min="6" max="6" width="13.7109375" style="57" bestFit="1" customWidth="1"/>
    <col min="7" max="7" width="16.5703125" style="93" bestFit="1" customWidth="1"/>
    <col min="8" max="8" width="14.140625" style="1" customWidth="1"/>
    <col min="9" max="9" width="21" style="1" customWidth="1"/>
    <col min="10" max="10" width="17" style="1" bestFit="1" customWidth="1"/>
    <col min="11" max="11" width="12.42578125" style="1" bestFit="1" customWidth="1"/>
    <col min="12" max="12" width="15.140625" style="101" bestFit="1" customWidth="1"/>
    <col min="13" max="13" width="14.140625" style="1"/>
    <col min="15" max="15" width="14.140625" style="14"/>
    <col min="16" max="16" width="14.140625" style="1"/>
    <col min="17" max="17" width="14.140625" style="14"/>
    <col min="18" max="18" width="14.140625" style="4"/>
    <col min="19" max="19" width="14.140625" style="14"/>
    <col min="20" max="16384" width="14.140625" style="1"/>
  </cols>
  <sheetData>
    <row r="1" spans="1:14">
      <c r="A1" s="5" t="s">
        <v>4</v>
      </c>
      <c r="C1" s="1"/>
      <c r="D1" s="101"/>
      <c r="E1" s="1"/>
      <c r="F1" s="1"/>
      <c r="G1" s="1"/>
      <c r="N1" s="1"/>
    </row>
    <row r="2" spans="1:14">
      <c r="A2" s="5"/>
      <c r="C2" s="1"/>
      <c r="D2" s="101"/>
      <c r="E2" s="1"/>
      <c r="F2" s="1"/>
      <c r="G2" s="1"/>
      <c r="N2" s="1"/>
    </row>
    <row r="3" spans="1:14">
      <c r="A3" s="5"/>
      <c r="C3" s="1"/>
      <c r="D3" s="101"/>
      <c r="E3" s="1"/>
      <c r="F3" s="1"/>
      <c r="G3" s="1"/>
      <c r="N3" s="1"/>
    </row>
    <row r="4" spans="1:14">
      <c r="E4" s="80" t="s">
        <v>71</v>
      </c>
      <c r="N4" s="1"/>
    </row>
    <row r="5" spans="1:14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87" t="s">
        <v>69</v>
      </c>
      <c r="F5" s="59" t="s">
        <v>67</v>
      </c>
      <c r="G5" s="94" t="s">
        <v>40</v>
      </c>
      <c r="H5" s="21" t="s">
        <v>56</v>
      </c>
      <c r="I5" s="21" t="s">
        <v>38</v>
      </c>
      <c r="J5" s="22" t="s">
        <v>41</v>
      </c>
      <c r="K5" s="45" t="s">
        <v>66</v>
      </c>
      <c r="L5" s="44" t="s">
        <v>1</v>
      </c>
      <c r="N5" s="1"/>
    </row>
    <row r="6" spans="1:14" ht="15.75">
      <c r="A6" s="1" t="str">
        <f>SCALARS!A7</f>
        <v>Sunday</v>
      </c>
      <c r="B6" s="28">
        <f>SCALARS!B7</f>
        <v>46082</v>
      </c>
      <c r="C6" s="61">
        <f>SCALARS!C7</f>
        <v>3012.9766</v>
      </c>
      <c r="E6" s="61"/>
      <c r="F6" s="61"/>
      <c r="G6" s="95"/>
      <c r="H6" s="47"/>
      <c r="I6" s="47"/>
      <c r="J6" s="19"/>
      <c r="K6" s="8"/>
      <c r="L6" s="61"/>
      <c r="N6" s="57"/>
    </row>
    <row r="7" spans="1:14" ht="15.75">
      <c r="A7" s="1" t="str">
        <f>SCALARS!A8</f>
        <v>Monday</v>
      </c>
      <c r="B7" s="28">
        <f>SCALARS!B8</f>
        <v>46083</v>
      </c>
      <c r="C7" s="61">
        <f>SCALARS!C8</f>
        <v>3012.9938999999999</v>
      </c>
      <c r="E7" s="61"/>
      <c r="F7" s="61"/>
      <c r="G7" s="95"/>
      <c r="H7" s="47"/>
      <c r="I7" s="47"/>
      <c r="J7" s="19"/>
      <c r="K7" s="8"/>
      <c r="L7" s="61"/>
      <c r="N7" s="57"/>
    </row>
    <row r="8" spans="1:14" ht="15.75">
      <c r="A8" s="1" t="str">
        <f>SCALARS!A9</f>
        <v>Tuesday</v>
      </c>
      <c r="B8" s="28">
        <f>SCALARS!B9</f>
        <v>46084</v>
      </c>
      <c r="C8" s="61">
        <f>SCALARS!C9</f>
        <v>3013.0111999999999</v>
      </c>
      <c r="E8" s="61"/>
      <c r="F8" s="61"/>
      <c r="G8" s="95"/>
      <c r="H8" s="47"/>
      <c r="I8" s="47"/>
      <c r="J8" s="19"/>
      <c r="K8" s="8"/>
      <c r="L8" s="61"/>
      <c r="N8" s="57"/>
    </row>
    <row r="9" spans="1:14" ht="15.75">
      <c r="A9" s="1" t="str">
        <f>SCALARS!A10</f>
        <v>Wednesday</v>
      </c>
      <c r="B9" s="28">
        <f>SCALARS!B10</f>
        <v>46085</v>
      </c>
      <c r="C9" s="61">
        <f>SCALARS!C10</f>
        <v>3013.0284999999999</v>
      </c>
      <c r="E9" s="61"/>
      <c r="F9" s="61"/>
      <c r="G9" s="95"/>
      <c r="H9" s="47"/>
      <c r="I9" s="47"/>
      <c r="J9" s="19"/>
      <c r="K9" s="8"/>
      <c r="L9" s="61"/>
      <c r="N9" s="57"/>
    </row>
    <row r="10" spans="1:14" ht="15.75">
      <c r="A10" s="1" t="str">
        <f>SCALARS!A11</f>
        <v>Thursday</v>
      </c>
      <c r="B10" s="28">
        <f>SCALARS!B11</f>
        <v>46086</v>
      </c>
      <c r="C10" s="61">
        <f>SCALARS!C11</f>
        <v>3013.0457999999999</v>
      </c>
      <c r="E10" s="61"/>
      <c r="F10" s="61"/>
      <c r="G10" s="95"/>
      <c r="H10" s="47"/>
      <c r="I10" s="47"/>
      <c r="J10" s="19"/>
      <c r="K10" s="8"/>
      <c r="L10" s="61"/>
      <c r="N10" s="57"/>
    </row>
    <row r="11" spans="1:14" ht="15.75">
      <c r="A11" s="1" t="str">
        <f>SCALARS!A12</f>
        <v>Friday</v>
      </c>
      <c r="B11" s="28">
        <f>SCALARS!B12</f>
        <v>46087</v>
      </c>
      <c r="C11" s="61">
        <f>SCALARS!C12</f>
        <v>3013.0630999999998</v>
      </c>
      <c r="E11" s="61"/>
      <c r="F11" s="61"/>
      <c r="G11" s="95"/>
      <c r="H11" s="47"/>
      <c r="I11" s="47"/>
      <c r="J11" s="19"/>
      <c r="K11" s="8"/>
      <c r="L11" s="61"/>
      <c r="N11" s="57"/>
    </row>
    <row r="12" spans="1:14" ht="15.75">
      <c r="A12" s="1" t="str">
        <f>SCALARS!A13</f>
        <v>Saturday</v>
      </c>
      <c r="B12" s="28">
        <f>SCALARS!B13</f>
        <v>46088</v>
      </c>
      <c r="C12" s="61">
        <f>SCALARS!C13</f>
        <v>3013.0803999999998</v>
      </c>
      <c r="E12" s="61"/>
      <c r="F12" s="61"/>
      <c r="G12" s="95"/>
      <c r="H12" s="47"/>
      <c r="I12" s="47"/>
      <c r="J12" s="19"/>
      <c r="K12" s="8"/>
      <c r="L12" s="61"/>
      <c r="N12" s="57"/>
    </row>
    <row r="13" spans="1:14" ht="15.75">
      <c r="A13" s="1" t="str">
        <f>SCALARS!A14</f>
        <v>Sunday</v>
      </c>
      <c r="B13" s="28">
        <f>SCALARS!B14</f>
        <v>46089</v>
      </c>
      <c r="C13" s="61">
        <f>SCALARS!C14</f>
        <v>3013.0976999999998</v>
      </c>
      <c r="E13" s="61"/>
      <c r="F13" s="61"/>
      <c r="G13" s="95"/>
      <c r="H13" s="47"/>
      <c r="I13" s="47"/>
      <c r="J13" s="19"/>
      <c r="K13" s="8"/>
      <c r="L13" s="61"/>
      <c r="N13" s="57"/>
    </row>
    <row r="14" spans="1:14">
      <c r="A14" s="1" t="str">
        <f>SCALARS!A15</f>
        <v>Monday</v>
      </c>
      <c r="B14" s="28">
        <f>SCALARS!B15</f>
        <v>46090</v>
      </c>
      <c r="C14" s="61">
        <f>SCALARS!C15</f>
        <v>3013.1149999999998</v>
      </c>
      <c r="D14" s="61">
        <f>J14/K14</f>
        <v>3013.0963344393895</v>
      </c>
      <c r="E14" s="61">
        <f>C14-C13</f>
        <v>1.7299999999977445E-2</v>
      </c>
      <c r="F14" s="61">
        <f>C14-(D14+E14)</f>
        <v>1.3655606103384343E-3</v>
      </c>
      <c r="G14" s="120">
        <v>35566.78</v>
      </c>
      <c r="H14" s="47">
        <v>68865.77</v>
      </c>
      <c r="I14" s="47">
        <v>2448279266.1100001</v>
      </c>
      <c r="J14" s="19">
        <v>107120000</v>
      </c>
      <c r="K14" s="8">
        <f>I14/H14</f>
        <v>35551.46869206574</v>
      </c>
      <c r="L14" s="61">
        <f>J14/G14</f>
        <v>3011.7992126360609</v>
      </c>
      <c r="N14" s="57"/>
    </row>
    <row r="15" spans="1:14">
      <c r="A15" s="1" t="str">
        <f>SCALARS!A16</f>
        <v>Tuesday</v>
      </c>
      <c r="B15" s="28">
        <f>SCALARS!B16</f>
        <v>46091</v>
      </c>
      <c r="C15" s="61">
        <f>SCALARS!C16</f>
        <v>3013.1323000000002</v>
      </c>
      <c r="D15" s="61">
        <f>J15/K15</f>
        <v>3013.1136701725827</v>
      </c>
      <c r="E15" s="61">
        <f t="shared" ref="E15:E16" si="0">C15-C14</f>
        <v>1.7300000000432192E-2</v>
      </c>
      <c r="F15" s="61">
        <f>C15-(D15+E15)</f>
        <v>1.3298274170665536E-3</v>
      </c>
      <c r="G15" s="120">
        <v>35624.86</v>
      </c>
      <c r="H15" s="47">
        <v>70019.350000000006</v>
      </c>
      <c r="I15" s="47">
        <v>2493343093.0999999</v>
      </c>
      <c r="J15" s="19">
        <v>107295000</v>
      </c>
      <c r="K15" s="8">
        <f>I15/H15</f>
        <v>35609.343604303664</v>
      </c>
      <c r="L15" s="61">
        <f>J15/G15</f>
        <v>3011.8013095349706</v>
      </c>
      <c r="N15" s="57"/>
    </row>
    <row r="16" spans="1:14">
      <c r="A16" s="1" t="str">
        <f>SCALARS!A17</f>
        <v>Wednesday</v>
      </c>
      <c r="B16" s="28">
        <f>SCALARS!B17</f>
        <v>46092</v>
      </c>
      <c r="C16" s="61">
        <f>SCALARS!C17</f>
        <v>3013.1496000000002</v>
      </c>
      <c r="D16" s="61">
        <f>J16/K16</f>
        <v>3013.1310059957673</v>
      </c>
      <c r="E16" s="61">
        <f t="shared" si="0"/>
        <v>1.7299999999977445E-2</v>
      </c>
      <c r="F16" s="61">
        <f>C16-(D16+E16)</f>
        <v>1.2940042329319112E-3</v>
      </c>
      <c r="G16" s="120">
        <v>35624.86</v>
      </c>
      <c r="H16" s="47">
        <v>70600.429999999993</v>
      </c>
      <c r="I16" s="47">
        <v>2514020506.1700001</v>
      </c>
      <c r="J16" s="19">
        <v>107295000</v>
      </c>
      <c r="K16" s="8">
        <f>I16/H16</f>
        <v>35609.13872861681</v>
      </c>
      <c r="L16" s="61">
        <f>J16/G16</f>
        <v>3011.8013095349706</v>
      </c>
      <c r="N16" s="57"/>
    </row>
    <row r="17" spans="1:14">
      <c r="A17" s="1" t="str">
        <f>SCALARS!A18</f>
        <v>Thursday</v>
      </c>
      <c r="B17" s="28">
        <f>SCALARS!B18</f>
        <v>46093</v>
      </c>
      <c r="C17" s="61">
        <f>SCALARS!C18</f>
        <v>3013.1669000000002</v>
      </c>
      <c r="D17" s="61">
        <f>J17/K17</f>
        <v>3013.1830140600664</v>
      </c>
      <c r="E17" s="61">
        <f>C17-C18</f>
        <v>-1.7299999999977445E-2</v>
      </c>
      <c r="F17" s="61">
        <f>C17-(D17+E17)</f>
        <v>1.1859399337481591E-3</v>
      </c>
      <c r="G17" s="120">
        <v>35668</v>
      </c>
      <c r="H17" s="47">
        <v>70182.710000000006</v>
      </c>
      <c r="I17" s="47">
        <v>2502130666</v>
      </c>
      <c r="J17" s="19">
        <v>107425000</v>
      </c>
      <c r="K17" s="8">
        <f>I17/H17</f>
        <v>35651.667853806153</v>
      </c>
      <c r="L17" s="61">
        <f>J17/G17</f>
        <v>3011.8032970730064</v>
      </c>
      <c r="N17" s="57"/>
    </row>
    <row r="18" spans="1:14">
      <c r="A18" s="1" t="str">
        <f>SCALARS!A19</f>
        <v>Friday</v>
      </c>
      <c r="B18" s="28">
        <f>SCALARS!B19</f>
        <v>46094</v>
      </c>
      <c r="C18" s="61">
        <f>SCALARS!C19</f>
        <v>3013.1842000000001</v>
      </c>
      <c r="D18" s="61">
        <f>J18/K18</f>
        <v>3013.2003502778198</v>
      </c>
      <c r="E18" s="61">
        <f>C18-C19</f>
        <v>-1.7299999999977445E-2</v>
      </c>
      <c r="F18" s="61">
        <f>C18-(D18+E18)</f>
        <v>1.1497221803438151E-3</v>
      </c>
      <c r="G18" s="120">
        <v>35701.19</v>
      </c>
      <c r="H18" s="47">
        <v>71153.47</v>
      </c>
      <c r="I18" s="47">
        <v>2539086676.0799999</v>
      </c>
      <c r="J18" s="19">
        <v>107525000</v>
      </c>
      <c r="K18" s="8">
        <f>I18/H18</f>
        <v>35684.650039976965</v>
      </c>
      <c r="L18" s="61">
        <f>J18/G18</f>
        <v>3011.8043684258141</v>
      </c>
      <c r="N18" s="57"/>
    </row>
    <row r="19" spans="1:14">
      <c r="A19" s="1" t="str">
        <f>SCALARS!A20</f>
        <v>Saturday</v>
      </c>
      <c r="B19" s="28">
        <f>SCALARS!B20</f>
        <v>46095</v>
      </c>
      <c r="C19" s="61">
        <f>SCALARS!C20</f>
        <v>3013.2015000000001</v>
      </c>
      <c r="E19" s="61"/>
      <c r="F19" s="61"/>
      <c r="G19" s="120"/>
      <c r="H19" s="47"/>
      <c r="I19" s="47"/>
      <c r="J19" s="19"/>
      <c r="K19" s="8"/>
      <c r="L19" s="61"/>
      <c r="N19" s="57"/>
    </row>
    <row r="20" spans="1:14">
      <c r="A20" s="1" t="str">
        <f>SCALARS!A21</f>
        <v>Sunday</v>
      </c>
      <c r="B20" s="28">
        <f>SCALARS!B21</f>
        <v>46096</v>
      </c>
      <c r="C20" s="61">
        <f>SCALARS!C21</f>
        <v>3013.2188000000001</v>
      </c>
      <c r="E20" s="61"/>
      <c r="F20" s="61"/>
      <c r="G20" s="120"/>
      <c r="H20" s="47"/>
      <c r="I20" s="47"/>
      <c r="J20" s="19"/>
      <c r="K20" s="8"/>
      <c r="L20" s="61"/>
      <c r="N20" s="57"/>
    </row>
    <row r="21" spans="1:14">
      <c r="A21" s="1" t="str">
        <f>SCALARS!A22</f>
        <v>Monday</v>
      </c>
      <c r="B21" s="28">
        <f>SCALARS!B22</f>
        <v>46097</v>
      </c>
      <c r="C21" s="61">
        <f>SCALARS!C22</f>
        <v>3013.2361000000001</v>
      </c>
      <c r="D21" s="61">
        <f>J21/K21</f>
        <v>3013.2176866088857</v>
      </c>
      <c r="E21" s="61">
        <f>C21-C20</f>
        <v>1.7299999999977445E-2</v>
      </c>
      <c r="F21" s="61">
        <f>C21-(D21+E21)</f>
        <v>1.1133911143588193E-3</v>
      </c>
      <c r="G21" s="120">
        <v>35644.71</v>
      </c>
      <c r="H21" s="47">
        <v>74073.23</v>
      </c>
      <c r="I21" s="47">
        <v>2640189236.0300002</v>
      </c>
      <c r="J21" s="19">
        <v>107400000</v>
      </c>
      <c r="K21" s="8">
        <f>I21/H21</f>
        <v>35642.960837943756</v>
      </c>
      <c r="L21" s="61">
        <f>J21/G21</f>
        <v>3013.0698215808179</v>
      </c>
      <c r="N21" s="57"/>
    </row>
    <row r="22" spans="1:14">
      <c r="A22" s="1" t="str">
        <f>SCALARS!A23</f>
        <v>Tuesday</v>
      </c>
      <c r="B22" s="28">
        <f>SCALARS!B23</f>
        <v>46098</v>
      </c>
      <c r="C22" s="61">
        <f>SCALARS!C23</f>
        <v>3013.2534000000001</v>
      </c>
      <c r="D22" s="61">
        <f>J22/K22</f>
        <v>3013.2350230157649</v>
      </c>
      <c r="E22" s="61">
        <f t="shared" ref="E22:E23" si="1">C22-C21</f>
        <v>1.7299999999977445E-2</v>
      </c>
      <c r="F22" s="61">
        <f>C22-(D22+E22)</f>
        <v>1.0769842351692205E-3</v>
      </c>
      <c r="G22" s="120">
        <v>35677.89</v>
      </c>
      <c r="H22" s="47">
        <v>74681.960000000006</v>
      </c>
      <c r="I22" s="47">
        <v>2664349325.1199999</v>
      </c>
      <c r="J22" s="19">
        <v>107500000</v>
      </c>
      <c r="K22" s="8">
        <f>I22/H22</f>
        <v>35675.942692452096</v>
      </c>
      <c r="L22" s="61">
        <f>J22/G22</f>
        <v>3013.0705599462299</v>
      </c>
      <c r="N22" s="57"/>
    </row>
    <row r="23" spans="1:14">
      <c r="A23" s="1" t="str">
        <f>SCALARS!A24</f>
        <v>Wednesday</v>
      </c>
      <c r="B23" s="28">
        <f>SCALARS!B24</f>
        <v>46099</v>
      </c>
      <c r="C23" s="61">
        <f>SCALARS!C24</f>
        <v>3013.2707</v>
      </c>
      <c r="D23" s="61">
        <f>J23/K23</f>
        <v>3013.2523595424072</v>
      </c>
      <c r="E23" s="61">
        <f t="shared" si="1"/>
        <v>1.7299999999977445E-2</v>
      </c>
      <c r="F23" s="61">
        <f>C23-(D23+E23)</f>
        <v>1.0404575928077975E-3</v>
      </c>
      <c r="G23" s="120">
        <v>35677.89</v>
      </c>
      <c r="H23" s="47">
        <v>71208.94</v>
      </c>
      <c r="I23" s="47">
        <v>2540431446.3600001</v>
      </c>
      <c r="J23" s="19">
        <v>107500000</v>
      </c>
      <c r="K23" s="8">
        <f>I23/H23</f>
        <v>35675.737433530114</v>
      </c>
      <c r="L23" s="61">
        <f>J23/G23</f>
        <v>3013.0705599462299</v>
      </c>
      <c r="N23" s="57"/>
    </row>
    <row r="24" spans="1:14">
      <c r="A24" s="1" t="str">
        <f>SCALARS!A25</f>
        <v>Thursday</v>
      </c>
      <c r="B24" s="28">
        <f>SCALARS!B25</f>
        <v>46100</v>
      </c>
      <c r="C24" s="61">
        <f>SCALARS!C25</f>
        <v>3013.288</v>
      </c>
      <c r="D24" s="61">
        <f>J24/K24</f>
        <v>3013.3043696973127</v>
      </c>
      <c r="E24" s="61">
        <f>C24-C25</f>
        <v>-1.7299999999977445E-2</v>
      </c>
      <c r="F24" s="61">
        <f>C24-(D24+E24)</f>
        <v>9.3030268726579379E-4</v>
      </c>
      <c r="G24" s="120">
        <v>35462.18</v>
      </c>
      <c r="H24" s="47">
        <v>70292.52</v>
      </c>
      <c r="I24" s="47">
        <v>2492531400.9200001</v>
      </c>
      <c r="J24" s="19">
        <v>106850000</v>
      </c>
      <c r="K24" s="8">
        <f>I24/H24</f>
        <v>35459.411626158799</v>
      </c>
      <c r="L24" s="61">
        <f>J24/G24</f>
        <v>3013.0691344976535</v>
      </c>
      <c r="N24" s="57"/>
    </row>
    <row r="25" spans="1:14">
      <c r="A25" s="1" t="str">
        <f>SCALARS!A26</f>
        <v>Friday</v>
      </c>
      <c r="B25" s="28">
        <f>SCALARS!B26</f>
        <v>46101</v>
      </c>
      <c r="C25" s="61">
        <f>SCALARS!C26</f>
        <v>3013.3053</v>
      </c>
      <c r="D25" s="61">
        <f>J25/K25</f>
        <v>3013.3217066233383</v>
      </c>
      <c r="E25" s="61">
        <f>C25-C26</f>
        <v>-1.7299999999977445E-2</v>
      </c>
      <c r="F25" s="61">
        <f>C25-(D25+E25)</f>
        <v>8.933766616792127E-4</v>
      </c>
      <c r="G25" s="120">
        <v>35462.18</v>
      </c>
      <c r="H25" s="47">
        <v>69873.119999999995</v>
      </c>
      <c r="I25" s="47">
        <v>2477645468.6500001</v>
      </c>
      <c r="J25" s="19">
        <v>106850000</v>
      </c>
      <c r="K25" s="8">
        <f>I25/H25</f>
        <v>35459.207613027735</v>
      </c>
      <c r="L25" s="61">
        <f>J25/G25</f>
        <v>3013.0691344976535</v>
      </c>
      <c r="N25" s="57"/>
    </row>
    <row r="26" spans="1:14">
      <c r="A26" s="1" t="str">
        <f>SCALARS!A27</f>
        <v>Saturday</v>
      </c>
      <c r="B26" s="28">
        <f>SCALARS!B27</f>
        <v>46102</v>
      </c>
      <c r="C26" s="61">
        <f>SCALARS!C27</f>
        <v>3013.3226</v>
      </c>
      <c r="E26" s="61"/>
      <c r="F26" s="61"/>
      <c r="G26" s="120"/>
      <c r="H26" s="47"/>
      <c r="I26" s="47"/>
      <c r="J26" s="19"/>
      <c r="K26" s="8"/>
      <c r="L26" s="61"/>
      <c r="N26" s="57"/>
    </row>
    <row r="27" spans="1:14">
      <c r="A27" s="1" t="str">
        <f>SCALARS!A28</f>
        <v>Sunday</v>
      </c>
      <c r="B27" s="28">
        <f>SCALARS!B28</f>
        <v>46103</v>
      </c>
      <c r="C27" s="61">
        <f>SCALARS!C28</f>
        <v>3013.3398999999999</v>
      </c>
      <c r="E27" s="61"/>
      <c r="F27" s="61"/>
      <c r="G27" s="120"/>
      <c r="H27" s="47"/>
      <c r="I27" s="47"/>
      <c r="J27" s="19"/>
      <c r="K27" s="8"/>
      <c r="L27" s="61"/>
      <c r="N27" s="57"/>
    </row>
    <row r="28" spans="1:14">
      <c r="A28" s="1" t="str">
        <f>SCALARS!A29</f>
        <v>Monday</v>
      </c>
      <c r="B28" s="28">
        <f>SCALARS!B29</f>
        <v>46104</v>
      </c>
      <c r="C28" s="61">
        <f>SCALARS!C29</f>
        <v>3013.3571999999999</v>
      </c>
      <c r="E28" s="61">
        <f>C28-C27</f>
        <v>1.7299999999977445E-2</v>
      </c>
      <c r="F28" s="61"/>
      <c r="G28" s="120"/>
      <c r="H28" s="47"/>
      <c r="I28" s="47"/>
      <c r="J28" s="19"/>
      <c r="K28" s="8"/>
      <c r="L28" s="61"/>
      <c r="N28" s="57"/>
    </row>
    <row r="29" spans="1:14">
      <c r="A29" s="1" t="str">
        <f>SCALARS!A30</f>
        <v>Tuesday</v>
      </c>
      <c r="B29" s="28">
        <f>SCALARS!B30</f>
        <v>46105</v>
      </c>
      <c r="C29" s="61">
        <f>SCALARS!C30</f>
        <v>3013.3744999999999</v>
      </c>
      <c r="D29" s="61">
        <f>J29/K29</f>
        <v>3013.3563807542637</v>
      </c>
      <c r="E29" s="61">
        <f t="shared" ref="E29:E30" si="2">C29-C28</f>
        <v>1.7299999999977445E-2</v>
      </c>
      <c r="F29" s="61">
        <f>C29-(D29+E29)</f>
        <v>8.1924573623837205E-4</v>
      </c>
      <c r="G29" s="120">
        <v>35329.43</v>
      </c>
      <c r="H29" s="47">
        <v>69451.67</v>
      </c>
      <c r="I29" s="47">
        <v>2453453670.04</v>
      </c>
      <c r="J29" s="19">
        <v>106450000</v>
      </c>
      <c r="K29" s="8">
        <f>I29/H29</f>
        <v>35326.057242971983</v>
      </c>
      <c r="L29" s="61">
        <f>J29/G29</f>
        <v>3013.0687078732944</v>
      </c>
      <c r="N29" s="57"/>
    </row>
    <row r="30" spans="1:14">
      <c r="A30" s="1" t="str">
        <f>SCALARS!A31</f>
        <v>Wednesday</v>
      </c>
      <c r="B30" s="28">
        <f>SCALARS!B31</f>
        <v>46106</v>
      </c>
      <c r="C30" s="61">
        <f>SCALARS!C31</f>
        <v>3013.3917999999999</v>
      </c>
      <c r="D30" s="61">
        <f>J30/K30</f>
        <v>3013.3737179704335</v>
      </c>
      <c r="E30" s="61">
        <f t="shared" si="2"/>
        <v>1.7299999999977445E-2</v>
      </c>
      <c r="F30" s="61">
        <f>C30-(D30+E30)</f>
        <v>7.8202956638051546E-4</v>
      </c>
      <c r="G30" s="120">
        <v>35261.4</v>
      </c>
      <c r="H30" s="47">
        <v>70883.73</v>
      </c>
      <c r="I30" s="47">
        <v>2499206072.23</v>
      </c>
      <c r="J30" s="19">
        <v>106245000</v>
      </c>
      <c r="K30" s="8">
        <f>I30/H30</f>
        <v>35257.823935478569</v>
      </c>
      <c r="L30" s="61">
        <f>J30/G30</f>
        <v>3013.0681141418095</v>
      </c>
      <c r="N30" s="57"/>
    </row>
    <row r="31" spans="1:14">
      <c r="A31" s="1" t="str">
        <f>SCALARS!A32</f>
        <v>Thursday</v>
      </c>
      <c r="B31" s="28">
        <f>SCALARS!B32</f>
        <v>46107</v>
      </c>
      <c r="C31" s="61">
        <f>SCALARS!C32</f>
        <v>3013.4090999999999</v>
      </c>
      <c r="D31" s="61">
        <f>J31/K31</f>
        <v>3013.4257302270657</v>
      </c>
      <c r="E31" s="61">
        <f>C31-C32</f>
        <v>-1.7299999999977445E-2</v>
      </c>
      <c r="F31" s="61">
        <f>C31-(D31+E31)</f>
        <v>6.6977293408854166E-4</v>
      </c>
      <c r="G31" s="120">
        <v>34816.720000000001</v>
      </c>
      <c r="H31" s="47">
        <v>68478.86</v>
      </c>
      <c r="I31" s="47">
        <v>2383922967.2199998</v>
      </c>
      <c r="J31" s="19">
        <v>104905000</v>
      </c>
      <c r="K31" s="8">
        <f>I31/H31</f>
        <v>34812.538748746687</v>
      </c>
      <c r="L31" s="61">
        <f>J31/G31</f>
        <v>3013.063838293785</v>
      </c>
      <c r="N31" s="57"/>
    </row>
    <row r="32" spans="1:14">
      <c r="A32" s="1" t="str">
        <f>SCALARS!A33</f>
        <v>Friday</v>
      </c>
      <c r="B32" s="28">
        <f>SCALARS!B33</f>
        <v>46108</v>
      </c>
      <c r="C32" s="61">
        <f>SCALARS!C33</f>
        <v>3013.4263999999998</v>
      </c>
      <c r="E32" s="61">
        <f>C32-C33</f>
        <v>-1.7299999999977445E-2</v>
      </c>
      <c r="F32" s="61"/>
      <c r="G32" s="120"/>
      <c r="H32" s="47"/>
      <c r="I32" s="47"/>
      <c r="J32" s="19"/>
      <c r="K32" s="8"/>
      <c r="L32" s="61"/>
      <c r="N32" s="57"/>
    </row>
    <row r="33" spans="1:14">
      <c r="A33" s="1" t="str">
        <f>SCALARS!A34</f>
        <v>Saturday</v>
      </c>
      <c r="B33" s="28">
        <f>SCALARS!B34</f>
        <v>46109</v>
      </c>
      <c r="C33" s="61">
        <f>SCALARS!C34</f>
        <v>3013.4436999999998</v>
      </c>
      <c r="E33" s="61"/>
      <c r="F33" s="61"/>
      <c r="G33" s="120"/>
      <c r="H33" s="47"/>
      <c r="I33" s="47"/>
      <c r="J33" s="19"/>
      <c r="K33" s="8"/>
      <c r="L33" s="61"/>
      <c r="N33" s="57"/>
    </row>
    <row r="34" spans="1:14">
      <c r="A34" s="1" t="str">
        <f>SCALARS!A35</f>
        <v>Sunday</v>
      </c>
      <c r="B34" s="28">
        <f>SCALARS!B35</f>
        <v>46110</v>
      </c>
      <c r="C34" s="61">
        <f>SCALARS!C35</f>
        <v>3013.4609999999998</v>
      </c>
      <c r="E34" s="61"/>
      <c r="F34" s="61"/>
      <c r="G34" s="120"/>
      <c r="H34" s="47"/>
      <c r="I34" s="47"/>
      <c r="J34" s="19"/>
      <c r="K34" s="8"/>
      <c r="L34" s="61"/>
      <c r="N34" s="57"/>
    </row>
    <row r="35" spans="1:14">
      <c r="A35" s="1" t="str">
        <f>SCALARS!A36</f>
        <v>Monday</v>
      </c>
      <c r="B35" s="28">
        <f>SCALARS!B36</f>
        <v>46111</v>
      </c>
      <c r="C35" s="61">
        <f>SCALARS!C36</f>
        <v>3013.4783000000002</v>
      </c>
      <c r="D35" s="61">
        <f>J35/K35</f>
        <v>3013.4604055698278</v>
      </c>
      <c r="E35" s="61">
        <f>C35-C34</f>
        <v>1.7300000000432192E-2</v>
      </c>
      <c r="F35" s="61">
        <f>C35-(D35+E35)</f>
        <v>5.9443017198645975E-4</v>
      </c>
      <c r="G35" s="120">
        <v>35229.99</v>
      </c>
      <c r="H35" s="47">
        <v>66355.48</v>
      </c>
      <c r="I35" s="47">
        <v>2337610855.54</v>
      </c>
      <c r="J35" s="19">
        <v>106160000</v>
      </c>
      <c r="K35" s="8">
        <f>I35/H35</f>
        <v>35228.602905743428</v>
      </c>
      <c r="L35" s="61">
        <f>J35/G35</f>
        <v>3013.3417579738175</v>
      </c>
      <c r="N35" s="57"/>
    </row>
    <row r="36" spans="1:14">
      <c r="A36" s="1" t="str">
        <f>SCALARS!A37</f>
        <v>Tuesday</v>
      </c>
      <c r="B36" s="28">
        <f>SCALARS!B37</f>
        <v>46112</v>
      </c>
      <c r="C36" s="61">
        <f>SCALARS!C37</f>
        <v>3013.4956000000002</v>
      </c>
      <c r="D36" s="61">
        <f t="shared" ref="D36:D43" si="3">J36/K36</f>
        <v>3013.4777433921558</v>
      </c>
      <c r="E36" s="61">
        <f t="shared" ref="E36:E37" si="4">C36-C35</f>
        <v>1.7299999999977445E-2</v>
      </c>
      <c r="F36" s="61">
        <f>C36-(D36+E36)</f>
        <v>5.566078443735023E-4</v>
      </c>
      <c r="G36" s="120">
        <v>35246.58</v>
      </c>
      <c r="H36" s="47">
        <v>67831.759999999995</v>
      </c>
      <c r="I36" s="47">
        <v>2390729862</v>
      </c>
      <c r="J36" s="19">
        <v>106210000</v>
      </c>
      <c r="K36" s="8">
        <f t="shared" ref="K36:K43" si="5">I36/H36</f>
        <v>35244.992345768413</v>
      </c>
      <c r="L36" s="61">
        <f t="shared" ref="L36:L43" si="6">J36/G36</f>
        <v>3013.3420036780872</v>
      </c>
      <c r="N36" s="57"/>
    </row>
    <row r="37" spans="1:14">
      <c r="A37" s="1" t="str">
        <f>SCALARS!A38</f>
        <v>Wednesday</v>
      </c>
      <c r="B37" s="28">
        <f>SCALARS!B38</f>
        <v>46113</v>
      </c>
      <c r="C37" s="61">
        <f>SCALARS!C38</f>
        <v>3013.5129000000002</v>
      </c>
      <c r="D37" s="61">
        <f t="shared" si="3"/>
        <v>3013.5470956497447</v>
      </c>
      <c r="E37" s="61">
        <f t="shared" si="4"/>
        <v>1.7299999999977445E-2</v>
      </c>
      <c r="F37" s="110"/>
      <c r="G37" s="120">
        <v>35246.58</v>
      </c>
      <c r="H37" s="47">
        <v>68149.22</v>
      </c>
      <c r="I37" s="47">
        <v>2401863460.7199998</v>
      </c>
      <c r="J37" s="19">
        <v>106210000</v>
      </c>
      <c r="K37" s="8">
        <f t="shared" si="5"/>
        <v>35244.181235236436</v>
      </c>
      <c r="L37" s="61">
        <f t="shared" si="6"/>
        <v>3013.3420036780872</v>
      </c>
      <c r="N37" s="57"/>
    </row>
    <row r="38" spans="1:14">
      <c r="A38" s="1" t="str">
        <f>SCALARS!A39</f>
        <v>Thursday</v>
      </c>
      <c r="B38" s="28">
        <f>SCALARS!B39</f>
        <v>46114</v>
      </c>
      <c r="C38" s="61">
        <f>SCALARS!C39</f>
        <v>3013.5302000000001</v>
      </c>
      <c r="D38" s="61">
        <f t="shared" si="3"/>
        <v>3013.5644339703485</v>
      </c>
      <c r="E38" s="61">
        <f>C38-C39</f>
        <v>-1.7299999999977445E-2</v>
      </c>
      <c r="F38" s="111"/>
      <c r="G38" s="120">
        <v>35246.58</v>
      </c>
      <c r="H38" s="47">
        <v>66994.87</v>
      </c>
      <c r="I38" s="47">
        <v>2361165755.2399998</v>
      </c>
      <c r="J38" s="19">
        <v>106210000</v>
      </c>
      <c r="K38" s="8">
        <f t="shared" si="5"/>
        <v>35243.978460440325</v>
      </c>
      <c r="L38" s="61">
        <f t="shared" si="6"/>
        <v>3013.3420036780872</v>
      </c>
      <c r="N38" s="57"/>
    </row>
    <row r="39" spans="1:14">
      <c r="A39" s="1" t="str">
        <f>SCALARS!A40</f>
        <v>Friday</v>
      </c>
      <c r="B39" s="28">
        <f>SCALARS!B40</f>
        <v>46115</v>
      </c>
      <c r="C39" s="61">
        <f>SCALARS!C40</f>
        <v>3013.5475000000001</v>
      </c>
      <c r="E39" s="61">
        <f>C39-C40</f>
        <v>-1.7299999999977445E-2</v>
      </c>
      <c r="F39" s="105" t="s">
        <v>73</v>
      </c>
      <c r="G39" s="120"/>
      <c r="H39" s="47"/>
      <c r="I39" s="47"/>
      <c r="J39" s="19"/>
      <c r="K39" s="8"/>
      <c r="L39" s="61"/>
      <c r="N39" s="57"/>
    </row>
    <row r="40" spans="1:14">
      <c r="A40" s="1" t="str">
        <f>SCALARS!A41</f>
        <v>Saturday</v>
      </c>
      <c r="B40" s="28">
        <f>SCALARS!B41</f>
        <v>46116</v>
      </c>
      <c r="C40" s="61">
        <f>SCALARS!C41</f>
        <v>3013.5648000000001</v>
      </c>
      <c r="E40" s="61"/>
      <c r="F40" s="61"/>
      <c r="G40" s="120"/>
      <c r="H40" s="47"/>
      <c r="I40" s="47"/>
      <c r="J40" s="19"/>
      <c r="K40" s="8"/>
      <c r="L40" s="61"/>
      <c r="N40" s="57"/>
    </row>
    <row r="41" spans="1:14">
      <c r="A41" s="1" t="str">
        <f>SCALARS!A42</f>
        <v>Sunday</v>
      </c>
      <c r="B41" s="28">
        <f>SCALARS!B42</f>
        <v>46117</v>
      </c>
      <c r="C41" s="61">
        <f>SCALARS!C42</f>
        <v>3013.5821000000001</v>
      </c>
      <c r="E41" s="61"/>
      <c r="F41" s="61"/>
      <c r="G41" s="120"/>
      <c r="H41" s="47"/>
      <c r="I41" s="47"/>
      <c r="J41" s="19"/>
      <c r="K41" s="8"/>
      <c r="L41" s="61"/>
      <c r="N41" s="57"/>
    </row>
    <row r="42" spans="1:14">
      <c r="A42" s="1" t="str">
        <f>SCALARS!A43</f>
        <v>Monday</v>
      </c>
      <c r="B42" s="28">
        <f>SCALARS!B43</f>
        <v>46118</v>
      </c>
      <c r="C42" s="61">
        <f>SCALARS!C43</f>
        <v>3013.5994000000001</v>
      </c>
      <c r="D42" s="61">
        <f t="shared" si="3"/>
        <v>3013.5817723457067</v>
      </c>
      <c r="E42" s="61">
        <f>C42-C41</f>
        <v>1.7299999999977445E-2</v>
      </c>
      <c r="F42" s="61">
        <f>C42-(D42+E42)</f>
        <v>3.2765429341452545E-4</v>
      </c>
      <c r="G42" s="120">
        <v>36948.879999999997</v>
      </c>
      <c r="H42" s="47">
        <v>69766.87</v>
      </c>
      <c r="I42" s="47">
        <v>2577611590.6599998</v>
      </c>
      <c r="J42" s="19">
        <v>111340000</v>
      </c>
      <c r="K42" s="8">
        <f t="shared" si="5"/>
        <v>36946.068967405306</v>
      </c>
      <c r="L42" s="61">
        <f t="shared" si="6"/>
        <v>3013.3525021597411</v>
      </c>
      <c r="N42" s="57"/>
    </row>
    <row r="43" spans="1:14">
      <c r="A43" s="1" t="str">
        <f>SCALARS!A44</f>
        <v>Tuesday</v>
      </c>
      <c r="B43" s="28">
        <f>SCALARS!B44</f>
        <v>46119</v>
      </c>
      <c r="C43" s="61">
        <f>SCALARS!C44</f>
        <v>3013.6167</v>
      </c>
      <c r="D43" s="61">
        <f t="shared" si="3"/>
        <v>3013.5991108685271</v>
      </c>
      <c r="E43" s="61">
        <f t="shared" ref="E43:E44" si="7">C43-C42</f>
        <v>1.7299999999977445E-2</v>
      </c>
      <c r="F43" s="61">
        <f>C43-(D43+E43)</f>
        <v>2.8913147298226249E-4</v>
      </c>
      <c r="G43" s="120">
        <v>36451.14</v>
      </c>
      <c r="H43" s="47">
        <v>68612.350000000006</v>
      </c>
      <c r="I43" s="47">
        <v>2500790664.8299999</v>
      </c>
      <c r="J43" s="19">
        <v>109840000</v>
      </c>
      <c r="K43" s="8">
        <f t="shared" si="5"/>
        <v>36448.112691519818</v>
      </c>
      <c r="L43" s="61">
        <f t="shared" si="6"/>
        <v>3013.3488280476276</v>
      </c>
      <c r="N43" s="57"/>
    </row>
    <row r="44" spans="1:14">
      <c r="A44" s="1" t="str">
        <f>SCALARS!A45</f>
        <v>Wednesday</v>
      </c>
      <c r="B44" s="28">
        <f>SCALARS!B45</f>
        <v>46120</v>
      </c>
      <c r="C44" s="61">
        <f>SCALARS!C45</f>
        <v>3013.634</v>
      </c>
      <c r="D44" s="61">
        <f t="shared" ref="D44:D64" si="8">J44/K44</f>
        <v>3013.6106699371126</v>
      </c>
      <c r="E44" s="61">
        <f t="shared" si="7"/>
        <v>1.7299999999977445E-2</v>
      </c>
      <c r="F44" s="111"/>
      <c r="G44" s="120">
        <v>35402.559999999998</v>
      </c>
      <c r="H44" s="47">
        <v>71239.5</v>
      </c>
      <c r="I44" s="47">
        <v>2521835330.5599999</v>
      </c>
      <c r="J44" s="19">
        <v>106680000</v>
      </c>
      <c r="K44" s="8">
        <f t="shared" ref="K44:K64" si="9">I44/H44</f>
        <v>35399.396831252321</v>
      </c>
      <c r="L44" s="61">
        <f t="shared" ref="L44:L64" si="10">J44/G44</f>
        <v>3013.3414080789639</v>
      </c>
      <c r="N44" s="57"/>
    </row>
    <row r="45" spans="1:14">
      <c r="A45" s="1" t="str">
        <f>SCALARS!A46</f>
        <v>Thursday</v>
      </c>
      <c r="B45" s="28">
        <f>SCALARS!B46</f>
        <v>46121</v>
      </c>
      <c r="C45" s="61">
        <f>SCALARS!C46</f>
        <v>3013.6513</v>
      </c>
      <c r="D45" s="61">
        <f t="shared" si="8"/>
        <v>3013.6684551236972</v>
      </c>
      <c r="E45" s="61">
        <f>C45-C46</f>
        <v>-1.7299999999977445E-2</v>
      </c>
      <c r="F45" s="104">
        <f>C45-(D45+E45)</f>
        <v>1.4487630278381403E-4</v>
      </c>
      <c r="G45" s="120">
        <v>35468.925600000002</v>
      </c>
      <c r="H45" s="47">
        <v>72005.03</v>
      </c>
      <c r="I45" s="47">
        <v>2553664320.0799999</v>
      </c>
      <c r="J45" s="19">
        <v>106880000</v>
      </c>
      <c r="K45" s="8">
        <f t="shared" si="9"/>
        <v>35465.082371051023</v>
      </c>
      <c r="L45" s="61">
        <f t="shared" si="10"/>
        <v>3013.3419096291991</v>
      </c>
      <c r="N45" s="57"/>
    </row>
    <row r="46" spans="1:14">
      <c r="A46" s="1" t="str">
        <f>SCALARS!A47</f>
        <v>Friday</v>
      </c>
      <c r="B46" s="28">
        <f>SCALARS!B47</f>
        <v>46122</v>
      </c>
      <c r="C46" s="61">
        <f>SCALARS!C47</f>
        <v>3013.6686</v>
      </c>
      <c r="D46" s="61">
        <f t="shared" si="8"/>
        <v>3013.6857941516132</v>
      </c>
      <c r="E46" s="61">
        <f>C46-C47</f>
        <v>-1.7299999999977445E-2</v>
      </c>
      <c r="F46" s="104">
        <f>C46-(D46+E46)</f>
        <v>1.058483867382165E-4</v>
      </c>
      <c r="G46" s="120">
        <v>35518.698900000003</v>
      </c>
      <c r="H46" s="47">
        <v>73109.73</v>
      </c>
      <c r="I46" s="47">
        <v>2596466564.9899998</v>
      </c>
      <c r="J46" s="19">
        <v>107030000</v>
      </c>
      <c r="K46" s="8">
        <f t="shared" si="9"/>
        <v>35514.651264476015</v>
      </c>
      <c r="L46" s="61">
        <f t="shared" si="10"/>
        <v>3013.3423609162664</v>
      </c>
      <c r="N46" s="57"/>
    </row>
    <row r="47" spans="1:14">
      <c r="A47" s="1" t="str">
        <f>SCALARS!A48</f>
        <v>Saturday</v>
      </c>
      <c r="B47" s="28">
        <f>SCALARS!B48</f>
        <v>46123</v>
      </c>
      <c r="C47" s="61">
        <f>SCALARS!C48</f>
        <v>3013.6858999999999</v>
      </c>
      <c r="E47" s="61"/>
      <c r="F47" s="61"/>
      <c r="G47" s="120"/>
      <c r="H47" s="47"/>
      <c r="I47" s="47"/>
      <c r="J47" s="19"/>
      <c r="K47" s="8"/>
      <c r="L47" s="61"/>
      <c r="N47" s="57"/>
    </row>
    <row r="48" spans="1:14">
      <c r="A48" s="1" t="str">
        <f>SCALARS!A49</f>
        <v>Sunday</v>
      </c>
      <c r="B48" s="28">
        <f>SCALARS!B49</f>
        <v>46124</v>
      </c>
      <c r="C48" s="61">
        <f>SCALARS!C49</f>
        <v>3013.7031999999999</v>
      </c>
      <c r="E48" s="61"/>
      <c r="F48" s="61"/>
      <c r="G48" s="120"/>
      <c r="H48" s="47"/>
      <c r="I48" s="47"/>
      <c r="J48" s="19"/>
      <c r="K48" s="8"/>
      <c r="L48" s="61"/>
      <c r="N48" s="57"/>
    </row>
    <row r="49" spans="1:14">
      <c r="A49" s="1" t="str">
        <f>SCALARS!A50</f>
        <v>Monday</v>
      </c>
      <c r="B49" s="28">
        <f>SCALARS!B50</f>
        <v>46125</v>
      </c>
      <c r="C49" s="61">
        <f>SCALARS!C50</f>
        <v>3013.7204999999999</v>
      </c>
      <c r="D49" s="61">
        <f t="shared" si="8"/>
        <v>3013.7031332685424</v>
      </c>
      <c r="E49" s="61">
        <f>C49-C48</f>
        <v>1.7299999999977445E-2</v>
      </c>
      <c r="F49" s="104">
        <f>C49-(D49+E49)</f>
        <v>6.6731457536661765E-5</v>
      </c>
      <c r="G49" s="120">
        <v>34655.967900000003</v>
      </c>
      <c r="H49" s="47">
        <v>72892.55</v>
      </c>
      <c r="I49" s="47">
        <v>2525852301.9299998</v>
      </c>
      <c r="J49" s="19">
        <v>104430000</v>
      </c>
      <c r="K49" s="8">
        <f t="shared" si="9"/>
        <v>34651.720949946182</v>
      </c>
      <c r="L49" s="61">
        <f t="shared" si="10"/>
        <v>3013.3338160207609</v>
      </c>
      <c r="N49" s="57"/>
    </row>
    <row r="50" spans="1:14">
      <c r="A50" s="1" t="str">
        <f>SCALARS!A51</f>
        <v>Tuesday</v>
      </c>
      <c r="B50" s="28">
        <f>SCALARS!B51</f>
        <v>46126</v>
      </c>
      <c r="C50" s="61">
        <f>SCALARS!C51</f>
        <v>3013.7377999999999</v>
      </c>
      <c r="D50" s="61">
        <f t="shared" si="8"/>
        <v>3013.7204724842304</v>
      </c>
      <c r="E50" s="61">
        <f t="shared" ref="E50:E51" si="11">C50-C49</f>
        <v>1.7299999999977445E-2</v>
      </c>
      <c r="F50" s="104">
        <f>C50-(D50+E50)</f>
        <v>2.7515769488672959E-5</v>
      </c>
      <c r="G50" s="120">
        <v>36179.011100000003</v>
      </c>
      <c r="H50" s="47">
        <v>74270.100000000006</v>
      </c>
      <c r="I50" s="47">
        <v>2686687891.5700002</v>
      </c>
      <c r="J50" s="19">
        <v>109020000</v>
      </c>
      <c r="K50" s="8">
        <f t="shared" si="9"/>
        <v>36174.555999924596</v>
      </c>
      <c r="L50" s="61">
        <f t="shared" si="10"/>
        <v>3013.3493615584198</v>
      </c>
      <c r="N50" s="57"/>
    </row>
    <row r="51" spans="1:14">
      <c r="A51" s="1" t="str">
        <f>SCALARS!A52</f>
        <v>Wednesday</v>
      </c>
      <c r="B51" s="28">
        <f>SCALARS!B52</f>
        <v>46127</v>
      </c>
      <c r="C51" s="61">
        <f>SCALARS!C52</f>
        <v>3013.7550999999999</v>
      </c>
      <c r="D51" s="61">
        <f t="shared" si="8"/>
        <v>3013.7378117908615</v>
      </c>
      <c r="E51" s="61">
        <f t="shared" si="11"/>
        <v>1.7299999999977445E-2</v>
      </c>
      <c r="F51" s="104">
        <f>C51-(D51+E51)</f>
        <v>-1.1790861663030228E-5</v>
      </c>
      <c r="G51" s="120">
        <v>35614.924299999999</v>
      </c>
      <c r="H51" s="47">
        <v>74853.53</v>
      </c>
      <c r="I51" s="47">
        <v>2665553986.8699999</v>
      </c>
      <c r="J51" s="19">
        <v>107320000</v>
      </c>
      <c r="K51" s="8">
        <f t="shared" si="9"/>
        <v>35610.264297087924</v>
      </c>
      <c r="L51" s="61">
        <f t="shared" si="10"/>
        <v>3013.3434819627009</v>
      </c>
      <c r="N51" s="57"/>
    </row>
    <row r="52" spans="1:14">
      <c r="A52" s="1" t="str">
        <f>SCALARS!A53</f>
        <v>Thursday</v>
      </c>
      <c r="B52" s="28">
        <f>SCALARS!B53</f>
        <v>46128</v>
      </c>
      <c r="C52" s="61">
        <f>SCALARS!C53</f>
        <v>3013.7723999999998</v>
      </c>
      <c r="D52" s="61">
        <f t="shared" si="8"/>
        <v>3013.78983032408</v>
      </c>
      <c r="E52" s="61">
        <f>C52-C53</f>
        <v>-1.7299999999977445E-2</v>
      </c>
      <c r="F52" s="104">
        <f>C52-(D52+E52)</f>
        <v>-1.3032408014623797E-4</v>
      </c>
      <c r="G52" s="120">
        <v>35249.928999999996</v>
      </c>
      <c r="H52" s="47">
        <v>75088.350000000006</v>
      </c>
      <c r="I52" s="47">
        <v>2646463418.5</v>
      </c>
      <c r="J52" s="19">
        <v>106220000</v>
      </c>
      <c r="K52" s="8">
        <f t="shared" si="9"/>
        <v>35244.660703025169</v>
      </c>
      <c r="L52" s="61">
        <f t="shared" si="10"/>
        <v>3013.3394027545419</v>
      </c>
      <c r="N52" s="57"/>
    </row>
    <row r="53" spans="1:14">
      <c r="A53" s="1" t="str">
        <f>SCALARS!A54</f>
        <v>Friday</v>
      </c>
      <c r="B53" s="28">
        <f>SCALARS!B54</f>
        <v>46129</v>
      </c>
      <c r="C53" s="61">
        <f>SCALARS!C54</f>
        <v>3013.7896999999998</v>
      </c>
      <c r="D53" s="61">
        <f t="shared" si="8"/>
        <v>3013.8071700339133</v>
      </c>
      <c r="E53" s="61">
        <f>C53-C54</f>
        <v>-1.7299999999977445E-2</v>
      </c>
      <c r="F53" s="104">
        <f>C53-(D53+E53)</f>
        <v>-1.70033913491352E-4</v>
      </c>
      <c r="G53" s="120">
        <v>36770.587399999997</v>
      </c>
      <c r="H53" s="47">
        <v>77331.740000000005</v>
      </c>
      <c r="I53" s="47">
        <v>2843419065.8600001</v>
      </c>
      <c r="J53" s="19">
        <v>110815000</v>
      </c>
      <c r="K53" s="8">
        <f t="shared" si="9"/>
        <v>36769.107559974727</v>
      </c>
      <c r="L53" s="61">
        <f t="shared" si="10"/>
        <v>3013.6858787303468</v>
      </c>
      <c r="N53" s="57"/>
    </row>
    <row r="54" spans="1:14">
      <c r="A54" s="1" t="str">
        <f>SCALARS!A55</f>
        <v>Saturday</v>
      </c>
      <c r="B54" s="28">
        <f>SCALARS!B55</f>
        <v>46130</v>
      </c>
      <c r="C54" s="61">
        <f>SCALARS!C55</f>
        <v>3013.8069999999998</v>
      </c>
      <c r="E54" s="61"/>
      <c r="F54" s="61"/>
      <c r="G54" s="120"/>
      <c r="H54" s="47"/>
      <c r="I54" s="47"/>
      <c r="J54" s="19"/>
      <c r="K54" s="8"/>
      <c r="L54" s="61"/>
      <c r="N54" s="57"/>
    </row>
    <row r="55" spans="1:14">
      <c r="A55" s="1" t="str">
        <f>SCALARS!A56</f>
        <v>Sunday</v>
      </c>
      <c r="B55" s="28">
        <f>SCALARS!B56</f>
        <v>46131</v>
      </c>
      <c r="C55" s="61">
        <f>SCALARS!C56</f>
        <v>3013.8243000000002</v>
      </c>
      <c r="E55" s="61"/>
      <c r="F55" s="61"/>
      <c r="G55" s="120"/>
      <c r="H55" s="47"/>
      <c r="I55" s="47"/>
      <c r="J55" s="19"/>
      <c r="K55" s="8"/>
      <c r="L55" s="61"/>
      <c r="N55" s="57"/>
    </row>
    <row r="56" spans="1:14">
      <c r="A56" s="1" t="str">
        <f>SCALARS!A57</f>
        <v>Monday</v>
      </c>
      <c r="B56" s="28">
        <f>SCALARS!B57</f>
        <v>46132</v>
      </c>
      <c r="C56" s="61">
        <f>SCALARS!C57</f>
        <v>3013.8416000000002</v>
      </c>
      <c r="D56" s="61">
        <f t="shared" si="8"/>
        <v>3013.8244300525098</v>
      </c>
      <c r="E56" s="61">
        <f>C56-C55</f>
        <v>1.7299999999977445E-2</v>
      </c>
      <c r="F56" s="61">
        <f>C56-(D56+E56)</f>
        <v>-1.3005250957576209E-4</v>
      </c>
      <c r="G56" s="120">
        <v>36770.587399999997</v>
      </c>
      <c r="H56" s="47">
        <v>76318.820000000007</v>
      </c>
      <c r="I56" s="47">
        <v>2806158830.6100001</v>
      </c>
      <c r="J56" s="19">
        <v>110815000</v>
      </c>
      <c r="K56" s="8">
        <f t="shared" si="9"/>
        <v>36768.896985173509</v>
      </c>
      <c r="L56" s="61">
        <f t="shared" si="10"/>
        <v>3013.6858787303468</v>
      </c>
      <c r="N56" s="57"/>
    </row>
    <row r="57" spans="1:14">
      <c r="A57" s="1" t="str">
        <f>SCALARS!A58</f>
        <v>Tuesday</v>
      </c>
      <c r="B57" s="28">
        <f>SCALARS!B58</f>
        <v>46133</v>
      </c>
      <c r="C57" s="61">
        <f>SCALARS!C58</f>
        <v>3013.8589000000002</v>
      </c>
      <c r="D57" s="61">
        <f t="shared" si="8"/>
        <v>3013.8417298465574</v>
      </c>
      <c r="E57" s="61">
        <f t="shared" ref="E57:E58" si="12">C57-C56</f>
        <v>1.7299999999977445E-2</v>
      </c>
      <c r="F57" s="61">
        <f>C57-(D57+E57)</f>
        <v>-1.2984655722902971E-4</v>
      </c>
      <c r="G57" s="120">
        <v>36578.140899999999</v>
      </c>
      <c r="H57" s="47">
        <v>75462.34</v>
      </c>
      <c r="I57" s="47">
        <v>2760128698.04</v>
      </c>
      <c r="J57" s="19">
        <v>110235000</v>
      </c>
      <c r="K57" s="8">
        <f t="shared" si="9"/>
        <v>36576.240519973275</v>
      </c>
      <c r="L57" s="61">
        <f t="shared" si="10"/>
        <v>3013.6851487714621</v>
      </c>
      <c r="N57" s="57"/>
    </row>
    <row r="58" spans="1:14">
      <c r="A58" s="1" t="str">
        <f>SCALARS!A59</f>
        <v>Wednesday</v>
      </c>
      <c r="B58" s="28">
        <f>SCALARS!B59</f>
        <v>46134</v>
      </c>
      <c r="C58" s="61">
        <f>SCALARS!C59</f>
        <v>3013.8762000000002</v>
      </c>
      <c r="D58" s="61">
        <f t="shared" si="8"/>
        <v>3013.8589986026172</v>
      </c>
      <c r="E58" s="61">
        <f t="shared" si="12"/>
        <v>1.7299999999977445E-2</v>
      </c>
      <c r="F58" s="61">
        <f>C58-(D58+E58)</f>
        <v>-9.8602617072174326E-5</v>
      </c>
      <c r="G58" s="120">
        <v>36729.110999999997</v>
      </c>
      <c r="H58" s="47">
        <v>78919.77</v>
      </c>
      <c r="I58" s="47">
        <v>2898486407.4099998</v>
      </c>
      <c r="J58" s="19">
        <v>110690000</v>
      </c>
      <c r="K58" s="8">
        <f t="shared" si="9"/>
        <v>36727.000185251425</v>
      </c>
      <c r="L58" s="61">
        <f t="shared" si="10"/>
        <v>3013.6857927217461</v>
      </c>
      <c r="N58" s="57"/>
    </row>
    <row r="59" spans="1:14">
      <c r="A59" s="1" t="str">
        <f>SCALARS!A60</f>
        <v>Thursday</v>
      </c>
      <c r="B59" s="28">
        <f>SCALARS!B60</f>
        <v>46135</v>
      </c>
      <c r="C59" s="61">
        <f>SCALARS!C60</f>
        <v>3013.8935000000001</v>
      </c>
      <c r="D59" s="61">
        <f t="shared" si="8"/>
        <v>3013.9108106032218</v>
      </c>
      <c r="E59" s="61">
        <f>C59-C60</f>
        <v>-1.7299999999977445E-2</v>
      </c>
      <c r="F59" s="61">
        <f>C59-(D59+E59)</f>
        <v>-1.0603221653582295E-5</v>
      </c>
      <c r="G59" s="120">
        <v>37644.880499999999</v>
      </c>
      <c r="H59" s="47">
        <v>77774.850000000006</v>
      </c>
      <c r="I59" s="47">
        <v>2927610432.75</v>
      </c>
      <c r="J59" s="19">
        <v>113450000</v>
      </c>
      <c r="K59" s="8">
        <f t="shared" si="9"/>
        <v>37642.122520969177</v>
      </c>
      <c r="L59" s="61">
        <f t="shared" si="10"/>
        <v>3013.690002283312</v>
      </c>
      <c r="N59" s="57"/>
    </row>
    <row r="60" spans="1:14">
      <c r="A60" s="1" t="str">
        <f>SCALARS!A61</f>
        <v>Friday</v>
      </c>
      <c r="B60" s="28">
        <f>SCALARS!B61</f>
        <v>46136</v>
      </c>
      <c r="C60" s="61">
        <f>SCALARS!C61</f>
        <v>3013.9108000000001</v>
      </c>
      <c r="D60" s="61">
        <f t="shared" si="8"/>
        <v>3013.9280812481675</v>
      </c>
      <c r="E60" s="61">
        <f>C60-C61</f>
        <v>-1.7299999999977445E-2</v>
      </c>
      <c r="F60" s="61">
        <f>C60-(D60+E60)</f>
        <v>1.8751832612906583E-5</v>
      </c>
      <c r="G60" s="120">
        <v>37528.7523</v>
      </c>
      <c r="H60" s="47">
        <v>77638.210000000006</v>
      </c>
      <c r="I60" s="47">
        <v>2913434333.6300001</v>
      </c>
      <c r="J60" s="19">
        <v>113100000</v>
      </c>
      <c r="K60" s="8">
        <f t="shared" si="9"/>
        <v>37525.77929900754</v>
      </c>
      <c r="L60" s="61">
        <f t="shared" si="10"/>
        <v>3013.6893200150434</v>
      </c>
      <c r="N60" s="57"/>
    </row>
    <row r="61" spans="1:14">
      <c r="A61" s="1" t="str">
        <f>SCALARS!A62</f>
        <v>Saturday</v>
      </c>
      <c r="B61" s="28">
        <f>SCALARS!B62</f>
        <v>46137</v>
      </c>
      <c r="C61" s="61">
        <f>SCALARS!C62</f>
        <v>3013.9281000000001</v>
      </c>
      <c r="E61" s="61"/>
      <c r="F61" s="61"/>
      <c r="G61" s="120"/>
      <c r="H61" s="47"/>
      <c r="I61" s="47"/>
      <c r="J61" s="19"/>
      <c r="K61" s="8"/>
      <c r="L61" s="61"/>
      <c r="N61" s="57"/>
    </row>
    <row r="62" spans="1:14">
      <c r="A62" s="1" t="str">
        <f>SCALARS!A63</f>
        <v>Sunday</v>
      </c>
      <c r="B62" s="28">
        <f>SCALARS!B63</f>
        <v>46138</v>
      </c>
      <c r="C62" s="61">
        <f>SCALARS!C63</f>
        <v>3013.9454000000001</v>
      </c>
      <c r="E62" s="61"/>
      <c r="F62" s="61"/>
      <c r="G62" s="120"/>
      <c r="H62" s="47"/>
      <c r="I62" s="47"/>
      <c r="J62" s="19"/>
      <c r="K62" s="8"/>
      <c r="L62" s="61"/>
      <c r="N62" s="57"/>
    </row>
    <row r="63" spans="1:14">
      <c r="A63" s="1" t="str">
        <f>SCALARS!A64</f>
        <v>Monday</v>
      </c>
      <c r="B63" s="28">
        <f>SCALARS!B64</f>
        <v>46139</v>
      </c>
      <c r="C63" s="61">
        <f>SCALARS!C64</f>
        <v>3013.9627</v>
      </c>
      <c r="D63" s="61">
        <f t="shared" si="8"/>
        <v>3013.9453509257969</v>
      </c>
      <c r="E63" s="61">
        <f>C63-C62</f>
        <v>1.7299999999977445E-2</v>
      </c>
      <c r="F63" s="61">
        <f>C63-(D63+E63)</f>
        <v>4.9074203161580954E-5</v>
      </c>
      <c r="G63" s="120">
        <v>36964.704299999998</v>
      </c>
      <c r="H63" s="47">
        <v>76762.25</v>
      </c>
      <c r="I63" s="47">
        <v>2837249403.8000002</v>
      </c>
      <c r="J63" s="19">
        <v>111400000</v>
      </c>
      <c r="K63" s="8">
        <f>I63/H63</f>
        <v>36961.519546391624</v>
      </c>
      <c r="L63" s="61">
        <f t="shared" si="10"/>
        <v>3013.6856796119428</v>
      </c>
      <c r="N63" s="57"/>
    </row>
    <row r="64" spans="1:14">
      <c r="A64" s="1" t="str">
        <f>SCALARS!A65</f>
        <v>Tuesday</v>
      </c>
      <c r="B64" s="28">
        <f>SCALARS!B65</f>
        <v>46140</v>
      </c>
      <c r="C64" s="61">
        <f>SCALARS!C65</f>
        <v>3013.98</v>
      </c>
      <c r="D64" s="61">
        <f t="shared" si="8"/>
        <v>3013.9626799911371</v>
      </c>
      <c r="E64" s="61">
        <f t="shared" ref="E64:E65" si="13">C64-C63</f>
        <v>1.7299999999977445E-2</v>
      </c>
      <c r="F64" s="61">
        <f>C64-(D64+E64)</f>
        <v>2.0008862975373631E-5</v>
      </c>
      <c r="G64" s="120">
        <v>37505.523699999998</v>
      </c>
      <c r="H64" s="47">
        <v>76184.66</v>
      </c>
      <c r="I64" s="47">
        <v>2857086511.71</v>
      </c>
      <c r="J64" s="19">
        <v>113030000</v>
      </c>
      <c r="K64" s="8">
        <f t="shared" si="9"/>
        <v>37502.123284529982</v>
      </c>
      <c r="L64" s="61">
        <f t="shared" si="10"/>
        <v>3013.6894208998874</v>
      </c>
      <c r="N64" s="57"/>
    </row>
    <row r="65" spans="1:14">
      <c r="A65" s="1" t="str">
        <f>SCALARS!A66</f>
        <v>Wednesday</v>
      </c>
      <c r="B65" s="28">
        <f>SCALARS!B66</f>
        <v>46141</v>
      </c>
      <c r="C65" s="61">
        <f>SCALARS!C66</f>
        <v>3013.9973</v>
      </c>
      <c r="D65" s="61">
        <f t="shared" ref="D65:D67" si="14">J65/K65</f>
        <v>3013.9800090641579</v>
      </c>
      <c r="E65" s="61">
        <f t="shared" si="13"/>
        <v>1.7299999999977445E-2</v>
      </c>
      <c r="F65" s="61">
        <f>C65-(D65+E65)</f>
        <v>-9.0641578935901634E-6</v>
      </c>
      <c r="G65" s="120">
        <v>37104.876799999998</v>
      </c>
      <c r="H65" s="47">
        <v>75446.31</v>
      </c>
      <c r="I65" s="47">
        <v>2799342006.8899999</v>
      </c>
      <c r="J65" s="19">
        <v>111830000</v>
      </c>
      <c r="K65" s="8">
        <f t="shared" ref="K65:K67" si="15">I65/H65</f>
        <v>37103.763018893835</v>
      </c>
      <c r="L65" s="61">
        <f t="shared" ref="L65:L67" si="16">J65/G65</f>
        <v>3013.8895380997465</v>
      </c>
      <c r="N65" s="57"/>
    </row>
    <row r="66" spans="1:14">
      <c r="A66" s="1" t="str">
        <f>SCALARS!A67</f>
        <v>Thursday</v>
      </c>
      <c r="B66" s="28">
        <f>SCALARS!B67</f>
        <v>46142</v>
      </c>
      <c r="C66" s="61">
        <f>SCALARS!C67</f>
        <v>3014.0146</v>
      </c>
      <c r="D66" s="61">
        <f t="shared" si="14"/>
        <v>3014.0319967997798</v>
      </c>
      <c r="E66" s="61">
        <f>C66-C67</f>
        <v>-1.7299999999977445E-2</v>
      </c>
      <c r="F66" s="61">
        <f>C66-(D66+E66)</f>
        <v>-9.6799779839784605E-5</v>
      </c>
      <c r="G66" s="120">
        <v>37021.93</v>
      </c>
      <c r="H66" s="47">
        <v>76416.86</v>
      </c>
      <c r="I66" s="47">
        <v>2828965733.5599999</v>
      </c>
      <c r="J66" s="19">
        <v>111580000</v>
      </c>
      <c r="K66" s="8">
        <f t="shared" si="15"/>
        <v>37020.177661840593</v>
      </c>
      <c r="L66" s="61">
        <f t="shared" si="16"/>
        <v>3013.8893353209842</v>
      </c>
      <c r="N66" s="57"/>
    </row>
    <row r="67" spans="1:14">
      <c r="A67" s="1" t="str">
        <f>SCALARS!A68</f>
        <v>Friday</v>
      </c>
      <c r="B67" s="28">
        <f>SCALARS!B68</f>
        <v>46143</v>
      </c>
      <c r="C67" s="61">
        <f>SCALARS!C68</f>
        <v>3014.0319</v>
      </c>
      <c r="D67" s="61">
        <f t="shared" si="14"/>
        <v>3014.0492919675803</v>
      </c>
      <c r="E67" s="61">
        <f>C67-C68</f>
        <v>-1.7299999999977445E-2</v>
      </c>
      <c r="F67" s="61">
        <f>C67-(D67+E67)</f>
        <v>-9.1967580374330282E-5</v>
      </c>
      <c r="G67" s="120">
        <v>38149.987000000001</v>
      </c>
      <c r="H67" s="47">
        <v>78415.259999999995</v>
      </c>
      <c r="I67" s="47">
        <v>2991386577.1300001</v>
      </c>
      <c r="J67" s="19">
        <v>114980000</v>
      </c>
      <c r="K67" s="8">
        <f t="shared" si="15"/>
        <v>38148.01579603256</v>
      </c>
      <c r="L67" s="61">
        <f t="shared" si="16"/>
        <v>3013.8935565037018</v>
      </c>
      <c r="N67" s="57"/>
    </row>
    <row r="68" spans="1:14">
      <c r="A68" s="1" t="str">
        <f>SCALARS!A69</f>
        <v>Saturday</v>
      </c>
      <c r="B68" s="28">
        <f>SCALARS!B69</f>
        <v>46144</v>
      </c>
      <c r="C68" s="61">
        <f>SCALARS!C69</f>
        <v>3014.0491999999999</v>
      </c>
      <c r="E68" s="61"/>
      <c r="F68" s="61"/>
      <c r="G68" s="120"/>
      <c r="H68" s="47"/>
      <c r="I68" s="47"/>
      <c r="J68" s="19"/>
      <c r="K68" s="8"/>
      <c r="L68" s="61"/>
      <c r="N68" s="57"/>
    </row>
    <row r="69" spans="1:14">
      <c r="A69" s="1" t="str">
        <f>SCALARS!A70</f>
        <v>Sunday</v>
      </c>
      <c r="B69" s="28">
        <f>SCALARS!B70</f>
        <v>46145</v>
      </c>
      <c r="C69" s="61">
        <f>SCALARS!C70</f>
        <v>3014.0664999999999</v>
      </c>
      <c r="E69" s="61"/>
      <c r="F69" s="61"/>
      <c r="G69" s="120"/>
      <c r="H69" s="47"/>
      <c r="I69" s="47"/>
      <c r="J69" s="19"/>
      <c r="K69" s="8"/>
      <c r="L69" s="61"/>
      <c r="N69" s="57"/>
    </row>
    <row r="70" spans="1:14">
      <c r="A70" s="1" t="str">
        <f>SCALARS!A71</f>
        <v>Monday</v>
      </c>
      <c r="B70" s="28">
        <f>SCALARS!B71</f>
        <v>46146</v>
      </c>
      <c r="C70" s="61">
        <f>SCALARS!C71</f>
        <v>3014.0837999999999</v>
      </c>
      <c r="D70" s="61">
        <f t="shared" ref="D70:D86" si="17">J70/K70</f>
        <v>3014.0665871629999</v>
      </c>
      <c r="E70" s="61">
        <f>C70-C69</f>
        <v>1.7299999999977445E-2</v>
      </c>
      <c r="F70" s="61">
        <f t="shared" ref="F70:F86" si="18">C70-(D70+E70)</f>
        <v>-8.7162999989232048E-5</v>
      </c>
      <c r="G70" s="120">
        <v>38149.987000000001</v>
      </c>
      <c r="H70" s="47">
        <v>80004.53</v>
      </c>
      <c r="I70" s="47">
        <v>3051996561.25</v>
      </c>
      <c r="J70" s="19">
        <v>114980000</v>
      </c>
      <c r="K70" s="8">
        <f t="shared" ref="K70:K95" si="19">I70/H70</f>
        <v>38147.796896625732</v>
      </c>
      <c r="L70" s="61">
        <f t="shared" ref="L70:L86" si="20">J70/G70</f>
        <v>3013.8935565037018</v>
      </c>
      <c r="N70" s="57"/>
    </row>
    <row r="71" spans="1:14">
      <c r="A71" s="1" t="str">
        <f>SCALARS!A72</f>
        <v>Tuesday</v>
      </c>
      <c r="B71" s="28">
        <f>SCALARS!B72</f>
        <v>46147</v>
      </c>
      <c r="C71" s="61">
        <f>SCALARS!C72</f>
        <v>3014.1010999999999</v>
      </c>
      <c r="D71" s="61">
        <f t="shared" si="17"/>
        <v>3014.0838545566849</v>
      </c>
      <c r="E71" s="61">
        <f t="shared" ref="E71:E72" si="21">C71-C70</f>
        <v>1.7299999999977445E-2</v>
      </c>
      <c r="F71" s="61">
        <f t="shared" si="18"/>
        <v>-5.4556684972340008E-5</v>
      </c>
      <c r="G71" s="120">
        <v>39281.348899999997</v>
      </c>
      <c r="H71" s="47">
        <v>81561.14</v>
      </c>
      <c r="I71" s="47">
        <v>3203634613.5500002</v>
      </c>
      <c r="J71" s="19">
        <v>118390000</v>
      </c>
      <c r="K71" s="8">
        <f t="shared" si="19"/>
        <v>39278.933736703533</v>
      </c>
      <c r="L71" s="61">
        <f t="shared" si="20"/>
        <v>3013.8985374812323</v>
      </c>
      <c r="N71" s="57"/>
    </row>
    <row r="72" spans="1:14">
      <c r="A72" s="1" t="str">
        <f>SCALARS!A73</f>
        <v>Wednesday</v>
      </c>
      <c r="B72" s="28">
        <f>SCALARS!B73</f>
        <v>46148</v>
      </c>
      <c r="C72" s="61">
        <f>SCALARS!C73</f>
        <v>3014.1183999999998</v>
      </c>
      <c r="D72" s="61">
        <f t="shared" si="17"/>
        <v>3014.1011219848069</v>
      </c>
      <c r="E72" s="61">
        <f t="shared" si="21"/>
        <v>1.7299999999977445E-2</v>
      </c>
      <c r="F72" s="61">
        <f t="shared" si="18"/>
        <v>-2.1984807062835898E-5</v>
      </c>
      <c r="G72" s="120">
        <v>39281.348899999997</v>
      </c>
      <c r="H72" s="47">
        <v>81354.77</v>
      </c>
      <c r="I72" s="47">
        <v>3195510313.1900001</v>
      </c>
      <c r="J72" s="19">
        <v>118390000</v>
      </c>
      <c r="K72" s="8">
        <f t="shared" si="19"/>
        <v>39278.708712347165</v>
      </c>
      <c r="L72" s="61">
        <f t="shared" si="20"/>
        <v>3013.8985374812323</v>
      </c>
      <c r="N72" s="57"/>
    </row>
    <row r="73" spans="1:14">
      <c r="A73" s="1" t="str">
        <f>SCALARS!A74</f>
        <v>Thursday</v>
      </c>
      <c r="B73" s="28">
        <f>SCALARS!B74</f>
        <v>46149</v>
      </c>
      <c r="C73" s="61">
        <f>SCALARS!C74</f>
        <v>3014.1356999999998</v>
      </c>
      <c r="D73" s="61">
        <f t="shared" si="17"/>
        <v>3014.1529239634001</v>
      </c>
      <c r="E73" s="61">
        <f>C73-C74</f>
        <v>-1.7299999999977445E-2</v>
      </c>
      <c r="F73" s="61">
        <f t="shared" si="18"/>
        <v>7.6036599693907192E-5</v>
      </c>
      <c r="G73" s="120">
        <v>39123.756300000001</v>
      </c>
      <c r="H73" s="47">
        <v>80080.210000000006</v>
      </c>
      <c r="I73" s="47">
        <v>3132773353.0300002</v>
      </c>
      <c r="J73" s="19">
        <v>117915000</v>
      </c>
      <c r="K73" s="8">
        <f t="shared" si="19"/>
        <v>39120.443777932152</v>
      </c>
      <c r="L73" s="61">
        <f t="shared" si="20"/>
        <v>3013.8977222900244</v>
      </c>
      <c r="N73" s="57"/>
    </row>
    <row r="74" spans="1:14">
      <c r="A74" s="1" t="str">
        <f>SCALARS!A75</f>
        <v>Friday</v>
      </c>
      <c r="B74" s="28">
        <f>SCALARS!B75</f>
        <v>46150</v>
      </c>
      <c r="C74" s="61">
        <f>SCALARS!C75</f>
        <v>3014.1529999999998</v>
      </c>
      <c r="D74" s="61">
        <f t="shared" si="17"/>
        <v>3014.1701908517571</v>
      </c>
      <c r="E74" s="61">
        <f>C74-C75</f>
        <v>-1.7300000000432192E-2</v>
      </c>
      <c r="F74" s="61">
        <f t="shared" si="18"/>
        <v>1.0914824315477745E-4</v>
      </c>
      <c r="G74" s="120">
        <v>38791.988100000002</v>
      </c>
      <c r="H74" s="47">
        <v>80066.34</v>
      </c>
      <c r="I74" s="47">
        <v>3105649498.3299999</v>
      </c>
      <c r="J74" s="19">
        <v>116915000</v>
      </c>
      <c r="K74" s="8">
        <f t="shared" si="19"/>
        <v>38788.453404139618</v>
      </c>
      <c r="L74" s="61">
        <f t="shared" si="20"/>
        <v>3013.8955420023958</v>
      </c>
      <c r="N74" s="57"/>
    </row>
    <row r="75" spans="1:14">
      <c r="A75" s="1" t="str">
        <f>SCALARS!A76</f>
        <v>Saturday</v>
      </c>
      <c r="B75" s="28">
        <f>SCALARS!B76</f>
        <v>46151</v>
      </c>
      <c r="C75" s="61">
        <f>SCALARS!C76</f>
        <v>3014.1703000000002</v>
      </c>
      <c r="E75" s="61"/>
      <c r="F75" s="61"/>
      <c r="G75" s="120"/>
      <c r="H75" s="47"/>
      <c r="I75" s="47"/>
      <c r="J75" s="19"/>
      <c r="K75" s="8"/>
      <c r="L75" s="61"/>
      <c r="N75" s="57"/>
    </row>
    <row r="76" spans="1:14">
      <c r="A76" s="1" t="str">
        <f>SCALARS!A77</f>
        <v>Sunday</v>
      </c>
      <c r="B76" s="28">
        <f>SCALARS!B77</f>
        <v>46152</v>
      </c>
      <c r="C76" s="61">
        <f>SCALARS!C77</f>
        <v>3014.1876000000002</v>
      </c>
      <c r="E76" s="61"/>
      <c r="F76" s="61"/>
      <c r="G76" s="120"/>
      <c r="H76" s="47"/>
      <c r="I76" s="47"/>
      <c r="J76" s="19"/>
      <c r="K76" s="8"/>
      <c r="L76" s="61"/>
      <c r="N76" s="57"/>
    </row>
    <row r="77" spans="1:14">
      <c r="A77" s="1" t="str">
        <f>SCALARS!A78</f>
        <v>Monday</v>
      </c>
      <c r="B77" s="28">
        <f>SCALARS!B78</f>
        <v>46153</v>
      </c>
      <c r="C77" s="61">
        <f>SCALARS!C78</f>
        <v>3014.2049000000002</v>
      </c>
      <c r="D77" s="61">
        <f t="shared" si="17"/>
        <v>3014.1874578310749</v>
      </c>
      <c r="E77" s="61">
        <f>C77-C76</f>
        <v>1.7299999999977445E-2</v>
      </c>
      <c r="F77" s="61">
        <f t="shared" si="18"/>
        <v>1.4216892532203929E-4</v>
      </c>
      <c r="G77" s="120">
        <v>38791.988100000002</v>
      </c>
      <c r="H77" s="47">
        <v>81915.009999999995</v>
      </c>
      <c r="I77" s="47">
        <v>3177338346.7800002</v>
      </c>
      <c r="J77" s="19">
        <v>116915000</v>
      </c>
      <c r="K77" s="8">
        <f t="shared" si="19"/>
        <v>38788.231201827366</v>
      </c>
      <c r="L77" s="61">
        <f t="shared" si="20"/>
        <v>3013.8955420023958</v>
      </c>
      <c r="N77" s="57"/>
    </row>
    <row r="78" spans="1:14">
      <c r="A78" s="1" t="str">
        <f>SCALARS!A79</f>
        <v>Tuesday</v>
      </c>
      <c r="B78" s="28">
        <f>SCALARS!B79</f>
        <v>46154</v>
      </c>
      <c r="C78" s="61">
        <f>SCALARS!C79</f>
        <v>3014.2222000000002</v>
      </c>
      <c r="D78" s="61">
        <f t="shared" si="17"/>
        <v>3014.2047228236565</v>
      </c>
      <c r="E78" s="61">
        <f t="shared" ref="E78:E79" si="22">C78-C77</f>
        <v>1.7299999999977445E-2</v>
      </c>
      <c r="F78" s="61">
        <f t="shared" si="18"/>
        <v>1.7717634364089463E-4</v>
      </c>
      <c r="G78" s="120">
        <v>37738.636200000001</v>
      </c>
      <c r="H78" s="47">
        <v>80757.7</v>
      </c>
      <c r="I78" s="47">
        <v>3047364609.46</v>
      </c>
      <c r="J78" s="19">
        <v>113740000</v>
      </c>
      <c r="K78" s="8">
        <f t="shared" si="19"/>
        <v>37734.663189516294</v>
      </c>
      <c r="L78" s="61">
        <f t="shared" si="20"/>
        <v>3013.887396386624</v>
      </c>
      <c r="N78" s="57"/>
    </row>
    <row r="79" spans="1:14">
      <c r="A79" s="1" t="str">
        <f>SCALARS!A80</f>
        <v>Wednesday</v>
      </c>
      <c r="B79" s="28">
        <f>SCALARS!B80</f>
        <v>46155</v>
      </c>
      <c r="C79" s="61">
        <f>SCALARS!C80</f>
        <v>3014.2395000000001</v>
      </c>
      <c r="D79" s="61">
        <f t="shared" si="17"/>
        <v>3014.2220430110056</v>
      </c>
      <c r="E79" s="61">
        <f t="shared" si="22"/>
        <v>1.7299999999977445E-2</v>
      </c>
      <c r="F79" s="61">
        <f t="shared" si="18"/>
        <v>1.5698899460403481E-4</v>
      </c>
      <c r="G79" s="120">
        <v>35510.851199999997</v>
      </c>
      <c r="H79" s="47">
        <v>79496.91</v>
      </c>
      <c r="I79" s="47">
        <v>2822670882.02</v>
      </c>
      <c r="J79" s="19">
        <v>107025000</v>
      </c>
      <c r="K79" s="8">
        <f t="shared" si="19"/>
        <v>35506.674184191557</v>
      </c>
      <c r="L79" s="61">
        <f t="shared" si="20"/>
        <v>3013.8674907347759</v>
      </c>
      <c r="N79" s="57"/>
    </row>
    <row r="80" spans="1:14">
      <c r="A80" s="1" t="str">
        <f>SCALARS!A81</f>
        <v>Thursday</v>
      </c>
      <c r="B80" s="28">
        <f>SCALARS!B81</f>
        <v>46156</v>
      </c>
      <c r="C80" s="61">
        <f>SCALARS!C81</f>
        <v>3014.2568000000001</v>
      </c>
      <c r="D80" s="61">
        <f t="shared" si="17"/>
        <v>3014.2740040555577</v>
      </c>
      <c r="E80" s="61">
        <f>C80-C81</f>
        <v>-1.7299999999977445E-2</v>
      </c>
      <c r="F80" s="61">
        <f t="shared" si="18"/>
        <v>9.5944442364270799E-5</v>
      </c>
      <c r="G80" s="120">
        <v>35394.735000000001</v>
      </c>
      <c r="H80" s="47">
        <v>81512.009999999995</v>
      </c>
      <c r="I80" s="47">
        <v>2884705788.21</v>
      </c>
      <c r="J80" s="19">
        <v>106675000</v>
      </c>
      <c r="K80" s="8">
        <f t="shared" si="19"/>
        <v>35389.947913319767</v>
      </c>
      <c r="L80" s="61">
        <f t="shared" si="20"/>
        <v>3013.8663278592139</v>
      </c>
      <c r="N80" s="57"/>
    </row>
    <row r="81" spans="1:29">
      <c r="A81" s="1" t="str">
        <f>SCALARS!A82</f>
        <v>Friday</v>
      </c>
      <c r="B81" s="28">
        <f>SCALARS!B82</f>
        <v>46157</v>
      </c>
      <c r="C81" s="61">
        <f>SCALARS!C82</f>
        <v>3014.2741000000001</v>
      </c>
      <c r="D81" s="61">
        <f t="shared" si="17"/>
        <v>3014.2913241689289</v>
      </c>
      <c r="E81" s="61">
        <f>C81-C82</f>
        <v>-1.7299999999977445E-2</v>
      </c>
      <c r="F81" s="61">
        <f t="shared" si="18"/>
        <v>7.5831071171705844E-5</v>
      </c>
      <c r="G81" s="120">
        <v>34731.225400000003</v>
      </c>
      <c r="H81" s="47">
        <v>79097.039999999994</v>
      </c>
      <c r="I81" s="47">
        <v>2746742690.5999999</v>
      </c>
      <c r="J81" s="19">
        <v>104675000</v>
      </c>
      <c r="K81" s="8">
        <f t="shared" si="19"/>
        <v>34726.238688577978</v>
      </c>
      <c r="L81" s="61">
        <f t="shared" si="20"/>
        <v>3013.8585320401621</v>
      </c>
      <c r="N81" s="57"/>
    </row>
    <row r="82" spans="1:29">
      <c r="A82" s="1" t="str">
        <f>SCALARS!A83</f>
        <v>Saturday</v>
      </c>
      <c r="B82" s="28">
        <f>SCALARS!B83</f>
        <v>46158</v>
      </c>
      <c r="C82" s="61">
        <f>SCALARS!C83</f>
        <v>3014.2914000000001</v>
      </c>
      <c r="E82" s="61"/>
      <c r="F82" s="61"/>
      <c r="G82" s="120"/>
      <c r="H82" s="47"/>
      <c r="I82" s="47"/>
      <c r="J82" s="19"/>
      <c r="K82" s="8"/>
      <c r="L82" s="61"/>
      <c r="N82" s="57"/>
    </row>
    <row r="83" spans="1:29">
      <c r="A83" s="1" t="str">
        <f>SCALARS!A84</f>
        <v>Sunday</v>
      </c>
      <c r="B83" s="28">
        <f>SCALARS!B84</f>
        <v>46159</v>
      </c>
      <c r="C83" s="61">
        <f>SCALARS!C84</f>
        <v>3014.3087</v>
      </c>
      <c r="E83" s="61"/>
      <c r="F83" s="61"/>
      <c r="G83" s="120"/>
      <c r="H83" s="47"/>
      <c r="I83" s="47"/>
      <c r="J83" s="19"/>
      <c r="K83" s="8"/>
      <c r="L83" s="61"/>
      <c r="N83" s="57"/>
    </row>
    <row r="84" spans="1:29">
      <c r="A84" s="1" t="str">
        <f>SCALARS!A85</f>
        <v>Monday</v>
      </c>
      <c r="B84" s="28">
        <f>SCALARS!B85</f>
        <v>46160</v>
      </c>
      <c r="C84" s="61">
        <f>SCALARS!C85</f>
        <v>3014.326</v>
      </c>
      <c r="D84" s="61">
        <f t="shared" si="17"/>
        <v>3014.3087159875454</v>
      </c>
      <c r="E84" s="61">
        <f>C84-C83</f>
        <v>1.7299999999977445E-2</v>
      </c>
      <c r="F84" s="61">
        <f t="shared" si="18"/>
        <v>-1.5987545339157805E-5</v>
      </c>
      <c r="G84" s="120">
        <v>33301.370199999998</v>
      </c>
      <c r="H84" s="47">
        <v>76676.08</v>
      </c>
      <c r="I84" s="47">
        <v>2553021436.8499999</v>
      </c>
      <c r="J84" s="19">
        <v>100365000</v>
      </c>
      <c r="K84" s="8">
        <f t="shared" si="19"/>
        <v>33296.191417845039</v>
      </c>
      <c r="L84" s="61">
        <f t="shared" si="20"/>
        <v>3013.8399530479383</v>
      </c>
      <c r="N84" s="57"/>
    </row>
    <row r="85" spans="1:29">
      <c r="A85" s="1" t="str">
        <f>SCALARS!A86</f>
        <v>Tuesday</v>
      </c>
      <c r="B85" s="28">
        <f>SCALARS!B86</f>
        <v>46161</v>
      </c>
      <c r="C85" s="61">
        <f>SCALARS!C86</f>
        <v>3014.3433</v>
      </c>
      <c r="D85" s="61">
        <f t="shared" si="17"/>
        <v>3014.326107877122</v>
      </c>
      <c r="E85" s="61">
        <f t="shared" ref="E85:E86" si="23">C85-C84</f>
        <v>1.7299999999977445E-2</v>
      </c>
      <c r="F85" s="61">
        <f t="shared" si="18"/>
        <v>-1.0787712199089583E-4</v>
      </c>
      <c r="G85" s="120">
        <v>33301.370199999998</v>
      </c>
      <c r="H85" s="47">
        <v>76820.77</v>
      </c>
      <c r="I85" s="47">
        <v>2557824304.71</v>
      </c>
      <c r="J85" s="19">
        <v>100365000</v>
      </c>
      <c r="K85" s="8">
        <f t="shared" si="19"/>
        <v>33295.999307348779</v>
      </c>
      <c r="L85" s="61">
        <f t="shared" si="20"/>
        <v>3013.8399530479383</v>
      </c>
      <c r="N85" s="57"/>
    </row>
    <row r="86" spans="1:29">
      <c r="A86" s="1" t="str">
        <f>SCALARS!A87</f>
        <v>Wednesday</v>
      </c>
      <c r="B86" s="28">
        <f>SCALARS!B87</f>
        <v>46162</v>
      </c>
      <c r="C86" s="61">
        <f>SCALARS!C87</f>
        <v>3014.3606</v>
      </c>
      <c r="D86" s="61">
        <f t="shared" si="17"/>
        <v>3014.3434999016481</v>
      </c>
      <c r="E86" s="61">
        <f t="shared" si="23"/>
        <v>1.7299999999977445E-2</v>
      </c>
      <c r="F86" s="61">
        <f t="shared" si="18"/>
        <v>-1.9990164810224087E-4</v>
      </c>
      <c r="G86" s="120">
        <v>33301.370199999998</v>
      </c>
      <c r="H86" s="47">
        <v>77467.44</v>
      </c>
      <c r="I86" s="47">
        <v>2579340946.3299999</v>
      </c>
      <c r="J86" s="19">
        <v>100365000</v>
      </c>
      <c r="K86" s="8">
        <f t="shared" si="19"/>
        <v>33295.807197578746</v>
      </c>
      <c r="L86" s="61">
        <f t="shared" si="20"/>
        <v>3013.8399530479383</v>
      </c>
      <c r="N86" s="57"/>
    </row>
    <row r="87" spans="1:29">
      <c r="A87" s="1" t="str">
        <f>SCALARS!A88</f>
        <v>Thursday</v>
      </c>
      <c r="B87" s="28">
        <f>SCALARS!B88</f>
        <v>46163</v>
      </c>
      <c r="C87" s="61">
        <f>SCALARS!C88</f>
        <v>3014.3779</v>
      </c>
      <c r="D87" s="61">
        <f>J87/G87</f>
        <v>3013.8405034631137</v>
      </c>
      <c r="E87" s="128"/>
      <c r="F87" s="61">
        <f>C87-D87</f>
        <v>0.53739653688626277</v>
      </c>
      <c r="G87" s="120">
        <v>33337.862399999998</v>
      </c>
      <c r="H87" s="47">
        <v>77515.759999999995</v>
      </c>
      <c r="I87" s="47">
        <v>2583718889.25</v>
      </c>
      <c r="J87" s="19">
        <v>100475000</v>
      </c>
      <c r="K87" s="8">
        <f t="shared" si="19"/>
        <v>33331.530120455507</v>
      </c>
      <c r="L87" s="61">
        <f>J87/K87</f>
        <v>3014.4130688539453</v>
      </c>
      <c r="N87" s="57"/>
    </row>
    <row r="88" spans="1:29">
      <c r="A88" s="1" t="str">
        <f>SCALARS!A89</f>
        <v>Friday</v>
      </c>
      <c r="B88" s="28">
        <f>SCALARS!B89</f>
        <v>46164</v>
      </c>
      <c r="C88" s="61">
        <f>SCALARS!C89</f>
        <v>3014.3951999999999</v>
      </c>
      <c r="D88" s="61">
        <f>J88/G88</f>
        <v>3013.8405034631137</v>
      </c>
      <c r="E88" s="128"/>
      <c r="F88" s="61">
        <f>C88-D88</f>
        <v>0.55469653688624021</v>
      </c>
      <c r="G88" s="120">
        <v>33337.862399999998</v>
      </c>
      <c r="H88" s="47">
        <v>75996.63</v>
      </c>
      <c r="I88" s="47">
        <v>2533069346.6599998</v>
      </c>
      <c r="J88" s="19">
        <v>100475000</v>
      </c>
      <c r="K88" s="8">
        <f t="shared" si="19"/>
        <v>33331.337806163239</v>
      </c>
      <c r="L88" s="61">
        <f>J88/K88</f>
        <v>3014.4304613366385</v>
      </c>
      <c r="N88" s="57"/>
    </row>
    <row r="89" spans="1:29">
      <c r="A89" s="1" t="str">
        <f>SCALARS!A90</f>
        <v>Saturday</v>
      </c>
      <c r="B89" s="28">
        <f>SCALARS!B90</f>
        <v>46165</v>
      </c>
      <c r="C89" s="61">
        <f>SCALARS!C90</f>
        <v>3014.4124999999999</v>
      </c>
      <c r="E89" s="61"/>
      <c r="F89" s="61"/>
      <c r="G89" s="120"/>
      <c r="H89" s="47"/>
      <c r="I89" s="47"/>
      <c r="J89" s="19"/>
      <c r="K89" s="8"/>
      <c r="L89" s="61"/>
      <c r="N89" s="57"/>
      <c r="AC89" s="61"/>
    </row>
    <row r="90" spans="1:29">
      <c r="A90" s="1" t="str">
        <f>SCALARS!A91</f>
        <v>Sunday</v>
      </c>
      <c r="B90" s="28">
        <f>SCALARS!B91</f>
        <v>46166</v>
      </c>
      <c r="C90" s="61">
        <f>SCALARS!C91</f>
        <v>3014.4297999999999</v>
      </c>
      <c r="E90" s="61"/>
      <c r="F90" s="61"/>
      <c r="G90" s="120"/>
      <c r="H90" s="47"/>
      <c r="I90" s="47"/>
      <c r="J90" s="19"/>
      <c r="K90" s="8"/>
      <c r="L90" s="61"/>
      <c r="N90" s="57"/>
      <c r="AC90" s="61"/>
    </row>
    <row r="91" spans="1:29" ht="15" customHeight="1">
      <c r="A91" s="1" t="str">
        <f>SCALARS!A92</f>
        <v>Monday</v>
      </c>
      <c r="B91" s="28">
        <f>SCALARS!B92</f>
        <v>46167</v>
      </c>
      <c r="C91" s="61">
        <f>SCALARS!C92</f>
        <v>3014.4470999999999</v>
      </c>
      <c r="D91" s="44" t="s">
        <v>1</v>
      </c>
      <c r="E91" s="61"/>
      <c r="F91" s="61"/>
      <c r="G91" s="120"/>
      <c r="H91" s="47"/>
      <c r="I91" s="47"/>
      <c r="J91" s="19"/>
      <c r="K91" s="8"/>
      <c r="L91" s="44" t="s">
        <v>65</v>
      </c>
      <c r="N91" s="57"/>
      <c r="AC91" s="61"/>
    </row>
    <row r="92" spans="1:29">
      <c r="A92" s="1" t="str">
        <f>SCALARS!A93</f>
        <v>Tuesday</v>
      </c>
      <c r="B92" s="28">
        <f>SCALARS!B93</f>
        <v>46168</v>
      </c>
      <c r="C92" s="61">
        <f>SCALARS!C93</f>
        <v>3014.4643999999998</v>
      </c>
      <c r="D92" s="61">
        <f>J92/G92</f>
        <v>3013.8405034631137</v>
      </c>
      <c r="E92" s="61"/>
      <c r="F92" s="61">
        <f t="shared" ref="F92:F141" si="24">C92-D92</f>
        <v>0.62389653688614999</v>
      </c>
      <c r="G92" s="120">
        <v>33337.862399999998</v>
      </c>
      <c r="H92" s="47">
        <v>75814.45</v>
      </c>
      <c r="I92" s="47">
        <v>2526982463.4200001</v>
      </c>
      <c r="J92" s="19">
        <v>100475000</v>
      </c>
      <c r="K92" s="8">
        <f t="shared" si="19"/>
        <v>33331.145492976604</v>
      </c>
      <c r="L92" s="61">
        <f>J92/K92</f>
        <v>3014.4478539200418</v>
      </c>
      <c r="N92" s="57"/>
    </row>
    <row r="93" spans="1:29">
      <c r="A93" s="1" t="str">
        <f>SCALARS!A94</f>
        <v>Wednesday</v>
      </c>
      <c r="B93" s="28">
        <f>SCALARS!B94</f>
        <v>46169</v>
      </c>
      <c r="C93" s="61">
        <f>SCALARS!C94</f>
        <v>3014.4816999999998</v>
      </c>
      <c r="D93" s="61">
        <f>J93/G93</f>
        <v>3013.8362435407316</v>
      </c>
      <c r="E93" s="61"/>
      <c r="F93" s="61">
        <f t="shared" si="24"/>
        <v>0.64545645926818906</v>
      </c>
      <c r="G93" s="120">
        <v>33105.647400000002</v>
      </c>
      <c r="H93" s="47">
        <v>74889.84</v>
      </c>
      <c r="I93" s="47">
        <v>2478759306.8299999</v>
      </c>
      <c r="J93" s="19">
        <v>99775000</v>
      </c>
      <c r="K93" s="8">
        <f t="shared" si="19"/>
        <v>33098.73951967316</v>
      </c>
      <c r="L93" s="61">
        <f>J93/K93</f>
        <v>3014.4652469528619</v>
      </c>
      <c r="N93" s="57"/>
    </row>
    <row r="94" spans="1:29">
      <c r="A94" s="1" t="str">
        <f>SCALARS!A95</f>
        <v>Thursday</v>
      </c>
      <c r="B94" s="28">
        <f>SCALARS!B95</f>
        <v>46170</v>
      </c>
      <c r="C94" s="61">
        <f>SCALARS!C95</f>
        <v>3014.4989999999998</v>
      </c>
      <c r="D94" s="61">
        <f>J94/G94</f>
        <v>3014.3825640873742</v>
      </c>
      <c r="E94" s="61"/>
      <c r="F94" s="61">
        <f t="shared" si="24"/>
        <v>0.11643591262554764</v>
      </c>
      <c r="G94" s="120">
        <v>33099.647400000002</v>
      </c>
      <c r="H94" s="47">
        <v>73380.52</v>
      </c>
      <c r="I94" s="47">
        <v>2428760676</v>
      </c>
      <c r="J94" s="19">
        <v>99775000</v>
      </c>
      <c r="K94" s="8">
        <f t="shared" si="19"/>
        <v>33098.166597892734</v>
      </c>
      <c r="L94" s="61">
        <f>J94/K94</f>
        <v>3014.5174266647264</v>
      </c>
      <c r="N94" s="57"/>
    </row>
    <row r="95" spans="1:29">
      <c r="A95" s="1" t="str">
        <f>SCALARS!A96</f>
        <v>Friday</v>
      </c>
      <c r="B95" s="28">
        <f>SCALARS!B96</f>
        <v>46171</v>
      </c>
      <c r="C95" s="61">
        <f>SCALARS!C96</f>
        <v>3014.5162999999998</v>
      </c>
      <c r="D95" s="61">
        <f>J95/G95</f>
        <v>3014.3821559000571</v>
      </c>
      <c r="E95" s="61"/>
      <c r="F95" s="61">
        <f t="shared" si="24"/>
        <v>0.13414409994265952</v>
      </c>
      <c r="G95" s="120">
        <v>33000.129000000001</v>
      </c>
      <c r="H95" s="47">
        <v>73398.11</v>
      </c>
      <c r="I95" s="47">
        <v>2422024434.1599998</v>
      </c>
      <c r="J95" s="19">
        <v>99475000</v>
      </c>
      <c r="K95" s="8">
        <f t="shared" si="19"/>
        <v>32998.457782632278</v>
      </c>
      <c r="L95" s="61">
        <f>J95/K95</f>
        <v>3014.5348202410719</v>
      </c>
      <c r="N95" s="57"/>
    </row>
    <row r="96" spans="1:29">
      <c r="A96" s="1" t="str">
        <f>SCALARS!A97</f>
        <v>Saturday</v>
      </c>
      <c r="B96" s="28">
        <f>SCALARS!B97</f>
        <v>46172</v>
      </c>
      <c r="C96" s="61">
        <f>SCALARS!C97</f>
        <v>3014.5336000000002</v>
      </c>
      <c r="E96" s="61"/>
      <c r="F96" s="61"/>
      <c r="G96" s="120"/>
      <c r="H96" s="47"/>
      <c r="I96" s="47"/>
      <c r="J96" s="19"/>
      <c r="K96" s="8"/>
      <c r="L96" s="61"/>
      <c r="N96" s="57"/>
    </row>
    <row r="97" spans="1:14">
      <c r="A97" s="1" t="str">
        <f>SCALARS!A98</f>
        <v>Sunday</v>
      </c>
      <c r="B97" s="28">
        <f>SCALARS!B98</f>
        <v>46173</v>
      </c>
      <c r="C97" s="61">
        <f>SCALARS!C98</f>
        <v>3014.5509000000002</v>
      </c>
      <c r="E97" s="61"/>
      <c r="F97" s="61"/>
      <c r="G97" s="120"/>
      <c r="H97" s="47"/>
      <c r="I97" s="47"/>
      <c r="J97" s="19"/>
      <c r="K97" s="8"/>
      <c r="L97" s="61"/>
      <c r="N97" s="57"/>
    </row>
    <row r="98" spans="1:14">
      <c r="A98" s="1" t="str">
        <f>SCALARS!A99</f>
        <v>Monday</v>
      </c>
      <c r="B98" s="28">
        <f>SCALARS!B99</f>
        <v>46174</v>
      </c>
      <c r="C98" s="61">
        <f>SCALARS!C99</f>
        <v>3014.5682000000002</v>
      </c>
      <c r="D98" s="61">
        <f>J98/G98</f>
        <v>3014.3813543611313</v>
      </c>
      <c r="E98" s="61"/>
      <c r="F98" s="61">
        <f t="shared" si="24"/>
        <v>0.18684563886881733</v>
      </c>
      <c r="G98" s="120">
        <v>32827.631399999998</v>
      </c>
      <c r="H98" s="47">
        <v>71428.740000000005</v>
      </c>
      <c r="I98" s="47">
        <v>2344703375.8200002</v>
      </c>
      <c r="J98" s="19">
        <v>98955000</v>
      </c>
      <c r="K98" s="8">
        <f t="shared" ref="K98:K127" si="25">I98/H98</f>
        <v>32825.76979266329</v>
      </c>
      <c r="L98" s="61">
        <f>J98/K98</f>
        <v>3014.5523052475955</v>
      </c>
      <c r="N98" s="57"/>
    </row>
    <row r="99" spans="1:14">
      <c r="A99" s="1" t="str">
        <f>SCALARS!A100</f>
        <v>Tuesday</v>
      </c>
      <c r="B99" s="28">
        <f>SCALARS!B100</f>
        <v>46175</v>
      </c>
      <c r="C99" s="61">
        <f>SCALARS!C100</f>
        <v>3014.5855000000001</v>
      </c>
      <c r="D99" s="61">
        <f>J99/G99</f>
        <v>3014.380052386276</v>
      </c>
      <c r="E99" s="61"/>
      <c r="F99" s="61">
        <f t="shared" si="24"/>
        <v>0.20544761372411813</v>
      </c>
      <c r="G99" s="120">
        <v>32578.838199999998</v>
      </c>
      <c r="H99" s="47">
        <v>66991.23</v>
      </c>
      <c r="I99" s="47">
        <v>2182359075.1399999</v>
      </c>
      <c r="J99" s="19">
        <v>98205000</v>
      </c>
      <c r="K99" s="8">
        <f t="shared" si="25"/>
        <v>32576.787665191398</v>
      </c>
      <c r="L99" s="61">
        <f>J99/K99</f>
        <v>3014.5697915124074</v>
      </c>
      <c r="N99" s="57"/>
    </row>
    <row r="100" spans="1:14">
      <c r="A100" s="1" t="str">
        <f>SCALARS!A101</f>
        <v>Wednesday</v>
      </c>
      <c r="B100" s="28">
        <f>SCALARS!B101</f>
        <v>46176</v>
      </c>
      <c r="C100" s="61">
        <f>SCALARS!C101</f>
        <v>3014.6028000000001</v>
      </c>
      <c r="D100" s="61">
        <f>J100/G100</f>
        <v>3014.380052386276</v>
      </c>
      <c r="E100" s="61"/>
      <c r="F100" s="61">
        <f t="shared" si="24"/>
        <v>0.22274761372409557</v>
      </c>
      <c r="G100" s="120">
        <v>32578.838199999998</v>
      </c>
      <c r="H100" s="47">
        <v>65682.100000000006</v>
      </c>
      <c r="I100" s="47">
        <v>2139699413.51</v>
      </c>
      <c r="J100" s="19">
        <v>98205000</v>
      </c>
      <c r="K100" s="8">
        <f t="shared" si="25"/>
        <v>32576.598700559207</v>
      </c>
      <c r="L100" s="61">
        <f>J100/K100</f>
        <v>3014.5872779012448</v>
      </c>
      <c r="N100" s="57"/>
    </row>
    <row r="101" spans="1:14">
      <c r="A101" s="1" t="str">
        <f>SCALARS!A102</f>
        <v>Thursday</v>
      </c>
      <c r="B101" s="28">
        <f>SCALARS!B102</f>
        <v>46177</v>
      </c>
      <c r="C101" s="61">
        <f>SCALARS!C102</f>
        <v>3014.6201000000001</v>
      </c>
      <c r="D101" s="61">
        <f>J101/G101</f>
        <v>3014.3779581267509</v>
      </c>
      <c r="E101" s="61"/>
      <c r="F101" s="61">
        <f t="shared" si="24"/>
        <v>0.24214187324923842</v>
      </c>
      <c r="G101" s="120">
        <v>32253.7523</v>
      </c>
      <c r="H101" s="47">
        <v>63732.67</v>
      </c>
      <c r="I101" s="47">
        <v>2055439246.8800001</v>
      </c>
      <c r="J101" s="19">
        <v>97225000</v>
      </c>
      <c r="K101" s="8">
        <f t="shared" si="25"/>
        <v>32250.951464609912</v>
      </c>
      <c r="L101" s="61">
        <f>J101/K101</f>
        <v>3014.6397419216723</v>
      </c>
      <c r="N101" s="57"/>
    </row>
    <row r="102" spans="1:14">
      <c r="A102" s="1" t="str">
        <f>SCALARS!A103</f>
        <v>Friday</v>
      </c>
      <c r="B102" s="28">
        <f>SCALARS!B103</f>
        <v>46178</v>
      </c>
      <c r="C102" s="61">
        <f>SCALARS!C103</f>
        <v>3014.6374000000001</v>
      </c>
      <c r="D102" s="61">
        <f>J102/G102</f>
        <v>3014.3779581267509</v>
      </c>
      <c r="E102" s="61"/>
      <c r="F102" s="61">
        <f t="shared" si="24"/>
        <v>0.25944187324921586</v>
      </c>
      <c r="G102" s="120">
        <v>32253.7523</v>
      </c>
      <c r="H102" s="47">
        <v>59673.45</v>
      </c>
      <c r="I102" s="47">
        <v>1924514375.3800001</v>
      </c>
      <c r="J102" s="19">
        <v>97225000</v>
      </c>
      <c r="K102" s="8">
        <f t="shared" si="25"/>
        <v>32250.76437477639</v>
      </c>
      <c r="L102" s="61">
        <f>J102/K102</f>
        <v>3014.6572301412034</v>
      </c>
      <c r="N102" s="57"/>
    </row>
    <row r="103" spans="1:14">
      <c r="A103" s="1" t="str">
        <f>SCALARS!A104</f>
        <v>Saturday</v>
      </c>
      <c r="B103" s="28">
        <f>SCALARS!B104</f>
        <v>46179</v>
      </c>
      <c r="C103" s="61">
        <f>SCALARS!C104</f>
        <v>3014.6547</v>
      </c>
      <c r="E103" s="61"/>
      <c r="F103" s="61"/>
      <c r="G103" s="120"/>
      <c r="H103" s="47"/>
      <c r="I103" s="47"/>
      <c r="J103" s="19"/>
      <c r="K103" s="8"/>
      <c r="L103" s="61"/>
      <c r="N103" s="57"/>
    </row>
    <row r="104" spans="1:14">
      <c r="A104" s="1" t="str">
        <f>SCALARS!A105</f>
        <v>Sunday</v>
      </c>
      <c r="B104" s="28">
        <f>SCALARS!B105</f>
        <v>46180</v>
      </c>
      <c r="C104" s="61">
        <f>SCALARS!C105</f>
        <v>3014.672</v>
      </c>
      <c r="E104" s="61"/>
      <c r="F104" s="61"/>
      <c r="G104" s="120"/>
      <c r="H104" s="47"/>
      <c r="I104" s="47"/>
      <c r="J104" s="19"/>
      <c r="K104" s="8"/>
      <c r="L104" s="61"/>
      <c r="N104" s="57"/>
    </row>
    <row r="105" spans="1:14">
      <c r="A105" s="1" t="str">
        <f>SCALARS!A106</f>
        <v>Monday</v>
      </c>
      <c r="B105" s="28">
        <f>SCALARS!B106</f>
        <v>46181</v>
      </c>
      <c r="C105" s="61">
        <f>SCALARS!C106</f>
        <v>3014.6893</v>
      </c>
      <c r="D105" s="61">
        <f>J105/G105</f>
        <v>3014.3863177292264</v>
      </c>
      <c r="E105" s="61"/>
      <c r="F105" s="61">
        <f t="shared" si="24"/>
        <v>0.30298227077355477</v>
      </c>
      <c r="G105" s="120">
        <v>33248.890299999999</v>
      </c>
      <c r="H105" s="47">
        <v>63449.74</v>
      </c>
      <c r="I105" s="47">
        <v>2109431628.45</v>
      </c>
      <c r="J105" s="19">
        <v>100225000</v>
      </c>
      <c r="K105" s="8">
        <f t="shared" si="25"/>
        <v>33245.709571859552</v>
      </c>
      <c r="L105" s="61">
        <f>J105/K105</f>
        <v>3014.6747141421911</v>
      </c>
      <c r="N105" s="57"/>
    </row>
    <row r="106" spans="1:14">
      <c r="A106" s="1" t="str">
        <f>SCALARS!A107</f>
        <v>Tuesday</v>
      </c>
      <c r="B106" s="28">
        <f>SCALARS!B107</f>
        <v>46182</v>
      </c>
      <c r="C106" s="61">
        <f>SCALARS!C107</f>
        <v>3014.7066</v>
      </c>
      <c r="D106" s="61">
        <f>J106/G106</f>
        <v>3014.3863177292264</v>
      </c>
      <c r="E106" s="61"/>
      <c r="F106" s="61">
        <f t="shared" si="24"/>
        <v>0.32028227077353222</v>
      </c>
      <c r="G106" s="120">
        <v>33248.890299999999</v>
      </c>
      <c r="H106" s="47">
        <v>61825.37</v>
      </c>
      <c r="I106" s="47">
        <v>2055416374.46</v>
      </c>
      <c r="J106" s="19">
        <v>100225000</v>
      </c>
      <c r="K106" s="8">
        <f t="shared" si="25"/>
        <v>33245.516758896876</v>
      </c>
      <c r="L106" s="61">
        <f>J106/K106</f>
        <v>3014.692198254932</v>
      </c>
      <c r="N106" s="57"/>
    </row>
    <row r="107" spans="1:14">
      <c r="A107" s="1" t="str">
        <f>SCALARS!A108</f>
        <v>Wednesday</v>
      </c>
      <c r="B107" s="28">
        <f>SCALARS!B108</f>
        <v>46183</v>
      </c>
      <c r="C107" s="61">
        <f>SCALARS!C108</f>
        <v>3014.7239</v>
      </c>
      <c r="D107" s="61">
        <f>J107/G107</f>
        <v>3014.3863177292264</v>
      </c>
      <c r="E107" s="61"/>
      <c r="F107" s="61">
        <f t="shared" si="24"/>
        <v>0.33758227077350966</v>
      </c>
      <c r="G107" s="120">
        <v>33248.890299999999</v>
      </c>
      <c r="H107" s="47">
        <v>61812.83</v>
      </c>
      <c r="I107" s="47">
        <v>2054987557.4300001</v>
      </c>
      <c r="J107" s="19">
        <v>100225000</v>
      </c>
      <c r="K107" s="8">
        <f t="shared" si="25"/>
        <v>33245.323946986413</v>
      </c>
      <c r="L107" s="61">
        <f>J107/K107</f>
        <v>3014.7096824750624</v>
      </c>
      <c r="N107" s="57"/>
    </row>
    <row r="108" spans="1:14">
      <c r="A108" s="1" t="str">
        <f>SCALARS!A109</f>
        <v>Thursday</v>
      </c>
      <c r="B108" s="28">
        <f>SCALARS!B109</f>
        <v>46184</v>
      </c>
      <c r="C108" s="61">
        <f>SCALARS!C109</f>
        <v>3014.7411999999999</v>
      </c>
      <c r="D108" s="61">
        <f>J108/G108</f>
        <v>3014.3821110956615</v>
      </c>
      <c r="E108" s="61"/>
      <c r="F108" s="61">
        <f t="shared" si="24"/>
        <v>0.35908890433847773</v>
      </c>
      <c r="G108" s="120">
        <v>32820.988299999997</v>
      </c>
      <c r="H108" s="47">
        <v>63585.11</v>
      </c>
      <c r="I108" s="47">
        <v>2086663079.05</v>
      </c>
      <c r="J108" s="19">
        <v>98935000</v>
      </c>
      <c r="K108" s="8">
        <f t="shared" si="25"/>
        <v>32816.850974229659</v>
      </c>
      <c r="L108" s="61">
        <f>J108/K108</f>
        <v>3014.7621439269551</v>
      </c>
      <c r="N108" s="57"/>
    </row>
    <row r="109" spans="1:14">
      <c r="A109" s="1" t="str">
        <f>SCALARS!A110</f>
        <v>Friday</v>
      </c>
      <c r="B109" s="28">
        <f>SCALARS!B110</f>
        <v>46185</v>
      </c>
      <c r="C109" s="61">
        <f>SCALARS!C110</f>
        <v>3014.7584999999999</v>
      </c>
      <c r="D109" s="61">
        <f>J109/G109</f>
        <v>3014.3826834948231</v>
      </c>
      <c r="E109" s="61"/>
      <c r="F109" s="61">
        <f t="shared" si="24"/>
        <v>0.3758165051767719</v>
      </c>
      <c r="G109" s="120">
        <v>32870.743499999997</v>
      </c>
      <c r="H109" s="47">
        <v>63654.16</v>
      </c>
      <c r="I109" s="47">
        <v>2092083784.9000001</v>
      </c>
      <c r="J109" s="19">
        <v>99085000</v>
      </c>
      <c r="K109" s="8">
        <f t="shared" si="25"/>
        <v>32866.411007544521</v>
      </c>
      <c r="L109" s="61">
        <f>J109/K109</f>
        <v>3014.780043286592</v>
      </c>
      <c r="N109" s="57"/>
    </row>
    <row r="110" spans="1:14">
      <c r="A110" s="1" t="str">
        <f>SCALARS!A111</f>
        <v>Saturday</v>
      </c>
      <c r="B110" s="28">
        <f>SCALARS!B111</f>
        <v>46186</v>
      </c>
      <c r="C110" s="61">
        <f>SCALARS!C111</f>
        <v>3014.7757999999999</v>
      </c>
      <c r="E110" s="61"/>
      <c r="F110" s="61"/>
      <c r="G110" s="120"/>
      <c r="H110" s="47"/>
      <c r="I110" s="47"/>
      <c r="J110" s="19"/>
      <c r="K110" s="8"/>
      <c r="L110" s="61"/>
      <c r="N110" s="57"/>
    </row>
    <row r="111" spans="1:14">
      <c r="A111" s="1" t="str">
        <f>SCALARS!A112</f>
        <v>Sunday</v>
      </c>
      <c r="B111" s="28">
        <f>SCALARS!B112</f>
        <v>46187</v>
      </c>
      <c r="C111" s="61">
        <f>SCALARS!C112</f>
        <v>3014.7930999999999</v>
      </c>
      <c r="E111" s="61"/>
      <c r="F111" s="61"/>
      <c r="G111" s="120"/>
      <c r="H111" s="47"/>
      <c r="I111" s="47"/>
      <c r="J111" s="19"/>
      <c r="K111" s="8"/>
      <c r="L111" s="61"/>
      <c r="N111" s="57"/>
    </row>
    <row r="112" spans="1:14">
      <c r="A112" s="1" t="str">
        <f>SCALARS!A113</f>
        <v>Monday</v>
      </c>
      <c r="B112" s="28">
        <f>SCALARS!B113</f>
        <v>46188</v>
      </c>
      <c r="C112" s="61">
        <f>SCALARS!C113</f>
        <v>3014.8103999999998</v>
      </c>
      <c r="D112" s="61">
        <f>J112/G112</f>
        <v>3014.3814725706175</v>
      </c>
      <c r="E112" s="61"/>
      <c r="F112" s="61">
        <f t="shared" si="24"/>
        <v>0.42892742938238371</v>
      </c>
      <c r="G112" s="120">
        <v>32771.233800000002</v>
      </c>
      <c r="H112" s="47">
        <v>66647.740000000005</v>
      </c>
      <c r="I112" s="47">
        <v>2183827173.8099999</v>
      </c>
      <c r="J112" s="19">
        <v>98785000</v>
      </c>
      <c r="K112" s="8">
        <f t="shared" si="25"/>
        <v>32766.710076140615</v>
      </c>
      <c r="L112" s="61">
        <f>J112/K112</f>
        <v>3014.7976336486468</v>
      </c>
      <c r="N112" s="57"/>
    </row>
    <row r="113" spans="1:14">
      <c r="A113" s="1" t="str">
        <f>SCALARS!A114</f>
        <v>Tuesday</v>
      </c>
      <c r="B113" s="28">
        <f>SCALARS!B114</f>
        <v>46189</v>
      </c>
      <c r="C113" s="61">
        <f>SCALARS!C114</f>
        <v>3014.8276999999998</v>
      </c>
      <c r="D113" s="61">
        <f>J113/G113</f>
        <v>3014.3814725706175</v>
      </c>
      <c r="E113" s="61"/>
      <c r="F113" s="61">
        <f t="shared" si="24"/>
        <v>0.44622742938236115</v>
      </c>
      <c r="G113" s="120">
        <v>32771.233800000002</v>
      </c>
      <c r="H113" s="47">
        <v>65607.990000000005</v>
      </c>
      <c r="I113" s="47">
        <v>2149745443.8699999</v>
      </c>
      <c r="J113" s="19">
        <v>98785000</v>
      </c>
      <c r="K113" s="8">
        <f t="shared" si="25"/>
        <v>32766.518893049455</v>
      </c>
      <c r="L113" s="61">
        <f>J113/K113</f>
        <v>3014.8152241144726</v>
      </c>
      <c r="N113" s="57"/>
    </row>
    <row r="114" spans="1:14">
      <c r="A114" s="1" t="str">
        <f>SCALARS!A115</f>
        <v>Wednesday</v>
      </c>
      <c r="B114" s="28">
        <f>SCALARS!B115</f>
        <v>46190</v>
      </c>
      <c r="C114" s="61">
        <f>SCALARS!C115</f>
        <v>3014.8449999999998</v>
      </c>
      <c r="D114" s="61">
        <f>J114/G114</f>
        <v>3014.3723798338001</v>
      </c>
      <c r="E114" s="61"/>
      <c r="F114" s="61">
        <f t="shared" si="24"/>
        <v>0.47262016619970382</v>
      </c>
      <c r="G114" s="120">
        <v>32097.8923</v>
      </c>
      <c r="H114" s="47">
        <v>64648.65</v>
      </c>
      <c r="I114" s="47">
        <v>2074732160.6500001</v>
      </c>
      <c r="J114" s="19">
        <v>96755000</v>
      </c>
      <c r="K114" s="8">
        <f t="shared" si="25"/>
        <v>32092.428235547068</v>
      </c>
      <c r="L114" s="61">
        <f>J114/K114</f>
        <v>3014.8856075910658</v>
      </c>
      <c r="N114" s="57"/>
    </row>
    <row r="115" spans="1:14">
      <c r="A115" s="1" t="str">
        <f>SCALARS!A116</f>
        <v>Thursday</v>
      </c>
      <c r="B115" s="28">
        <f>SCALARS!B116</f>
        <v>46191</v>
      </c>
      <c r="C115" s="61">
        <f>SCALARS!C116</f>
        <v>3014.8622999999998</v>
      </c>
      <c r="E115" s="61"/>
      <c r="F115" s="61"/>
      <c r="G115" s="120"/>
      <c r="H115" s="47">
        <v>62731.81</v>
      </c>
      <c r="I115" s="120"/>
      <c r="J115" s="120"/>
      <c r="K115" s="8"/>
      <c r="L115" s="61"/>
      <c r="N115" s="57"/>
    </row>
    <row r="116" spans="1:14">
      <c r="A116" s="1" t="str">
        <f>SCALARS!A117</f>
        <v>Friday</v>
      </c>
      <c r="B116" s="28">
        <f>SCALARS!B117</f>
        <v>46192</v>
      </c>
      <c r="C116" s="61">
        <f>SCALARS!C117</f>
        <v>3014.8796000000002</v>
      </c>
      <c r="D116" s="161" t="s">
        <v>73</v>
      </c>
      <c r="E116" s="61"/>
      <c r="F116" s="61"/>
      <c r="G116" s="120"/>
      <c r="H116" s="47"/>
      <c r="I116" s="47"/>
      <c r="J116" s="19"/>
      <c r="K116" s="8"/>
      <c r="N116" s="57"/>
    </row>
    <row r="117" spans="1:14">
      <c r="A117" s="1" t="str">
        <f>SCALARS!A118</f>
        <v>Saturday</v>
      </c>
      <c r="B117" s="28">
        <f>SCALARS!B118</f>
        <v>46193</v>
      </c>
      <c r="C117" s="61">
        <f>SCALARS!C118</f>
        <v>3014.8969000000002</v>
      </c>
      <c r="E117" s="61"/>
      <c r="F117" s="61"/>
      <c r="G117" s="120"/>
      <c r="H117" s="47"/>
      <c r="I117" s="47"/>
      <c r="J117" s="19"/>
      <c r="K117" s="8"/>
      <c r="L117" s="61"/>
      <c r="N117" s="57"/>
    </row>
    <row r="118" spans="1:14">
      <c r="A118" s="1" t="str">
        <f>SCALARS!A119</f>
        <v>Sunday</v>
      </c>
      <c r="B118" s="28">
        <f>SCALARS!B119</f>
        <v>46194</v>
      </c>
      <c r="C118" s="61">
        <f>SCALARS!C119</f>
        <v>3014.9142000000002</v>
      </c>
      <c r="E118" s="61"/>
      <c r="F118" s="61"/>
      <c r="G118" s="120"/>
      <c r="H118" s="47"/>
      <c r="I118" s="47"/>
      <c r="J118" s="19"/>
      <c r="K118" s="8"/>
      <c r="L118" s="61"/>
      <c r="N118" s="57"/>
    </row>
    <row r="119" spans="1:14">
      <c r="A119" s="1" t="str">
        <f>SCALARS!A120</f>
        <v>Monday</v>
      </c>
      <c r="B119" s="28">
        <f>SCALARS!B120</f>
        <v>46195</v>
      </c>
      <c r="C119" s="61">
        <f>SCALARS!C120</f>
        <v>3014.9315000000001</v>
      </c>
      <c r="D119" s="61">
        <f>J119/G119</f>
        <v>3014.7436209802004</v>
      </c>
      <c r="E119" s="61"/>
      <c r="F119" s="61">
        <f t="shared" si="24"/>
        <v>0.18787901979976596</v>
      </c>
      <c r="G119" s="120">
        <v>33089.049200000001</v>
      </c>
      <c r="H119" s="47">
        <v>64317.06</v>
      </c>
      <c r="I119" s="47">
        <v>2128065299.9100001</v>
      </c>
      <c r="J119" s="19">
        <v>99755000</v>
      </c>
      <c r="K119" s="8">
        <f t="shared" si="25"/>
        <v>33087.104726335441</v>
      </c>
      <c r="L119" s="61">
        <f>J119/K119</f>
        <v>3014.9207924077059</v>
      </c>
      <c r="N119" s="57"/>
    </row>
    <row r="120" spans="1:14">
      <c r="A120" s="1" t="str">
        <f>SCALARS!A121</f>
        <v>Tuesday</v>
      </c>
      <c r="B120" s="28">
        <f>SCALARS!B121</f>
        <v>46196</v>
      </c>
      <c r="C120" s="61">
        <f>SCALARS!C121</f>
        <v>3014.9488000000001</v>
      </c>
      <c r="D120" s="61">
        <f>J120/G120</f>
        <v>3014.7462462136696</v>
      </c>
      <c r="E120" s="61"/>
      <c r="F120" s="61">
        <f t="shared" si="24"/>
        <v>0.20255378633055443</v>
      </c>
      <c r="G120" s="120">
        <v>33586.574699999997</v>
      </c>
      <c r="H120" s="47">
        <v>62268.59</v>
      </c>
      <c r="I120" s="47">
        <v>2091255372.6600001</v>
      </c>
      <c r="J120" s="19">
        <v>101255000</v>
      </c>
      <c r="K120" s="8">
        <f t="shared" si="25"/>
        <v>33584.434345791356</v>
      </c>
      <c r="L120" s="61">
        <f>J120/K120</f>
        <v>3014.938377626384</v>
      </c>
      <c r="N120" s="57"/>
    </row>
    <row r="121" spans="1:14">
      <c r="A121" s="1" t="str">
        <f>SCALARS!A122</f>
        <v>Wednesday</v>
      </c>
      <c r="B121" s="28">
        <f>SCALARS!B122</f>
        <v>46197</v>
      </c>
      <c r="C121" s="61">
        <f>SCALARS!C122</f>
        <v>3014.9661000000001</v>
      </c>
      <c r="D121" s="61">
        <f>J121/G121</f>
        <v>3014.7412676924869</v>
      </c>
      <c r="E121" s="61"/>
      <c r="F121" s="61">
        <f t="shared" si="24"/>
        <v>0.22483230751322481</v>
      </c>
      <c r="G121" s="120">
        <v>32737.469400000002</v>
      </c>
      <c r="H121" s="47">
        <v>59667.59</v>
      </c>
      <c r="I121" s="47">
        <v>1953226798.4400001</v>
      </c>
      <c r="J121" s="19">
        <v>98695000</v>
      </c>
      <c r="K121" s="8">
        <f t="shared" si="25"/>
        <v>32735.138094902111</v>
      </c>
      <c r="L121" s="61">
        <f>J121/K121</f>
        <v>3014.9559691446639</v>
      </c>
      <c r="N121" s="57"/>
    </row>
    <row r="122" spans="1:14">
      <c r="A122" s="1" t="str">
        <f>SCALARS!A123</f>
        <v>Thursday</v>
      </c>
      <c r="B122" s="28">
        <f>SCALARS!B123</f>
        <v>46198</v>
      </c>
      <c r="C122" s="61">
        <f>SCALARS!C123</f>
        <v>3014.9834000000001</v>
      </c>
      <c r="D122" s="61">
        <f>J122/G122</f>
        <v>3014.7317755676413</v>
      </c>
      <c r="E122" s="61"/>
      <c r="F122" s="61">
        <f t="shared" si="24"/>
        <v>0.25162443235876708</v>
      </c>
      <c r="G122" s="120">
        <v>31351.0478</v>
      </c>
      <c r="H122" s="47">
        <v>59222.59</v>
      </c>
      <c r="I122" s="47">
        <v>1856519607.1199999</v>
      </c>
      <c r="J122" s="19">
        <v>94515000</v>
      </c>
      <c r="K122" s="8">
        <f t="shared" si="25"/>
        <v>31348.166419604411</v>
      </c>
      <c r="L122" s="61">
        <f>J122/K122</f>
        <v>3015.0088759543055</v>
      </c>
      <c r="N122" s="57"/>
    </row>
    <row r="123" spans="1:14">
      <c r="A123" s="1" t="str">
        <f>SCALARS!A124</f>
        <v>Friday</v>
      </c>
      <c r="B123" s="28">
        <f>SCALARS!B124</f>
        <v>46199</v>
      </c>
      <c r="C123" s="61">
        <f>SCALARS!C124</f>
        <v>3015.0007000000001</v>
      </c>
      <c r="D123" s="61">
        <f>J123/G123</f>
        <v>3014.9241087954192</v>
      </c>
      <c r="E123" s="61"/>
      <c r="F123" s="61">
        <f t="shared" si="24"/>
        <v>7.6591204580836347E-2</v>
      </c>
      <c r="G123" s="120">
        <v>31349.0478</v>
      </c>
      <c r="H123" s="47">
        <v>59813.1</v>
      </c>
      <c r="I123" s="47">
        <v>1875020045.24</v>
      </c>
      <c r="J123" s="19">
        <v>94515000</v>
      </c>
      <c r="K123" s="8">
        <f t="shared" si="25"/>
        <v>31347.983054548251</v>
      </c>
      <c r="L123" s="61">
        <f>J123/K123</f>
        <v>3015.0265117706481</v>
      </c>
      <c r="N123" s="57"/>
    </row>
    <row r="124" spans="1:14">
      <c r="A124" s="1" t="str">
        <f>SCALARS!A125</f>
        <v>Saturday</v>
      </c>
      <c r="B124" s="28">
        <f>SCALARS!B125</f>
        <v>46200</v>
      </c>
      <c r="C124" s="61">
        <f>SCALARS!C125</f>
        <v>3015.018</v>
      </c>
      <c r="E124" s="61"/>
      <c r="F124" s="61"/>
      <c r="G124" s="120"/>
      <c r="H124" s="47"/>
      <c r="I124" s="47"/>
      <c r="J124" s="19"/>
      <c r="K124" s="8"/>
      <c r="L124" s="61"/>
      <c r="N124" s="57"/>
    </row>
    <row r="125" spans="1:14">
      <c r="A125" s="1" t="str">
        <f>SCALARS!A126</f>
        <v>Sunday</v>
      </c>
      <c r="B125" s="28">
        <f>SCALARS!B126</f>
        <v>46201</v>
      </c>
      <c r="C125" s="61">
        <f>SCALARS!C126</f>
        <v>3015.0353</v>
      </c>
      <c r="E125" s="61"/>
      <c r="F125" s="61"/>
      <c r="G125" s="120"/>
      <c r="H125" s="47"/>
      <c r="I125" s="47"/>
      <c r="J125" s="19"/>
      <c r="K125" s="8"/>
      <c r="L125" s="61"/>
      <c r="N125" s="57"/>
    </row>
    <row r="126" spans="1:14">
      <c r="A126" s="1" t="str">
        <f>SCALARS!A127</f>
        <v>Monday</v>
      </c>
      <c r="B126" s="28">
        <f>SCALARS!B127</f>
        <v>46202</v>
      </c>
      <c r="C126" s="61">
        <f>SCALARS!C127</f>
        <v>3015.0526</v>
      </c>
      <c r="D126" s="61">
        <f>J126/G126</f>
        <v>3014.9267386631732</v>
      </c>
      <c r="E126" s="61"/>
      <c r="F126" s="61">
        <f t="shared" si="24"/>
        <v>0.12586133682680156</v>
      </c>
      <c r="G126" s="120">
        <v>32178.227999999999</v>
      </c>
      <c r="H126" s="47">
        <v>60263.11</v>
      </c>
      <c r="I126" s="47">
        <v>1939084585.4000001</v>
      </c>
      <c r="J126" s="19">
        <v>97015000</v>
      </c>
      <c r="K126" s="8">
        <f t="shared" si="25"/>
        <v>32176.975025019452</v>
      </c>
      <c r="L126" s="61">
        <f>J126/K126</f>
        <v>3015.0441402451675</v>
      </c>
      <c r="N126" s="57"/>
    </row>
    <row r="127" spans="1:14">
      <c r="A127" s="1" t="str">
        <f>SCALARS!A128</f>
        <v>Tuesday</v>
      </c>
      <c r="B127" s="28">
        <f>SCALARS!B128</f>
        <v>46203</v>
      </c>
      <c r="C127" s="61">
        <f>SCALARS!C128</f>
        <v>3015.0699</v>
      </c>
      <c r="D127" s="61">
        <f>J127/G127</f>
        <v>3014.9267386631732</v>
      </c>
      <c r="E127" s="61"/>
      <c r="F127" s="61">
        <f t="shared" si="24"/>
        <v>0.14316133682677901</v>
      </c>
      <c r="G127" s="120">
        <v>32178.227999999999</v>
      </c>
      <c r="H127" s="47">
        <v>58605.41</v>
      </c>
      <c r="I127" s="47">
        <v>1885733788.25</v>
      </c>
      <c r="J127" s="19">
        <v>97015000</v>
      </c>
      <c r="K127" s="8">
        <f t="shared" si="25"/>
        <v>32176.786891346717</v>
      </c>
      <c r="L127" s="61">
        <f>J127/K127</f>
        <v>3015.061768833425</v>
      </c>
      <c r="N127" s="57"/>
    </row>
    <row r="128" spans="1:14">
      <c r="A128" s="1" t="str">
        <f>SCALARS!A129</f>
        <v>Wednesday</v>
      </c>
      <c r="B128" s="28">
        <f>SCALARS!B129</f>
        <v>46204</v>
      </c>
      <c r="C128" s="61">
        <f>SCALARS!C129</f>
        <v>3015.0871999999999</v>
      </c>
      <c r="D128" s="61">
        <f>J128/G128</f>
        <v>3014.9239034666393</v>
      </c>
      <c r="E128" s="61"/>
      <c r="F128" s="61">
        <f t="shared" si="24"/>
        <v>0.16329653336060801</v>
      </c>
      <c r="G128" s="120">
        <v>31514.891599999999</v>
      </c>
      <c r="H128" s="47">
        <v>60145.9</v>
      </c>
      <c r="I128" s="47">
        <v>1895360503.25</v>
      </c>
      <c r="J128" s="19">
        <v>95015000</v>
      </c>
      <c r="K128" s="8">
        <f t="shared" ref="K128:K158" si="26">I128/H128</f>
        <v>31512.713306310154</v>
      </c>
      <c r="L128" s="61">
        <f>J128/K128</f>
        <v>3015.1323079175809</v>
      </c>
      <c r="N128" s="57"/>
    </row>
    <row r="129" spans="1:14">
      <c r="A129" s="1" t="str">
        <f>SCALARS!A130</f>
        <v>Thursday</v>
      </c>
      <c r="B129" s="28">
        <f>SCALARS!B130</f>
        <v>46205</v>
      </c>
      <c r="C129" s="61">
        <f>SCALARS!C130</f>
        <v>3015.1044999999999</v>
      </c>
      <c r="D129" s="61">
        <f>J129/G129</f>
        <v>3014.9333284826985</v>
      </c>
      <c r="E129" s="61"/>
      <c r="F129" s="61">
        <f t="shared" si="24"/>
        <v>0.17117151730144542</v>
      </c>
      <c r="G129" s="120">
        <v>33007.363400000002</v>
      </c>
      <c r="H129" s="47">
        <v>61534.49</v>
      </c>
      <c r="I129" s="47">
        <v>2030945364.1400001</v>
      </c>
      <c r="J129" s="19">
        <v>99515000</v>
      </c>
      <c r="K129" s="8">
        <f t="shared" si="26"/>
        <v>33004.992226960851</v>
      </c>
      <c r="L129" s="61">
        <f>J129/K129</f>
        <v>3015.1499299160264</v>
      </c>
      <c r="N129" s="57"/>
    </row>
    <row r="130" spans="1:14">
      <c r="A130" s="1" t="str">
        <f>SCALARS!A131</f>
        <v>Friday</v>
      </c>
      <c r="B130" s="28">
        <f>SCALARS!B131</f>
        <v>46206</v>
      </c>
      <c r="C130" s="61">
        <f>SCALARS!C131</f>
        <v>3015.1217999999999</v>
      </c>
      <c r="D130" s="161" t="s">
        <v>73</v>
      </c>
      <c r="E130" s="61"/>
      <c r="F130" s="61"/>
      <c r="G130" s="120"/>
      <c r="H130" s="47"/>
      <c r="I130" s="47"/>
      <c r="J130" s="19"/>
      <c r="K130" s="8"/>
      <c r="N130" s="57"/>
    </row>
    <row r="131" spans="1:14">
      <c r="A131" s="1" t="str">
        <f>SCALARS!A132</f>
        <v>Saturday</v>
      </c>
      <c r="B131" s="28">
        <f>SCALARS!B132</f>
        <v>46207</v>
      </c>
      <c r="C131" s="61">
        <f>SCALARS!C132</f>
        <v>3015.1390999999999</v>
      </c>
      <c r="E131" s="61"/>
      <c r="F131" s="61"/>
      <c r="G131" s="120"/>
      <c r="H131" s="47"/>
      <c r="I131" s="47"/>
      <c r="J131" s="19"/>
      <c r="K131" s="8"/>
      <c r="L131" s="61"/>
      <c r="N131" s="57"/>
    </row>
    <row r="132" spans="1:14">
      <c r="A132" s="1" t="str">
        <f>SCALARS!A133</f>
        <v>Sunday</v>
      </c>
      <c r="B132" s="28">
        <f>SCALARS!B133</f>
        <v>46208</v>
      </c>
      <c r="C132" s="61">
        <f>SCALARS!C133</f>
        <v>3015.1563999999998</v>
      </c>
      <c r="E132" s="61"/>
      <c r="F132" s="61"/>
      <c r="G132" s="120"/>
      <c r="H132" s="47"/>
      <c r="I132" s="47"/>
      <c r="J132" s="19"/>
      <c r="K132" s="8"/>
      <c r="L132" s="61"/>
      <c r="N132" s="57"/>
    </row>
    <row r="133" spans="1:14">
      <c r="A133" s="1" t="str">
        <f>SCALARS!A134</f>
        <v>Monday</v>
      </c>
      <c r="B133" s="28">
        <f>SCALARS!B134</f>
        <v>46209</v>
      </c>
      <c r="C133" s="61">
        <f>SCALARS!C134</f>
        <v>3015.1736999999998</v>
      </c>
      <c r="D133" s="61">
        <f>J133/G133</f>
        <v>3014.936662899629</v>
      </c>
      <c r="E133" s="61"/>
      <c r="F133" s="61">
        <f t="shared" si="24"/>
        <v>0.23703710037079873</v>
      </c>
      <c r="G133" s="120">
        <v>33524.750699999997</v>
      </c>
      <c r="H133" s="47">
        <v>63741.3</v>
      </c>
      <c r="I133" s="47">
        <v>2136747558.9200001</v>
      </c>
      <c r="J133" s="19">
        <v>101075000</v>
      </c>
      <c r="K133" s="8">
        <f t="shared" si="26"/>
        <v>33522.18355948184</v>
      </c>
      <c r="L133" s="61">
        <f>J133/K133</f>
        <v>3015.1675478016605</v>
      </c>
      <c r="N133" s="57"/>
    </row>
    <row r="134" spans="1:14">
      <c r="A134" s="1" t="str">
        <f>SCALARS!A135</f>
        <v>Tuesday</v>
      </c>
      <c r="B134" s="28">
        <f>SCALARS!B135</f>
        <v>46210</v>
      </c>
      <c r="C134" s="61">
        <f>SCALARS!C135</f>
        <v>3015.1909999999998</v>
      </c>
      <c r="D134" s="61">
        <f>J134/G134</f>
        <v>3014.935753643198</v>
      </c>
      <c r="E134" s="61"/>
      <c r="F134" s="61">
        <f t="shared" si="24"/>
        <v>0.25524635680176289</v>
      </c>
      <c r="G134" s="120">
        <v>33392.088000000003</v>
      </c>
      <c r="H134" s="47">
        <v>63651.13</v>
      </c>
      <c r="I134" s="47">
        <v>2125268270.98</v>
      </c>
      <c r="J134" s="19">
        <v>100675000</v>
      </c>
      <c r="K134" s="8">
        <f t="shared" si="26"/>
        <v>33389.325075297173</v>
      </c>
      <c r="L134" s="61">
        <f>J134/K134</f>
        <v>3015.1852357891357</v>
      </c>
      <c r="N134" s="57"/>
    </row>
    <row r="135" spans="1:14">
      <c r="A135" s="1" t="str">
        <f>SCALARS!A136</f>
        <v>Wednesday</v>
      </c>
      <c r="B135" s="28">
        <f>SCALARS!B136</f>
        <v>46211</v>
      </c>
      <c r="C135" s="61">
        <f>SCALARS!C136</f>
        <v>3015.2082999999998</v>
      </c>
      <c r="D135" s="61">
        <f>J135/G135</f>
        <v>3014.935753643198</v>
      </c>
      <c r="E135" s="61"/>
      <c r="F135" s="61">
        <f t="shared" si="24"/>
        <v>0.27254635680174033</v>
      </c>
      <c r="G135" s="120">
        <v>33392.088000000003</v>
      </c>
      <c r="H135" s="47">
        <v>62140.83</v>
      </c>
      <c r="I135" s="174">
        <v>2074828201.6600001</v>
      </c>
      <c r="J135" s="19">
        <v>100675000</v>
      </c>
      <c r="K135" s="8">
        <f t="shared" si="26"/>
        <v>33389.129203134238</v>
      </c>
      <c r="L135" s="61">
        <f>J135/K135</f>
        <v>3015.2029239070312</v>
      </c>
      <c r="N135" s="57"/>
    </row>
    <row r="136" spans="1:14">
      <c r="A136" s="1" t="str">
        <f>SCALARS!A137</f>
        <v>Thursday</v>
      </c>
      <c r="B136" s="28">
        <f>SCALARS!B137</f>
        <v>46212</v>
      </c>
      <c r="C136" s="61">
        <f>SCALARS!C137</f>
        <v>3015.2256000000002</v>
      </c>
      <c r="D136" s="61">
        <f>J136/G136</f>
        <v>3014.9305944173916</v>
      </c>
      <c r="E136" s="61"/>
      <c r="F136" s="61">
        <f t="shared" si="24"/>
        <v>0.29500558260860998</v>
      </c>
      <c r="G136" s="120">
        <v>32760.289799999999</v>
      </c>
      <c r="H136" s="47">
        <v>63198.25</v>
      </c>
      <c r="I136" s="174">
        <v>2074828201.6600001</v>
      </c>
      <c r="J136" s="19">
        <v>98770000</v>
      </c>
      <c r="K136" s="8">
        <f t="shared" si="26"/>
        <v>32830.469224385168</v>
      </c>
      <c r="L136" s="61">
        <f>J136/K136</f>
        <v>3008.4857857175421</v>
      </c>
      <c r="N136" s="57"/>
    </row>
    <row r="137" spans="1:14">
      <c r="A137" s="1" t="str">
        <f>SCALARS!A138</f>
        <v>Friday</v>
      </c>
      <c r="B137" s="28">
        <f>SCALARS!B138</f>
        <v>46213</v>
      </c>
      <c r="C137" s="61">
        <f>SCALARS!C138</f>
        <v>3015.2429000000002</v>
      </c>
      <c r="D137" s="61">
        <f>J137/G137</f>
        <v>3014.9305944173916</v>
      </c>
      <c r="E137" s="61"/>
      <c r="F137" s="61">
        <f t="shared" si="24"/>
        <v>0.31230558260858743</v>
      </c>
      <c r="G137" s="120">
        <v>32760.289799999999</v>
      </c>
      <c r="H137" s="47">
        <v>63874.94</v>
      </c>
      <c r="I137" s="174">
        <v>2074828201.6600001</v>
      </c>
      <c r="J137" s="19">
        <v>98770000</v>
      </c>
      <c r="K137" s="8">
        <f t="shared" si="26"/>
        <v>32482.663806181266</v>
      </c>
      <c r="L137" s="61">
        <f>J137/K137</f>
        <v>3040.6988967821239</v>
      </c>
      <c r="N137" s="57"/>
    </row>
    <row r="138" spans="1:14">
      <c r="A138" s="1" t="str">
        <f>SCALARS!A139</f>
        <v>Saturday</v>
      </c>
      <c r="B138" s="28">
        <f>SCALARS!B139</f>
        <v>46214</v>
      </c>
      <c r="C138" s="61">
        <f>SCALARS!C139</f>
        <v>3015.2602000000002</v>
      </c>
      <c r="E138" s="61"/>
      <c r="F138" s="61"/>
      <c r="G138" s="120"/>
      <c r="H138" s="47"/>
      <c r="I138" s="47"/>
      <c r="J138" s="19"/>
      <c r="K138" s="8"/>
      <c r="L138" s="61"/>
      <c r="N138" s="57"/>
    </row>
    <row r="139" spans="1:14">
      <c r="A139" s="1" t="str">
        <f>SCALARS!A140</f>
        <v>Sunday</v>
      </c>
      <c r="B139" s="28">
        <f>SCALARS!B140</f>
        <v>46215</v>
      </c>
      <c r="C139" s="61">
        <f>SCALARS!C140</f>
        <v>3015.2775000000001</v>
      </c>
      <c r="E139" s="61"/>
      <c r="F139" s="61"/>
      <c r="G139" s="120"/>
      <c r="H139" s="47"/>
      <c r="I139" s="47"/>
      <c r="J139" s="19"/>
      <c r="K139" s="8"/>
      <c r="L139" s="61"/>
      <c r="N139" s="57"/>
    </row>
    <row r="140" spans="1:14">
      <c r="A140" s="1" t="str">
        <f>SCALARS!A141</f>
        <v>Monday</v>
      </c>
      <c r="B140" s="28">
        <f>SCALARS!B141</f>
        <v>46216</v>
      </c>
      <c r="C140" s="61">
        <f>SCALARS!C141</f>
        <v>3015.2948000000001</v>
      </c>
      <c r="D140" s="61">
        <f>J140/G140</f>
        <v>3015.1606870619826</v>
      </c>
      <c r="E140" s="61"/>
      <c r="F140" s="61">
        <f t="shared" si="24"/>
        <v>0.13411293801755164</v>
      </c>
      <c r="G140" s="120">
        <v>32757.789799999999</v>
      </c>
      <c r="H140" s="47">
        <v>62031.75</v>
      </c>
      <c r="I140" s="174">
        <v>2074828201.6600001</v>
      </c>
      <c r="J140" s="19">
        <v>98770000</v>
      </c>
      <c r="K140" s="8">
        <f t="shared" si="26"/>
        <v>33447.842462287459</v>
      </c>
      <c r="L140" s="61">
        <f>J140/K140</f>
        <v>2952.9557881457813</v>
      </c>
      <c r="M140" s="177"/>
      <c r="N140" s="57"/>
    </row>
    <row r="141" spans="1:14">
      <c r="A141" s="1" t="str">
        <f>SCALARS!A142</f>
        <v>Tuesday</v>
      </c>
      <c r="B141" s="28">
        <f>SCALARS!B142</f>
        <v>46217</v>
      </c>
      <c r="C141" s="61">
        <f>SCALARS!C142</f>
        <v>3015.3121000000001</v>
      </c>
      <c r="D141" s="61">
        <f>J141/G141</f>
        <v>3015.160911083377</v>
      </c>
      <c r="E141" s="61"/>
      <c r="F141" s="61">
        <f t="shared" si="24"/>
        <v>0.15118891662314127</v>
      </c>
      <c r="G141" s="120">
        <v>32814.169099999999</v>
      </c>
      <c r="H141" s="47">
        <v>64544.87</v>
      </c>
      <c r="I141" s="174">
        <v>2074828201.6600001</v>
      </c>
      <c r="J141" s="19">
        <v>98940000</v>
      </c>
      <c r="K141" s="8">
        <f t="shared" si="26"/>
        <v>32145.516780187179</v>
      </c>
      <c r="L141" s="61">
        <f>J141/K141</f>
        <v>3077.8786565030882</v>
      </c>
      <c r="M141" s="177"/>
      <c r="N141" s="57"/>
    </row>
    <row r="142" spans="1:14">
      <c r="A142" s="1" t="str">
        <f>SCALARS!A143</f>
        <v>Wednesday</v>
      </c>
      <c r="B142" s="28">
        <f>SCALARS!B143</f>
        <v>46218</v>
      </c>
      <c r="C142" s="61">
        <f>SCALARS!C143</f>
        <v>3015.3294000000001</v>
      </c>
      <c r="D142" s="61">
        <f t="shared" ref="D142:D158" si="27">J142/G142</f>
        <v>3015.160911083377</v>
      </c>
      <c r="E142" s="61"/>
      <c r="F142" s="61">
        <f t="shared" ref="F142:F158" si="28">C142-(D142+E142)</f>
        <v>0.16848891662311871</v>
      </c>
      <c r="G142" s="120">
        <v>32814.169099999999</v>
      </c>
      <c r="H142" s="47">
        <v>64862.14</v>
      </c>
      <c r="I142" s="174">
        <v>2074828201.6600001</v>
      </c>
      <c r="J142" s="19">
        <v>98940000</v>
      </c>
      <c r="K142" s="8">
        <f t="shared" si="26"/>
        <v>31988.278549859751</v>
      </c>
      <c r="L142" s="61">
        <f t="shared" ref="L142:L158" si="29">J142/G142</f>
        <v>3015.160911083377</v>
      </c>
      <c r="N142" s="57"/>
    </row>
    <row r="143" spans="1:14">
      <c r="A143" s="1" t="str">
        <f>SCALARS!A144</f>
        <v>Thursday</v>
      </c>
      <c r="B143" s="28">
        <f>SCALARS!B144</f>
        <v>46219</v>
      </c>
      <c r="C143" s="61">
        <f>SCALARS!C144</f>
        <v>3015.3467000000001</v>
      </c>
      <c r="D143" s="61">
        <f t="shared" si="27"/>
        <v>3015.160911083377</v>
      </c>
      <c r="E143" s="61"/>
      <c r="F143" s="61">
        <f t="shared" si="28"/>
        <v>0.18578891662309616</v>
      </c>
      <c r="G143" s="120">
        <v>32814.169099999999</v>
      </c>
      <c r="H143" s="47">
        <v>64185.440000000002</v>
      </c>
      <c r="I143" s="174">
        <v>2074828201.6600001</v>
      </c>
      <c r="J143" s="19">
        <v>98940000</v>
      </c>
      <c r="K143" s="8">
        <f t="shared" si="26"/>
        <v>32325.527435194024</v>
      </c>
      <c r="L143" s="61">
        <f t="shared" si="29"/>
        <v>3015.160911083377</v>
      </c>
      <c r="N143" s="57"/>
    </row>
    <row r="144" spans="1:14">
      <c r="A144" s="1" t="str">
        <f>SCALARS!A145</f>
        <v>Friday</v>
      </c>
      <c r="B144" s="28">
        <f>SCALARS!B145</f>
        <v>46220</v>
      </c>
      <c r="C144" s="61">
        <f>SCALARS!C145</f>
        <v>3015.364</v>
      </c>
      <c r="D144" s="61">
        <f>J144/G144</f>
        <v>3015.160911083377</v>
      </c>
      <c r="E144" s="61"/>
      <c r="F144" s="61">
        <f t="shared" si="28"/>
        <v>0.2030889166230736</v>
      </c>
      <c r="G144" s="120">
        <v>32814.169099999999</v>
      </c>
      <c r="H144" s="47">
        <v>64090.69</v>
      </c>
      <c r="I144" s="174">
        <v>2074828201.6600001</v>
      </c>
      <c r="J144" s="19">
        <v>98940000</v>
      </c>
      <c r="K144" s="8">
        <f t="shared" si="26"/>
        <v>32373.316649578901</v>
      </c>
      <c r="L144" s="61">
        <f t="shared" si="29"/>
        <v>3015.160911083377</v>
      </c>
      <c r="N144" s="57"/>
    </row>
    <row r="145" spans="1:14">
      <c r="A145" s="1" t="str">
        <f>SCALARS!A146</f>
        <v>Saturday</v>
      </c>
      <c r="B145" s="28">
        <f>SCALARS!B146</f>
        <v>46221</v>
      </c>
      <c r="C145" s="61">
        <f>SCALARS!C146</f>
        <v>3015.3813</v>
      </c>
      <c r="E145" s="61"/>
      <c r="F145" s="61"/>
      <c r="G145" s="120"/>
      <c r="H145" s="47"/>
      <c r="I145" s="47"/>
      <c r="J145" s="19"/>
      <c r="K145" s="8"/>
      <c r="L145" s="61"/>
      <c r="N145" s="57"/>
    </row>
    <row r="146" spans="1:14">
      <c r="A146" s="1" t="str">
        <f>SCALARS!A147</f>
        <v>Sunday</v>
      </c>
      <c r="B146" s="28">
        <f>SCALARS!B147</f>
        <v>46222</v>
      </c>
      <c r="C146" s="61">
        <f>SCALARS!C147</f>
        <v>3015.3986</v>
      </c>
      <c r="E146" s="61"/>
      <c r="F146" s="61"/>
      <c r="G146" s="120"/>
      <c r="H146" s="47"/>
      <c r="I146" s="47"/>
      <c r="J146" s="19"/>
      <c r="K146" s="8"/>
      <c r="L146" s="61"/>
      <c r="N146" s="57"/>
    </row>
    <row r="147" spans="1:14">
      <c r="A147" s="1" t="str">
        <f>SCALARS!A148</f>
        <v>Monday</v>
      </c>
      <c r="B147" s="28">
        <f>SCALARS!B148</f>
        <v>46223</v>
      </c>
      <c r="C147" s="61">
        <f>SCALARS!C148</f>
        <v>3015.4159</v>
      </c>
      <c r="D147" s="61">
        <f t="shared" si="27"/>
        <v>3015.1687182142614</v>
      </c>
      <c r="E147" s="61"/>
      <c r="F147" s="61">
        <f t="shared" si="28"/>
        <v>0.24718178573857585</v>
      </c>
      <c r="G147" s="120">
        <v>33931.766199999998</v>
      </c>
      <c r="H147" s="47">
        <v>65088.03</v>
      </c>
      <c r="I147" s="174">
        <v>2074828201.6600001</v>
      </c>
      <c r="J147" s="19">
        <v>102310000</v>
      </c>
      <c r="K147" s="8">
        <f t="shared" si="26"/>
        <v>31877.262250217133</v>
      </c>
      <c r="L147" s="61">
        <f t="shared" si="29"/>
        <v>3015.1687182142614</v>
      </c>
      <c r="N147" s="57"/>
    </row>
    <row r="148" spans="1:14">
      <c r="A148" s="1" t="str">
        <f>SCALARS!A149</f>
        <v>Tuesday</v>
      </c>
      <c r="B148" s="28">
        <f>SCALARS!B149</f>
        <v>46224</v>
      </c>
      <c r="C148" s="61">
        <f>SCALARS!C149</f>
        <v>3015.4331999999999</v>
      </c>
      <c r="D148" s="61">
        <f t="shared" si="27"/>
        <v>3015.3467415008326</v>
      </c>
      <c r="E148" s="61"/>
      <c r="F148" s="61">
        <f t="shared" si="28"/>
        <v>8.6458499167292757E-2</v>
      </c>
      <c r="G148" s="120">
        <v>34075.683100000002</v>
      </c>
      <c r="H148" s="47">
        <v>66373.679999999993</v>
      </c>
      <c r="I148" s="174">
        <v>2074828201.6600001</v>
      </c>
      <c r="J148" s="19">
        <v>102750000</v>
      </c>
      <c r="K148" s="8">
        <f t="shared" si="26"/>
        <v>31259.803609804374</v>
      </c>
      <c r="L148" s="61">
        <f t="shared" si="29"/>
        <v>3015.3467415008326</v>
      </c>
      <c r="N148" s="57"/>
    </row>
    <row r="149" spans="1:14">
      <c r="A149" s="1" t="str">
        <f>SCALARS!A150</f>
        <v>Wednesday</v>
      </c>
      <c r="B149" s="28">
        <f>SCALARS!B150</f>
        <v>46225</v>
      </c>
      <c r="C149" s="61">
        <f>SCALARS!C150</f>
        <v>3015.4504999999999</v>
      </c>
      <c r="D149" s="61">
        <f t="shared" si="27"/>
        <v>3015.3467415008326</v>
      </c>
      <c r="E149" s="61"/>
      <c r="F149" s="61">
        <f t="shared" si="28"/>
        <v>0.1037584991672702</v>
      </c>
      <c r="G149" s="120">
        <v>34075.683100000002</v>
      </c>
      <c r="H149" s="47">
        <v>65839.839999999997</v>
      </c>
      <c r="I149" s="174">
        <v>2074828201.6600001</v>
      </c>
      <c r="J149" s="19">
        <v>102750000</v>
      </c>
      <c r="K149" s="8">
        <f t="shared" si="26"/>
        <v>31513.2631194122</v>
      </c>
      <c r="L149" s="61">
        <f t="shared" si="29"/>
        <v>3015.3467415008326</v>
      </c>
      <c r="N149" s="57"/>
    </row>
    <row r="150" spans="1:14">
      <c r="A150" s="1" t="str">
        <f>SCALARS!A151</f>
        <v>Thursday</v>
      </c>
      <c r="B150" s="28">
        <f>SCALARS!B151</f>
        <v>46226</v>
      </c>
      <c r="C150" s="61">
        <f>SCALARS!C151</f>
        <v>3015.4677999999999</v>
      </c>
      <c r="D150" s="61">
        <f t="shared" si="27"/>
        <v>3015.3465407962126</v>
      </c>
      <c r="E150" s="61"/>
      <c r="F150" s="61">
        <f t="shared" si="28"/>
        <v>0.1212592037873037</v>
      </c>
      <c r="G150" s="120">
        <v>34009.358</v>
      </c>
      <c r="H150" s="47">
        <v>64768.94</v>
      </c>
      <c r="I150" s="47">
        <v>2202635492.1900001</v>
      </c>
      <c r="J150" s="19">
        <v>102550000</v>
      </c>
      <c r="K150" s="8">
        <f t="shared" si="26"/>
        <v>34007.589010874653</v>
      </c>
      <c r="L150" s="61">
        <f t="shared" si="29"/>
        <v>3015.3465407962126</v>
      </c>
      <c r="N150" s="57"/>
    </row>
    <row r="151" spans="1:14">
      <c r="A151" s="1" t="str">
        <f>SCALARS!A152</f>
        <v>Friday</v>
      </c>
      <c r="B151" s="28">
        <f>SCALARS!B152</f>
        <v>46227</v>
      </c>
      <c r="C151" s="61">
        <f>SCALARS!C152</f>
        <v>3015.4850999999999</v>
      </c>
      <c r="D151" s="61">
        <f t="shared" si="27"/>
        <v>3015.3465407962126</v>
      </c>
      <c r="E151" s="61"/>
      <c r="F151" s="61">
        <f t="shared" si="28"/>
        <v>0.13855920378728115</v>
      </c>
      <c r="G151" s="120">
        <v>34009.358</v>
      </c>
      <c r="H151" s="47">
        <v>64152</v>
      </c>
      <c r="I151" s="47">
        <v>2181642111.5300002</v>
      </c>
      <c r="J151" s="19">
        <v>102550000</v>
      </c>
      <c r="K151" s="8">
        <f t="shared" si="26"/>
        <v>34007.390440360396</v>
      </c>
      <c r="L151" s="61">
        <f t="shared" si="29"/>
        <v>3015.3465407962126</v>
      </c>
      <c r="N151" s="57"/>
    </row>
    <row r="152" spans="1:14">
      <c r="A152" s="1" t="str">
        <f>SCALARS!A153</f>
        <v>Saturday</v>
      </c>
      <c r="B152" s="28">
        <f>SCALARS!B153</f>
        <v>46228</v>
      </c>
      <c r="C152" s="61">
        <f>SCALARS!C153</f>
        <v>3015.5023999999999</v>
      </c>
      <c r="E152" s="61"/>
      <c r="F152" s="61"/>
      <c r="G152" s="120"/>
      <c r="H152" s="47"/>
      <c r="I152" s="47"/>
      <c r="J152" s="19"/>
      <c r="K152" s="8"/>
      <c r="L152" s="61"/>
      <c r="N152" s="57"/>
    </row>
    <row r="153" spans="1:14">
      <c r="A153" s="1" t="str">
        <f>SCALARS!A154</f>
        <v>Sunday</v>
      </c>
      <c r="B153" s="28">
        <f>SCALARS!B154</f>
        <v>46229</v>
      </c>
      <c r="C153" s="61">
        <f>SCALARS!C154</f>
        <v>3015.5196999999998</v>
      </c>
      <c r="E153" s="61"/>
      <c r="F153" s="61"/>
      <c r="G153" s="120"/>
      <c r="H153" s="47"/>
      <c r="I153" s="47"/>
      <c r="J153" s="19"/>
      <c r="K153" s="8"/>
      <c r="L153" s="61"/>
      <c r="N153" s="57"/>
    </row>
    <row r="154" spans="1:14">
      <c r="A154" s="1" t="str">
        <f>SCALARS!A155</f>
        <v>Monday</v>
      </c>
      <c r="B154" s="28">
        <f>SCALARS!B155</f>
        <v>46230</v>
      </c>
      <c r="C154" s="61">
        <f>SCALARS!C155</f>
        <v>3015.5369999999998</v>
      </c>
      <c r="D154" s="61">
        <f t="shared" si="27"/>
        <v>3015.3465407962126</v>
      </c>
      <c r="E154" s="61"/>
      <c r="F154" s="61">
        <f t="shared" si="28"/>
        <v>0.19045920378721348</v>
      </c>
      <c r="G154" s="120">
        <v>34009.358</v>
      </c>
      <c r="H154" s="47">
        <v>64894.12</v>
      </c>
      <c r="I154" s="47">
        <v>2206866790.1300001</v>
      </c>
      <c r="J154" s="19">
        <v>102550000</v>
      </c>
      <c r="K154" s="8">
        <f t="shared" si="26"/>
        <v>34007.191870850547</v>
      </c>
      <c r="L154" s="61">
        <f t="shared" si="29"/>
        <v>3015.3465407962126</v>
      </c>
      <c r="N154" s="57"/>
    </row>
    <row r="155" spans="1:14">
      <c r="A155" s="1" t="str">
        <f>SCALARS!A156</f>
        <v>Tuesday</v>
      </c>
      <c r="B155" s="28">
        <f>SCALARS!B156</f>
        <v>46231</v>
      </c>
      <c r="C155" s="61">
        <f>SCALARS!C156</f>
        <v>3015.5542999999998</v>
      </c>
      <c r="D155" s="61">
        <f t="shared" si="27"/>
        <v>3015.3465407962126</v>
      </c>
      <c r="E155" s="61"/>
      <c r="F155" s="61">
        <f t="shared" si="28"/>
        <v>0.20775920378719093</v>
      </c>
      <c r="G155" s="120">
        <v>34009.358</v>
      </c>
      <c r="H155" s="47">
        <v>63702</v>
      </c>
      <c r="I155" s="47">
        <v>2166313487.3600001</v>
      </c>
      <c r="J155" s="19">
        <v>102550000</v>
      </c>
      <c r="K155" s="8">
        <f t="shared" si="26"/>
        <v>34006.993302565068</v>
      </c>
      <c r="L155" s="61">
        <f t="shared" si="29"/>
        <v>3015.3465407962126</v>
      </c>
      <c r="N155" s="57"/>
    </row>
    <row r="156" spans="1:14">
      <c r="A156" s="1" t="str">
        <f>SCALARS!A157</f>
        <v>Wednesday</v>
      </c>
      <c r="B156" s="28">
        <f>SCALARS!B157</f>
        <v>46232</v>
      </c>
      <c r="C156" s="61">
        <f>SCALARS!C157</f>
        <v>3015.5716000000002</v>
      </c>
      <c r="D156" s="61">
        <f t="shared" si="27"/>
        <v>3015.345119733046</v>
      </c>
      <c r="E156" s="61"/>
      <c r="F156" s="61">
        <f t="shared" si="28"/>
        <v>0.22648026695424051</v>
      </c>
      <c r="G156" s="120">
        <v>33780.544500000004</v>
      </c>
      <c r="H156" s="47">
        <v>63960.47</v>
      </c>
      <c r="I156" s="47">
        <v>2160455554.8699999</v>
      </c>
      <c r="J156" s="19">
        <v>101860000</v>
      </c>
      <c r="K156" s="8">
        <f t="shared" si="26"/>
        <v>33777.981226060409</v>
      </c>
      <c r="L156" s="61">
        <f t="shared" si="29"/>
        <v>3015.345119733046</v>
      </c>
      <c r="N156" s="57"/>
    </row>
    <row r="157" spans="1:14">
      <c r="A157" s="1" t="str">
        <f>SCALARS!A158</f>
        <v>Thursday</v>
      </c>
      <c r="B157" s="28">
        <f>SCALARS!B158</f>
        <v>46233</v>
      </c>
      <c r="C157" s="61">
        <f>SCALARS!C158</f>
        <v>3015.5889000000002</v>
      </c>
      <c r="D157" s="61" t="e">
        <f t="shared" si="27"/>
        <v>#DIV/0!</v>
      </c>
      <c r="E157" s="61"/>
      <c r="F157" s="61" t="e">
        <f t="shared" si="28"/>
        <v>#DIV/0!</v>
      </c>
      <c r="G157" s="120"/>
      <c r="H157" s="47"/>
      <c r="I157" s="47"/>
      <c r="J157" s="19"/>
      <c r="K157" s="8" t="e">
        <f t="shared" si="26"/>
        <v>#DIV/0!</v>
      </c>
      <c r="L157" s="61" t="e">
        <f t="shared" si="29"/>
        <v>#DIV/0!</v>
      </c>
      <c r="N157" s="57"/>
    </row>
    <row r="158" spans="1:14">
      <c r="A158" s="1" t="str">
        <f>SCALARS!A159</f>
        <v>Friday</v>
      </c>
      <c r="B158" s="28">
        <f>SCALARS!B159</f>
        <v>46234</v>
      </c>
      <c r="C158" s="61">
        <f>SCALARS!C159</f>
        <v>3015.6062000000002</v>
      </c>
      <c r="D158" s="61" t="e">
        <f t="shared" si="27"/>
        <v>#DIV/0!</v>
      </c>
      <c r="E158" s="61"/>
      <c r="F158" s="61" t="e">
        <f t="shared" si="28"/>
        <v>#DIV/0!</v>
      </c>
      <c r="G158" s="120"/>
      <c r="H158" s="47"/>
      <c r="I158" s="47"/>
      <c r="J158" s="19"/>
      <c r="K158" s="8" t="e">
        <f t="shared" si="26"/>
        <v>#DIV/0!</v>
      </c>
      <c r="L158" s="61" t="e">
        <f t="shared" si="29"/>
        <v>#DIV/0!</v>
      </c>
      <c r="N158" s="57"/>
    </row>
    <row r="159" spans="1:14">
      <c r="B159" s="28"/>
      <c r="C159" s="61"/>
      <c r="E159" s="61"/>
      <c r="F159" s="61"/>
      <c r="G159" s="120"/>
      <c r="H159" s="47"/>
      <c r="I159" s="47"/>
      <c r="J159" s="19"/>
      <c r="K159" s="8"/>
      <c r="L159" s="61"/>
    </row>
    <row r="160" spans="1:14">
      <c r="B160" s="28"/>
      <c r="C160" s="61"/>
      <c r="E160" s="61"/>
      <c r="F160" s="61"/>
      <c r="G160" s="120"/>
      <c r="H160" s="47"/>
      <c r="I160" s="47"/>
      <c r="J160" s="19"/>
      <c r="K160" s="8"/>
      <c r="L160" s="61"/>
    </row>
    <row r="161" spans="2:12">
      <c r="B161" s="28"/>
      <c r="C161" s="61"/>
      <c r="E161" s="61"/>
      <c r="F161" s="61"/>
      <c r="G161" s="120"/>
      <c r="H161" s="47"/>
      <c r="I161" s="47"/>
      <c r="J161" s="19"/>
      <c r="K161" s="8"/>
      <c r="L161" s="61"/>
    </row>
    <row r="162" spans="2:12">
      <c r="B162" s="28"/>
      <c r="C162" s="61"/>
      <c r="E162" s="61"/>
      <c r="F162" s="61"/>
      <c r="G162" s="120"/>
      <c r="H162" s="47"/>
      <c r="I162" s="47"/>
      <c r="J162" s="19"/>
      <c r="K162" s="8"/>
      <c r="L162" s="61"/>
    </row>
    <row r="163" spans="2:12">
      <c r="B163" s="28"/>
      <c r="C163" s="61"/>
      <c r="E163" s="61"/>
      <c r="F163" s="61"/>
      <c r="G163" s="120"/>
      <c r="H163" s="47"/>
      <c r="I163" s="47"/>
      <c r="J163" s="19"/>
      <c r="K163" s="8"/>
      <c r="L163" s="61"/>
    </row>
    <row r="164" spans="2:12">
      <c r="B164" s="28"/>
      <c r="C164" s="61"/>
      <c r="E164" s="61"/>
      <c r="F164" s="61"/>
      <c r="G164" s="120"/>
      <c r="H164" s="47"/>
      <c r="I164" s="47"/>
      <c r="J164" s="19"/>
      <c r="K164" s="8"/>
      <c r="L164" s="61"/>
    </row>
    <row r="165" spans="2:12">
      <c r="B165" s="28"/>
      <c r="C165" s="61"/>
      <c r="E165" s="61"/>
      <c r="F165" s="61"/>
      <c r="G165" s="120"/>
      <c r="H165" s="47"/>
      <c r="I165" s="47"/>
      <c r="J165" s="19"/>
      <c r="K165" s="8"/>
      <c r="L165" s="61"/>
    </row>
    <row r="166" spans="2:12">
      <c r="B166" s="28"/>
      <c r="C166" s="61"/>
      <c r="E166" s="61"/>
      <c r="F166" s="61"/>
      <c r="G166" s="120"/>
      <c r="H166" s="47"/>
      <c r="I166" s="47"/>
      <c r="J166" s="19"/>
      <c r="K166" s="8"/>
      <c r="L166" s="61"/>
    </row>
    <row r="167" spans="2:12">
      <c r="B167" s="28"/>
      <c r="C167" s="61"/>
      <c r="E167" s="61"/>
      <c r="F167" s="61"/>
      <c r="G167" s="120"/>
      <c r="H167" s="47"/>
      <c r="I167" s="47"/>
      <c r="J167" s="19"/>
      <c r="K167" s="8"/>
      <c r="L167" s="61"/>
    </row>
    <row r="168" spans="2:12">
      <c r="B168" s="28"/>
      <c r="C168" s="61"/>
      <c r="E168" s="61"/>
      <c r="F168" s="61"/>
      <c r="G168" s="120"/>
      <c r="H168" s="47"/>
      <c r="I168" s="47"/>
      <c r="J168" s="19"/>
      <c r="K168" s="8"/>
      <c r="L168" s="61"/>
    </row>
    <row r="169" spans="2:12">
      <c r="B169" s="28"/>
      <c r="C169" s="61"/>
      <c r="E169" s="61"/>
      <c r="F169" s="61"/>
      <c r="G169" s="120"/>
      <c r="H169" s="47"/>
      <c r="I169" s="47"/>
      <c r="J169" s="19"/>
      <c r="K169" s="8"/>
      <c r="L169" s="61"/>
    </row>
    <row r="170" spans="2:12">
      <c r="B170" s="28"/>
      <c r="C170" s="61"/>
      <c r="E170" s="61"/>
      <c r="F170" s="61"/>
      <c r="G170" s="120"/>
      <c r="H170" s="47"/>
      <c r="I170" s="47"/>
      <c r="J170" s="19"/>
      <c r="K170" s="8"/>
      <c r="L170" s="61"/>
    </row>
    <row r="171" spans="2:12">
      <c r="B171" s="28"/>
      <c r="C171" s="61"/>
      <c r="E171" s="61"/>
      <c r="F171" s="61"/>
      <c r="G171" s="120"/>
      <c r="H171" s="47"/>
      <c r="I171" s="47"/>
      <c r="J171" s="19"/>
      <c r="K171" s="8"/>
      <c r="L171" s="61"/>
    </row>
    <row r="172" spans="2:12">
      <c r="B172" s="28"/>
      <c r="C172" s="61"/>
      <c r="E172" s="61"/>
      <c r="F172" s="61"/>
      <c r="G172" s="120"/>
      <c r="H172" s="47"/>
      <c r="I172" s="47"/>
      <c r="J172" s="19"/>
      <c r="K172" s="8"/>
      <c r="L172" s="61"/>
    </row>
    <row r="173" spans="2:12">
      <c r="B173" s="28"/>
      <c r="C173" s="61"/>
      <c r="E173" s="61"/>
      <c r="F173" s="61"/>
      <c r="G173" s="120"/>
      <c r="H173" s="47"/>
      <c r="I173" s="47"/>
      <c r="J173" s="19"/>
      <c r="K173" s="8"/>
      <c r="L173" s="61"/>
    </row>
    <row r="174" spans="2:12">
      <c r="B174" s="28"/>
      <c r="C174" s="61"/>
      <c r="E174" s="61"/>
      <c r="F174" s="61"/>
      <c r="G174" s="120"/>
      <c r="H174" s="47"/>
      <c r="I174" s="47"/>
      <c r="J174" s="19"/>
      <c r="K174" s="8"/>
      <c r="L174" s="61"/>
    </row>
    <row r="175" spans="2:12">
      <c r="B175" s="28"/>
      <c r="C175" s="61"/>
      <c r="E175" s="61"/>
      <c r="F175" s="61"/>
      <c r="G175" s="120"/>
      <c r="H175" s="47"/>
      <c r="I175" s="47"/>
      <c r="J175" s="19"/>
      <c r="K175" s="8"/>
      <c r="L175" s="61"/>
    </row>
    <row r="176" spans="2:12">
      <c r="B176" s="28"/>
      <c r="C176" s="61"/>
      <c r="E176" s="61"/>
      <c r="F176" s="61"/>
      <c r="G176" s="120"/>
      <c r="H176" s="47"/>
      <c r="I176" s="47"/>
      <c r="J176" s="19"/>
      <c r="K176" s="8"/>
      <c r="L176" s="61"/>
    </row>
  </sheetData>
  <phoneticPr fontId="23" type="noConversion"/>
  <hyperlinks>
    <hyperlink ref="A1" r:id="rId1" xr:uid="{E459955B-CDFB-452A-8770-458F406217B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303C-7CC5-4A16-ABEA-B8FB39C0A27A}">
  <sheetPr codeName="Sheet9">
    <tabColor theme="8" tint="0.79998168889431442"/>
  </sheetPr>
  <dimension ref="A1:T158"/>
  <sheetViews>
    <sheetView zoomScale="80" zoomScaleNormal="80" workbookViewId="0">
      <pane xSplit="5" ySplit="5" topLeftCell="F121" activePane="bottomRight" state="frozen"/>
      <selection pane="topRight" activeCell="F1" sqref="F1"/>
      <selection pane="bottomLeft" activeCell="A6" sqref="A6"/>
      <selection pane="bottomRight" activeCell="M157" sqref="M157"/>
    </sheetView>
  </sheetViews>
  <sheetFormatPr defaultColWidth="14" defaultRowHeight="15" customHeight="1"/>
  <cols>
    <col min="1" max="1" width="15.7109375" customWidth="1"/>
    <col min="2" max="2" width="10.28515625" bestFit="1" customWidth="1"/>
    <col min="3" max="4" width="12" bestFit="1" customWidth="1"/>
    <col min="5" max="5" width="10.140625" style="57" bestFit="1" customWidth="1"/>
    <col min="6" max="6" width="18.140625" style="47" bestFit="1" customWidth="1"/>
    <col min="7" max="7" width="17" bestFit="1" customWidth="1"/>
    <col min="8" max="8" width="11.28515625" bestFit="1" customWidth="1"/>
    <col min="9" max="9" width="13.42578125" bestFit="1" customWidth="1"/>
    <col min="10" max="10" width="19.140625" bestFit="1" customWidth="1"/>
    <col min="11" max="11" width="17.140625" bestFit="1" customWidth="1"/>
    <col min="12" max="12" width="8.85546875" style="1"/>
    <col min="13" max="13" width="21" style="3" bestFit="1" customWidth="1"/>
    <col min="14" max="14" width="14.5703125" style="67" bestFit="1" customWidth="1"/>
    <col min="15" max="15" width="19.5703125" style="67" bestFit="1" customWidth="1"/>
    <col min="16" max="16" width="19.5703125" style="82" bestFit="1" customWidth="1"/>
    <col min="17" max="17" width="15.7109375" bestFit="1" customWidth="1"/>
    <col min="18" max="18" width="15.7109375" style="11" bestFit="1" customWidth="1"/>
    <col min="20" max="20" width="14" style="11"/>
  </cols>
  <sheetData>
    <row r="1" spans="1:19" ht="15" customHeight="1">
      <c r="A1" s="5" t="s">
        <v>18</v>
      </c>
      <c r="D1" s="1"/>
      <c r="E1" s="1"/>
      <c r="G1" s="1"/>
      <c r="H1" s="1"/>
      <c r="K1" s="1"/>
      <c r="L1" s="84"/>
      <c r="N1" s="81"/>
      <c r="O1" s="81"/>
      <c r="P1" s="81"/>
    </row>
    <row r="2" spans="1:19" s="1" customFormat="1" ht="15" customHeight="1">
      <c r="A2" s="5"/>
      <c r="F2" s="47"/>
      <c r="I2"/>
      <c r="J2"/>
      <c r="L2" s="84"/>
      <c r="M2" s="3"/>
      <c r="N2" s="81"/>
      <c r="O2" s="81"/>
      <c r="P2" s="81"/>
      <c r="R2" s="14"/>
    </row>
    <row r="3" spans="1:19" s="1" customFormat="1" ht="15" customHeight="1">
      <c r="A3" s="5"/>
      <c r="E3" s="57"/>
      <c r="F3" s="47"/>
      <c r="I3"/>
      <c r="J3"/>
      <c r="M3" s="3"/>
      <c r="N3" s="67"/>
      <c r="O3" s="67"/>
      <c r="P3" s="82"/>
      <c r="R3" s="14"/>
    </row>
    <row r="4" spans="1:19" s="1" customFormat="1" ht="15" customHeight="1">
      <c r="A4" s="5"/>
      <c r="E4" s="57"/>
      <c r="F4" s="47"/>
      <c r="I4"/>
      <c r="J4"/>
      <c r="M4" s="3"/>
      <c r="N4" s="67"/>
      <c r="O4" s="67"/>
      <c r="P4" s="82"/>
      <c r="R4" s="14"/>
    </row>
    <row r="5" spans="1:19" s="1" customFormat="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22" t="s">
        <v>19</v>
      </c>
      <c r="G5" s="22" t="s">
        <v>9</v>
      </c>
      <c r="H5" s="21" t="s">
        <v>7</v>
      </c>
      <c r="I5" s="54" t="s">
        <v>56</v>
      </c>
      <c r="J5" s="45" t="s">
        <v>66</v>
      </c>
      <c r="K5" s="44" t="s">
        <v>1</v>
      </c>
      <c r="L5" s="50"/>
      <c r="M5" s="3"/>
      <c r="N5" s="83"/>
      <c r="O5" s="83"/>
      <c r="P5" s="83"/>
      <c r="Q5" s="14"/>
      <c r="R5" s="4"/>
      <c r="S5" s="14"/>
    </row>
    <row r="6" spans="1:19" s="1" customFormat="1" ht="15" customHeight="1">
      <c r="A6" s="1" t="str">
        <f>SCALARS!A7</f>
        <v>Sunday</v>
      </c>
      <c r="B6" s="28">
        <f>SCALARS!B7</f>
        <v>46082</v>
      </c>
      <c r="C6" s="61">
        <f>SCALARS!G7</f>
        <v>945.3954</v>
      </c>
      <c r="D6" s="61"/>
      <c r="E6" s="61"/>
      <c r="F6" s="47"/>
      <c r="G6" s="19"/>
      <c r="H6" s="8"/>
      <c r="I6" s="47"/>
      <c r="J6" s="20"/>
      <c r="K6" s="46"/>
      <c r="M6" s="3"/>
      <c r="N6" s="67"/>
      <c r="O6" s="67"/>
      <c r="P6" s="82"/>
      <c r="Q6" s="14"/>
      <c r="R6" s="4"/>
      <c r="S6" s="14"/>
    </row>
    <row r="7" spans="1:19" s="1" customFormat="1" ht="15" customHeight="1">
      <c r="A7" s="1" t="str">
        <f>SCALARS!A8</f>
        <v>Monday</v>
      </c>
      <c r="B7" s="28">
        <f>SCALARS!B8</f>
        <v>46083</v>
      </c>
      <c r="C7" s="61">
        <f>SCALARS!G8</f>
        <v>945.40189999999996</v>
      </c>
      <c r="D7" s="61"/>
      <c r="E7" s="61"/>
      <c r="F7" s="47"/>
      <c r="G7" s="19"/>
      <c r="H7" s="8"/>
      <c r="I7" s="47"/>
      <c r="J7" s="20"/>
      <c r="K7" s="46"/>
      <c r="M7" s="3"/>
      <c r="N7" s="67"/>
      <c r="O7" s="67"/>
      <c r="P7" s="82"/>
      <c r="Q7" s="14"/>
      <c r="R7" s="4"/>
      <c r="S7" s="14"/>
    </row>
    <row r="8" spans="1:19" s="1" customFormat="1" ht="15" customHeight="1">
      <c r="A8" s="1" t="str">
        <f>SCALARS!A9</f>
        <v>Tuesday</v>
      </c>
      <c r="B8" s="28">
        <f>SCALARS!B9</f>
        <v>46084</v>
      </c>
      <c r="C8" s="61">
        <f>SCALARS!G9</f>
        <v>945.40840000000003</v>
      </c>
      <c r="D8" s="61"/>
      <c r="E8" s="61"/>
      <c r="F8" s="47"/>
      <c r="G8" s="19"/>
      <c r="H8" s="8"/>
      <c r="I8" s="47"/>
      <c r="J8" s="20"/>
      <c r="K8" s="46"/>
      <c r="M8" s="3"/>
      <c r="N8" s="67"/>
      <c r="O8" s="67"/>
      <c r="P8" s="82"/>
      <c r="Q8" s="14"/>
      <c r="R8" s="4"/>
      <c r="S8" s="14"/>
    </row>
    <row r="9" spans="1:19" s="1" customFormat="1" ht="15" customHeight="1">
      <c r="A9" s="1" t="str">
        <f>SCALARS!A10</f>
        <v>Wednesday</v>
      </c>
      <c r="B9" s="28">
        <f>SCALARS!B10</f>
        <v>46085</v>
      </c>
      <c r="C9" s="61">
        <f>SCALARS!G10</f>
        <v>945.41489999999999</v>
      </c>
      <c r="D9" s="61"/>
      <c r="E9" s="61"/>
      <c r="F9" s="47"/>
      <c r="G9" s="19"/>
      <c r="H9" s="8"/>
      <c r="I9" s="47"/>
      <c r="J9" s="20"/>
      <c r="K9" s="46"/>
      <c r="M9" s="3"/>
      <c r="N9" s="67"/>
      <c r="O9" s="67"/>
      <c r="P9" s="82"/>
      <c r="Q9" s="14"/>
      <c r="R9" s="4"/>
      <c r="S9" s="14"/>
    </row>
    <row r="10" spans="1:19" s="1" customFormat="1" ht="15" customHeight="1">
      <c r="A10" s="1" t="str">
        <f>SCALARS!A11</f>
        <v>Thursday</v>
      </c>
      <c r="B10" s="28">
        <f>SCALARS!B11</f>
        <v>46086</v>
      </c>
      <c r="C10" s="61">
        <f>SCALARS!G11</f>
        <v>945.42139999999995</v>
      </c>
      <c r="D10" s="61"/>
      <c r="E10" s="61"/>
      <c r="F10" s="47"/>
      <c r="G10" s="19"/>
      <c r="H10" s="8"/>
      <c r="I10" s="47"/>
      <c r="J10" s="20"/>
      <c r="K10" s="46"/>
      <c r="M10" s="3"/>
      <c r="N10" s="67"/>
      <c r="O10" s="67"/>
      <c r="P10" s="82"/>
      <c r="Q10" s="14"/>
      <c r="R10" s="4"/>
      <c r="S10" s="14"/>
    </row>
    <row r="11" spans="1:19" s="1" customFormat="1" ht="15" customHeight="1">
      <c r="A11" s="1" t="str">
        <f>SCALARS!A12</f>
        <v>Friday</v>
      </c>
      <c r="B11" s="28">
        <f>SCALARS!B12</f>
        <v>46087</v>
      </c>
      <c r="C11" s="61">
        <f>SCALARS!G12</f>
        <v>945.42790000000002</v>
      </c>
      <c r="D11" s="61"/>
      <c r="E11" s="61"/>
      <c r="F11" s="47"/>
      <c r="G11" s="19"/>
      <c r="H11" s="8"/>
      <c r="I11" s="47"/>
      <c r="J11" s="20"/>
      <c r="K11" s="58"/>
      <c r="M11" s="3"/>
      <c r="N11" s="67"/>
      <c r="O11" s="67"/>
      <c r="P11" s="82"/>
      <c r="Q11" s="14"/>
      <c r="R11" s="4"/>
      <c r="S11" s="14"/>
    </row>
    <row r="12" spans="1:19" s="1" customFormat="1" ht="15" customHeight="1">
      <c r="A12" s="1" t="str">
        <f>SCALARS!A13</f>
        <v>Saturday</v>
      </c>
      <c r="B12" s="28">
        <f>SCALARS!B13</f>
        <v>46088</v>
      </c>
      <c r="C12" s="61">
        <f>SCALARS!G13</f>
        <v>945.43439999999998</v>
      </c>
      <c r="D12" s="61"/>
      <c r="E12" s="61"/>
      <c r="F12" s="47"/>
      <c r="G12" s="19"/>
      <c r="H12" s="8"/>
      <c r="I12" s="47"/>
      <c r="J12" s="20"/>
      <c r="K12" s="58"/>
      <c r="M12" s="3"/>
      <c r="N12" s="67"/>
      <c r="O12" s="67"/>
      <c r="P12" s="82"/>
      <c r="R12" s="14"/>
    </row>
    <row r="13" spans="1:19" s="1" customFormat="1" ht="15" customHeight="1">
      <c r="A13" s="1" t="str">
        <f>SCALARS!A14</f>
        <v>Sunday</v>
      </c>
      <c r="B13" s="28">
        <f>SCALARS!B14</f>
        <v>46089</v>
      </c>
      <c r="C13" s="61">
        <f>SCALARS!G14</f>
        <v>945.44090000000006</v>
      </c>
      <c r="D13" s="61"/>
      <c r="E13" s="61"/>
      <c r="F13" s="47"/>
      <c r="G13" s="19"/>
      <c r="H13" s="8"/>
      <c r="I13" s="47"/>
      <c r="J13" s="20"/>
      <c r="K13" s="58"/>
      <c r="M13" s="3"/>
      <c r="N13" s="67"/>
      <c r="O13" s="67"/>
      <c r="P13" s="82"/>
      <c r="R13" s="14"/>
    </row>
    <row r="14" spans="1:19" s="1" customFormat="1" ht="15" customHeight="1">
      <c r="A14" s="1" t="str">
        <f>SCALARS!A15</f>
        <v>Monday</v>
      </c>
      <c r="B14" s="28">
        <f>SCALARS!B15</f>
        <v>46090</v>
      </c>
      <c r="C14" s="61">
        <f>SCALARS!G15</f>
        <v>945.44740000000002</v>
      </c>
      <c r="D14" s="61">
        <f>G14/J14</f>
        <v>945.44607938671049</v>
      </c>
      <c r="E14" s="61">
        <f>C14-D14</f>
        <v>1.3206132895220435E-3</v>
      </c>
      <c r="F14" s="47">
        <v>148956.66999999998</v>
      </c>
      <c r="G14" s="19">
        <v>2045000</v>
      </c>
      <c r="H14" s="8">
        <v>2163</v>
      </c>
      <c r="I14" s="47">
        <f>ARKB!H14</f>
        <v>68865.77</v>
      </c>
      <c r="J14" s="20">
        <f>1000*F14/I14</f>
        <v>2163.0001378043107</v>
      </c>
      <c r="K14" s="58">
        <f>G14/H14</f>
        <v>945.44613962089693</v>
      </c>
      <c r="M14" s="3"/>
      <c r="N14" s="67"/>
      <c r="O14" s="67"/>
      <c r="P14" s="82"/>
      <c r="R14" s="14"/>
    </row>
    <row r="15" spans="1:19" s="1" customFormat="1" ht="15" customHeight="1">
      <c r="A15" s="1" t="str">
        <f>SCALARS!A16</f>
        <v>Tuesday</v>
      </c>
      <c r="B15" s="28">
        <f>SCALARS!B16</f>
        <v>46091</v>
      </c>
      <c r="C15" s="61">
        <f>SCALARS!G16</f>
        <v>945.45389999999998</v>
      </c>
      <c r="D15" s="61">
        <f>G15/J15</f>
        <v>945.45128382421694</v>
      </c>
      <c r="E15" s="61">
        <f t="shared" ref="E15:E67" si="0">C15-D15</f>
        <v>2.616175783032304E-3</v>
      </c>
      <c r="F15" s="47">
        <v>151451.03</v>
      </c>
      <c r="G15" s="19">
        <v>2045000</v>
      </c>
      <c r="H15" s="8">
        <v>2163</v>
      </c>
      <c r="I15" s="47">
        <f>ARKB!H15</f>
        <v>70019.350000000006</v>
      </c>
      <c r="J15" s="20">
        <f>1000*F15/I15</f>
        <v>2162.9882311104002</v>
      </c>
      <c r="K15" s="58">
        <f>G15/H15</f>
        <v>945.44613962089693</v>
      </c>
      <c r="L15" s="4"/>
      <c r="M15" s="3"/>
      <c r="N15" s="67"/>
      <c r="O15" s="67"/>
      <c r="P15" s="82"/>
      <c r="R15" s="14"/>
    </row>
    <row r="16" spans="1:19" s="1" customFormat="1" ht="15" customHeight="1">
      <c r="A16" s="1" t="str">
        <f>SCALARS!A17</f>
        <v>Wednesday</v>
      </c>
      <c r="B16" s="28">
        <f>SCALARS!B17</f>
        <v>46092</v>
      </c>
      <c r="C16" s="61">
        <f>SCALARS!G17</f>
        <v>945.46040000000005</v>
      </c>
      <c r="D16" s="61">
        <f>G16/J16</f>
        <v>945.45722250737242</v>
      </c>
      <c r="E16" s="61">
        <f t="shared" si="0"/>
        <v>3.1774926276284532E-3</v>
      </c>
      <c r="F16" s="47">
        <v>152706.94</v>
      </c>
      <c r="G16" s="19">
        <v>2045000</v>
      </c>
      <c r="H16" s="8"/>
      <c r="I16" s="47">
        <f>ARKB!H16</f>
        <v>70600.429999999993</v>
      </c>
      <c r="J16" s="20">
        <f>1000*F16/I16</f>
        <v>2162.974644771994</v>
      </c>
      <c r="K16" s="58"/>
      <c r="L16" s="4"/>
      <c r="M16" s="3"/>
      <c r="N16" s="67"/>
      <c r="O16" s="67"/>
      <c r="P16" s="82"/>
      <c r="R16" s="14"/>
    </row>
    <row r="17" spans="1:19" s="1" customFormat="1" ht="15" customHeight="1">
      <c r="A17" s="1" t="str">
        <f>SCALARS!A18</f>
        <v>Thursday</v>
      </c>
      <c r="B17" s="28">
        <f>SCALARS!B18</f>
        <v>46093</v>
      </c>
      <c r="C17" s="61">
        <f>SCALARS!G18</f>
        <v>945.46690000000001</v>
      </c>
      <c r="D17" s="61">
        <f>G17/J17</f>
        <v>945.46414972209595</v>
      </c>
      <c r="E17" s="61">
        <f t="shared" si="0"/>
        <v>2.7502779040560199E-3</v>
      </c>
      <c r="F17" s="47">
        <v>151802.31</v>
      </c>
      <c r="G17" s="19">
        <v>2045000</v>
      </c>
      <c r="H17" s="8">
        <v>2163</v>
      </c>
      <c r="I17" s="47">
        <f>ARKB!H17</f>
        <v>70182.710000000006</v>
      </c>
      <c r="J17" s="20">
        <f>1000*F17/I17</f>
        <v>2162.9587971168394</v>
      </c>
      <c r="K17" s="58">
        <f>G17/H17</f>
        <v>945.44613962089693</v>
      </c>
      <c r="M17" s="3"/>
      <c r="N17" s="67"/>
      <c r="O17" s="67"/>
      <c r="P17" s="82"/>
      <c r="R17" s="14"/>
    </row>
    <row r="18" spans="1:19" s="1" customFormat="1" ht="15" customHeight="1">
      <c r="A18" s="1" t="str">
        <f>SCALARS!A19</f>
        <v>Friday</v>
      </c>
      <c r="B18" s="28">
        <f>SCALARS!B19</f>
        <v>46094</v>
      </c>
      <c r="C18" s="61">
        <f>SCALARS!G19</f>
        <v>945.47339999999997</v>
      </c>
      <c r="D18" s="61">
        <f>G18/J18</f>
        <v>945.46951825896053</v>
      </c>
      <c r="E18" s="61">
        <f t="shared" si="0"/>
        <v>3.8817410394358376E-3</v>
      </c>
      <c r="F18" s="47">
        <v>153901.15</v>
      </c>
      <c r="G18" s="19">
        <v>2045000</v>
      </c>
      <c r="H18" s="8">
        <v>2163</v>
      </c>
      <c r="I18" s="47">
        <f>ARKB!H18</f>
        <v>71153.47</v>
      </c>
      <c r="J18" s="20">
        <f>1000*F18/I18</f>
        <v>2162.9465154686059</v>
      </c>
      <c r="K18" s="58">
        <f>G18/H18</f>
        <v>945.44613962089693</v>
      </c>
      <c r="M18" s="3"/>
      <c r="N18" s="67"/>
      <c r="O18" s="67"/>
      <c r="P18" s="82"/>
      <c r="R18" s="14"/>
    </row>
    <row r="19" spans="1:19" s="1" customFormat="1" ht="15" customHeight="1">
      <c r="A19" s="1" t="str">
        <f>SCALARS!A20</f>
        <v>Saturday</v>
      </c>
      <c r="B19" s="28">
        <f>SCALARS!B20</f>
        <v>46095</v>
      </c>
      <c r="C19" s="61">
        <f>SCALARS!G20</f>
        <v>945.47990000000004</v>
      </c>
      <c r="D19" s="61"/>
      <c r="E19" s="61"/>
      <c r="F19" s="47">
        <v>0</v>
      </c>
      <c r="G19" s="19"/>
      <c r="H19" s="8"/>
      <c r="I19" s="47"/>
      <c r="J19" s="20"/>
      <c r="K19" s="58"/>
      <c r="M19" s="3"/>
      <c r="N19" s="67"/>
      <c r="O19" s="67"/>
      <c r="P19" s="82"/>
      <c r="Q19" s="15"/>
      <c r="R19" s="14"/>
      <c r="S19" s="2"/>
    </row>
    <row r="20" spans="1:19" ht="15" customHeight="1">
      <c r="A20" s="1" t="str">
        <f>SCALARS!A21</f>
        <v>Sunday</v>
      </c>
      <c r="B20" s="28">
        <f>SCALARS!B21</f>
        <v>46096</v>
      </c>
      <c r="C20" s="61">
        <f>SCALARS!G21</f>
        <v>945.4864</v>
      </c>
      <c r="D20" s="61"/>
      <c r="E20" s="61"/>
      <c r="F20" s="47">
        <v>0</v>
      </c>
      <c r="G20" s="19"/>
      <c r="H20" s="8"/>
      <c r="I20" s="47"/>
      <c r="J20" s="20"/>
      <c r="K20" s="58"/>
      <c r="R20" s="14"/>
    </row>
    <row r="21" spans="1:19" ht="15" customHeight="1">
      <c r="A21" s="1" t="str">
        <f>SCALARS!A22</f>
        <v>Monday</v>
      </c>
      <c r="B21" s="28">
        <f>SCALARS!B22</f>
        <v>46097</v>
      </c>
      <c r="C21" s="61">
        <f>SCALARS!G22</f>
        <v>945.49289999999996</v>
      </c>
      <c r="D21" s="61">
        <f>G21/J21</f>
        <v>945.48506651736614</v>
      </c>
      <c r="E21" s="61">
        <f t="shared" si="0"/>
        <v>7.8334826338277708E-3</v>
      </c>
      <c r="F21" s="47">
        <v>160213.79999999999</v>
      </c>
      <c r="G21" s="19">
        <v>2045000</v>
      </c>
      <c r="H21" s="8">
        <v>2163</v>
      </c>
      <c r="I21" s="47">
        <f>ARKB!H21</f>
        <v>74073.23</v>
      </c>
      <c r="J21" s="20">
        <f>1000*F21/I21</f>
        <v>2162.9109463702339</v>
      </c>
      <c r="K21" s="58">
        <f>G21/H21</f>
        <v>945.44613962089693</v>
      </c>
      <c r="R21" s="14"/>
    </row>
    <row r="22" spans="1:19" ht="15" customHeight="1">
      <c r="A22" s="1" t="str">
        <f>SCALARS!A23</f>
        <v>Tuesday</v>
      </c>
      <c r="B22" s="28">
        <f>SCALARS!B23</f>
        <v>46098</v>
      </c>
      <c r="C22" s="61">
        <f>SCALARS!G23</f>
        <v>945.49940000000004</v>
      </c>
      <c r="D22" s="61"/>
      <c r="E22" s="61"/>
      <c r="F22" s="47">
        <v>0</v>
      </c>
      <c r="G22" s="19"/>
      <c r="H22" s="8"/>
      <c r="I22" s="47"/>
      <c r="J22" s="20"/>
      <c r="K22" s="58"/>
      <c r="R22" s="14"/>
    </row>
    <row r="23" spans="1:19" ht="15" customHeight="1">
      <c r="A23" s="1" t="str">
        <f>SCALARS!A24</f>
        <v>Wednesday</v>
      </c>
      <c r="B23" s="28">
        <f>SCALARS!B24</f>
        <v>46099</v>
      </c>
      <c r="C23" s="61">
        <f>SCALARS!G24</f>
        <v>945.5059</v>
      </c>
      <c r="D23" s="61">
        <f>G23/J23</f>
        <v>945.50241381126102</v>
      </c>
      <c r="E23" s="61">
        <f t="shared" si="0"/>
        <v>3.4861887389752155E-3</v>
      </c>
      <c r="F23" s="47">
        <v>154015.76999999999</v>
      </c>
      <c r="G23" s="19">
        <v>2045000</v>
      </c>
      <c r="H23" s="8"/>
      <c r="I23" s="47">
        <f>ARKB!H23</f>
        <v>71208.94</v>
      </c>
      <c r="J23" s="20">
        <f>1000*F23/I23</f>
        <v>2162.8712630745522</v>
      </c>
      <c r="K23" s="58"/>
    </row>
    <row r="24" spans="1:19" ht="15" customHeight="1">
      <c r="A24" s="1" t="str">
        <f>SCALARS!A25</f>
        <v>Thursday</v>
      </c>
      <c r="B24" s="28">
        <f>SCALARS!B25</f>
        <v>46100</v>
      </c>
      <c r="C24" s="61">
        <f>SCALARS!G25</f>
        <v>945.51239999999996</v>
      </c>
      <c r="D24" s="61">
        <f>G24/J24</f>
        <v>945.51044586686078</v>
      </c>
      <c r="E24" s="61">
        <f t="shared" si="0"/>
        <v>1.9541331391792482E-3</v>
      </c>
      <c r="F24" s="47">
        <v>152032.38</v>
      </c>
      <c r="G24" s="19">
        <v>2045000</v>
      </c>
      <c r="H24" s="8"/>
      <c r="I24" s="47">
        <f>ARKB!H24</f>
        <v>70292.52</v>
      </c>
      <c r="J24" s="20">
        <f>1000*F24/I24</f>
        <v>2162.8528896104449</v>
      </c>
      <c r="K24" s="58"/>
    </row>
    <row r="25" spans="1:19" ht="15" customHeight="1">
      <c r="A25" s="1" t="str">
        <f>SCALARS!A26</f>
        <v>Friday</v>
      </c>
      <c r="B25" s="28">
        <f>SCALARS!B26</f>
        <v>46101</v>
      </c>
      <c r="C25" s="61">
        <f>SCALARS!G26</f>
        <v>945.51890000000003</v>
      </c>
      <c r="D25" s="61">
        <f>G25/J25</f>
        <v>945.51763771940318</v>
      </c>
      <c r="E25" s="61">
        <f t="shared" si="0"/>
        <v>1.2622805968476314E-3</v>
      </c>
      <c r="F25" s="47">
        <v>151124.13</v>
      </c>
      <c r="G25" s="19">
        <v>2045000</v>
      </c>
      <c r="H25" s="8"/>
      <c r="I25" s="47">
        <f>ARKB!H25</f>
        <v>69873.119999999995</v>
      </c>
      <c r="J25" s="20">
        <f>1000*F25/I25</f>
        <v>2162.8364383900421</v>
      </c>
      <c r="K25" s="58"/>
    </row>
    <row r="26" spans="1:19" ht="15" customHeight="1">
      <c r="A26" s="1" t="str">
        <f>SCALARS!A27</f>
        <v>Saturday</v>
      </c>
      <c r="B26" s="28">
        <f>SCALARS!B27</f>
        <v>46102</v>
      </c>
      <c r="C26" s="61">
        <f>SCALARS!G27</f>
        <v>945.52539999999999</v>
      </c>
      <c r="D26" s="61"/>
      <c r="E26" s="61"/>
      <c r="F26" s="47">
        <v>0</v>
      </c>
      <c r="G26" s="19"/>
      <c r="H26" s="8"/>
      <c r="I26" s="47"/>
      <c r="J26" s="20"/>
      <c r="K26" s="58"/>
    </row>
    <row r="27" spans="1:19" ht="15" customHeight="1">
      <c r="A27" s="1" t="str">
        <f>SCALARS!A28</f>
        <v>Sunday</v>
      </c>
      <c r="B27" s="28">
        <f>SCALARS!B28</f>
        <v>46103</v>
      </c>
      <c r="C27" s="61">
        <f>SCALARS!G28</f>
        <v>945.53189999999995</v>
      </c>
      <c r="D27" s="61"/>
      <c r="E27" s="61"/>
      <c r="F27" s="47">
        <v>0</v>
      </c>
      <c r="G27" s="19"/>
      <c r="H27" s="8"/>
      <c r="I27" s="47"/>
      <c r="J27" s="20"/>
      <c r="K27" s="58"/>
    </row>
    <row r="28" spans="1:19" ht="15" customHeight="1">
      <c r="A28" s="1" t="str">
        <f>SCALARS!A29</f>
        <v>Monday</v>
      </c>
      <c r="B28" s="28">
        <f>SCALARS!B29</f>
        <v>46104</v>
      </c>
      <c r="C28" s="61">
        <f>SCALARS!G29</f>
        <v>945.53840000000002</v>
      </c>
      <c r="D28" s="61"/>
      <c r="E28" s="61"/>
      <c r="F28" s="47">
        <v>0</v>
      </c>
      <c r="G28" s="19"/>
      <c r="H28" s="8"/>
      <c r="I28" s="47"/>
      <c r="J28" s="20"/>
      <c r="K28" s="58"/>
    </row>
    <row r="29" spans="1:19" ht="15" customHeight="1">
      <c r="A29" s="1" t="str">
        <f>SCALARS!A30</f>
        <v>Tuesday</v>
      </c>
      <c r="B29" s="28">
        <f>SCALARS!B30</f>
        <v>46105</v>
      </c>
      <c r="C29" s="61">
        <f>SCALARS!G30</f>
        <v>945.54489999999998</v>
      </c>
      <c r="D29" s="61">
        <f>G29/J29</f>
        <v>945.54459533266856</v>
      </c>
      <c r="E29" s="61">
        <f t="shared" si="0"/>
        <v>3.046673314202053E-4</v>
      </c>
      <c r="F29" s="47">
        <v>150208.32000000001</v>
      </c>
      <c r="G29" s="19">
        <v>2045000</v>
      </c>
      <c r="H29" s="8"/>
      <c r="I29" s="47">
        <f>ARKB!H29</f>
        <v>69451.67</v>
      </c>
      <c r="J29" s="20">
        <f>1000*F29/I29</f>
        <v>2162.7747756101476</v>
      </c>
      <c r="K29" s="58"/>
    </row>
    <row r="30" spans="1:19" ht="15" customHeight="1">
      <c r="A30" s="1" t="str">
        <f>SCALARS!A31</f>
        <v>Wednesday</v>
      </c>
      <c r="B30" s="28">
        <f>SCALARS!B31</f>
        <v>46106</v>
      </c>
      <c r="C30" s="61">
        <f>SCALARS!G31</f>
        <v>945.55139999999994</v>
      </c>
      <c r="D30" s="61">
        <f>G30/J30</f>
        <v>945.54782256967189</v>
      </c>
      <c r="E30" s="61">
        <f t="shared" si="0"/>
        <v>3.5774303280504682E-3</v>
      </c>
      <c r="F30" s="47">
        <v>153305.01999999999</v>
      </c>
      <c r="G30" s="19">
        <v>2045000</v>
      </c>
      <c r="H30" s="8"/>
      <c r="I30" s="47">
        <f>ARKB!H30</f>
        <v>70883.73</v>
      </c>
      <c r="J30" s="20">
        <f>1000*F30/I30</f>
        <v>2162.7673938716262</v>
      </c>
      <c r="K30" s="58"/>
    </row>
    <row r="31" spans="1:19" ht="15" customHeight="1">
      <c r="A31" s="1" t="str">
        <f>SCALARS!A32</f>
        <v>Thursday</v>
      </c>
      <c r="B31" s="28">
        <f>SCALARS!B32</f>
        <v>46107</v>
      </c>
      <c r="C31" s="61">
        <f>SCALARS!G32</f>
        <v>945.55790000000002</v>
      </c>
      <c r="D31" s="61">
        <f>G31/J31</f>
        <v>945.56005245846563</v>
      </c>
      <c r="E31" s="61">
        <f t="shared" si="0"/>
        <v>-2.1524584656162915E-3</v>
      </c>
      <c r="F31" s="47">
        <v>148101.93</v>
      </c>
      <c r="G31" s="19">
        <v>2045000</v>
      </c>
      <c r="H31" s="8">
        <v>2163</v>
      </c>
      <c r="I31" s="47">
        <f>ARKB!H31</f>
        <v>68478.86</v>
      </c>
      <c r="J31" s="20">
        <f>1000*F31/I31</f>
        <v>2162.7394206036724</v>
      </c>
      <c r="K31" s="58"/>
    </row>
    <row r="32" spans="1:19" ht="15" customHeight="1">
      <c r="A32" s="1" t="str">
        <f>SCALARS!A33</f>
        <v>Friday</v>
      </c>
      <c r="B32" s="28">
        <f>SCALARS!B33</f>
        <v>46108</v>
      </c>
      <c r="C32" s="61">
        <f>SCALARS!G33</f>
        <v>945.56439999999998</v>
      </c>
      <c r="D32" s="61"/>
      <c r="E32" s="61"/>
      <c r="F32" s="47">
        <v>0</v>
      </c>
      <c r="G32" s="19"/>
      <c r="H32" s="8"/>
      <c r="I32" s="47"/>
      <c r="J32" s="20"/>
      <c r="K32" s="58"/>
    </row>
    <row r="33" spans="1:11" ht="15" customHeight="1">
      <c r="A33" s="1" t="str">
        <f>SCALARS!A34</f>
        <v>Saturday</v>
      </c>
      <c r="B33" s="28">
        <f>SCALARS!B34</f>
        <v>46109</v>
      </c>
      <c r="C33" s="61">
        <f>SCALARS!G34</f>
        <v>945.57090000000005</v>
      </c>
      <c r="D33" s="61"/>
      <c r="E33" s="61"/>
      <c r="F33" s="47">
        <v>0</v>
      </c>
      <c r="G33" s="19"/>
      <c r="H33" s="8"/>
      <c r="I33" s="47"/>
      <c r="J33" s="20"/>
      <c r="K33" s="58"/>
    </row>
    <row r="34" spans="1:11" ht="15" customHeight="1">
      <c r="A34" s="1" t="str">
        <f>SCALARS!A35</f>
        <v>Sunday</v>
      </c>
      <c r="B34" s="28">
        <f>SCALARS!B35</f>
        <v>46110</v>
      </c>
      <c r="C34" s="61">
        <f>SCALARS!G35</f>
        <v>945.57740000000001</v>
      </c>
      <c r="D34" s="61"/>
      <c r="E34" s="61"/>
      <c r="F34" s="47">
        <v>0</v>
      </c>
      <c r="G34" s="19"/>
      <c r="H34" s="8"/>
      <c r="I34" s="47"/>
      <c r="J34" s="20"/>
      <c r="K34" s="58"/>
    </row>
    <row r="35" spans="1:11" ht="15" customHeight="1">
      <c r="A35" s="1" t="str">
        <f>SCALARS!A36</f>
        <v>Monday</v>
      </c>
      <c r="B35" s="28">
        <f>SCALARS!B36</f>
        <v>46111</v>
      </c>
      <c r="C35" s="61">
        <f>SCALARS!G36</f>
        <v>945.58389999999997</v>
      </c>
      <c r="D35" s="61">
        <f>G35/J35</f>
        <v>945.59143192721353</v>
      </c>
      <c r="E35" s="61">
        <f t="shared" si="0"/>
        <v>-7.5319272135629944E-3</v>
      </c>
      <c r="F35" s="47">
        <v>143504.85</v>
      </c>
      <c r="G35" s="19">
        <v>2045000</v>
      </c>
      <c r="H35" s="8">
        <v>2163</v>
      </c>
      <c r="I35" s="47">
        <f>ARKB!H35</f>
        <v>66355.48</v>
      </c>
      <c r="J35" s="20">
        <f>1000*F35/I35</f>
        <v>2162.6676500569361</v>
      </c>
      <c r="K35" s="58"/>
    </row>
    <row r="36" spans="1:11" ht="15" customHeight="1">
      <c r="A36" s="1" t="str">
        <f>SCALARS!A37</f>
        <v>Tuesday</v>
      </c>
      <c r="B36" s="28">
        <f>SCALARS!B37</f>
        <v>46112</v>
      </c>
      <c r="C36" s="61">
        <f>SCALARS!G37</f>
        <v>945.59040000000005</v>
      </c>
      <c r="D36" s="61">
        <f t="shared" ref="D36:D67" si="1">G36/J36</f>
        <v>945.59338501573814</v>
      </c>
      <c r="E36" s="61">
        <f t="shared" si="0"/>
        <v>-2.9850157380906239E-3</v>
      </c>
      <c r="F36" s="47">
        <v>146697.25</v>
      </c>
      <c r="G36" s="19">
        <v>2045000</v>
      </c>
      <c r="H36" s="8"/>
      <c r="I36" s="47">
        <f>ARKB!H36</f>
        <v>67831.759999999995</v>
      </c>
      <c r="J36" s="20">
        <f>1000*F36/I36</f>
        <v>2162.6631831460663</v>
      </c>
    </row>
    <row r="37" spans="1:11" ht="15" customHeight="1">
      <c r="A37" s="1" t="str">
        <f>SCALARS!A38</f>
        <v>Wednesday</v>
      </c>
      <c r="B37" s="28">
        <f>SCALARS!B38</f>
        <v>46113</v>
      </c>
      <c r="C37" s="61">
        <f>SCALARS!G38</f>
        <v>945.59690000000001</v>
      </c>
      <c r="D37" s="61">
        <f t="shared" si="1"/>
        <v>945.59889661592467</v>
      </c>
      <c r="E37" s="61">
        <f t="shared" si="0"/>
        <v>-1.9966159246678217E-3</v>
      </c>
      <c r="F37" s="47">
        <v>147382.95000000001</v>
      </c>
      <c r="G37" s="19">
        <v>2045000</v>
      </c>
      <c r="H37" s="8">
        <v>2163</v>
      </c>
      <c r="I37" s="47">
        <f>ARKB!H37</f>
        <v>68149.22</v>
      </c>
      <c r="J37" s="20">
        <f>1000*F37/I37</f>
        <v>2162.6505776588492</v>
      </c>
      <c r="K37" s="20">
        <f t="shared" ref="K37:K43" si="2">G37/H37</f>
        <v>945.44613962089693</v>
      </c>
    </row>
    <row r="38" spans="1:11" ht="15" customHeight="1">
      <c r="A38" s="1" t="str">
        <f>SCALARS!A39</f>
        <v>Thursday</v>
      </c>
      <c r="B38" s="28">
        <f>SCALARS!B39</f>
        <v>46114</v>
      </c>
      <c r="C38" s="61">
        <f>SCALARS!G39</f>
        <v>945.60339999999997</v>
      </c>
      <c r="D38" s="61">
        <f t="shared" si="1"/>
        <v>945.60904087063841</v>
      </c>
      <c r="E38" s="61">
        <f t="shared" si="0"/>
        <v>-5.6408706384445395E-3</v>
      </c>
      <c r="F38" s="47">
        <v>144884.94</v>
      </c>
      <c r="G38" s="19">
        <v>2045000</v>
      </c>
      <c r="H38" s="8">
        <v>2163</v>
      </c>
      <c r="I38" s="47">
        <f>ARKB!H38</f>
        <v>66994.87</v>
      </c>
      <c r="J38" s="20">
        <f>1000*F38/I38</f>
        <v>2162.6273772902314</v>
      </c>
      <c r="K38" s="20">
        <f t="shared" si="2"/>
        <v>945.44613962089693</v>
      </c>
    </row>
    <row r="39" spans="1:11" ht="15" customHeight="1">
      <c r="A39" s="1" t="str">
        <f>SCALARS!A40</f>
        <v>Friday</v>
      </c>
      <c r="B39" s="28">
        <f>SCALARS!B40</f>
        <v>46115</v>
      </c>
      <c r="C39" s="61">
        <f>SCALARS!G40</f>
        <v>945.60990000000004</v>
      </c>
      <c r="D39" s="61"/>
      <c r="E39" s="61"/>
      <c r="F39" s="47">
        <v>0</v>
      </c>
      <c r="G39" s="89"/>
      <c r="H39" s="8"/>
      <c r="I39" s="47"/>
      <c r="J39" s="20"/>
      <c r="K39" s="20"/>
    </row>
    <row r="40" spans="1:11" ht="15" customHeight="1">
      <c r="A40" s="1" t="str">
        <f>SCALARS!A41</f>
        <v>Saturday</v>
      </c>
      <c r="B40" s="28">
        <f>SCALARS!B41</f>
        <v>46116</v>
      </c>
      <c r="C40" s="61">
        <f>SCALARS!G41</f>
        <v>945.6164</v>
      </c>
      <c r="D40" s="61"/>
      <c r="E40" s="61"/>
      <c r="F40" s="47">
        <v>0</v>
      </c>
      <c r="G40" s="19"/>
      <c r="H40" s="8"/>
      <c r="I40" s="47"/>
      <c r="J40" s="20"/>
      <c r="K40" s="20"/>
    </row>
    <row r="41" spans="1:11" ht="15" customHeight="1">
      <c r="A41" s="1" t="str">
        <f>SCALARS!A42</f>
        <v>Sunday</v>
      </c>
      <c r="B41" s="28">
        <f>SCALARS!B42</f>
        <v>46117</v>
      </c>
      <c r="C41" s="61">
        <f>SCALARS!G42</f>
        <v>945.62289999999996</v>
      </c>
      <c r="D41" s="61"/>
      <c r="E41" s="61"/>
      <c r="F41" s="47">
        <v>0</v>
      </c>
      <c r="G41" s="19"/>
      <c r="H41" s="8"/>
      <c r="I41" s="47"/>
      <c r="J41" s="20"/>
      <c r="K41" s="20"/>
    </row>
    <row r="42" spans="1:11" ht="15" customHeight="1">
      <c r="A42" s="1" t="str">
        <f>SCALARS!A43</f>
        <v>Monday</v>
      </c>
      <c r="B42" s="28">
        <f>SCALARS!B43</f>
        <v>46118</v>
      </c>
      <c r="C42" s="61">
        <f>SCALARS!G43</f>
        <v>945.62940000000003</v>
      </c>
      <c r="D42" s="61">
        <f t="shared" si="1"/>
        <v>945.63707591045227</v>
      </c>
      <c r="E42" s="61">
        <f t="shared" si="0"/>
        <v>-7.6759104522352573E-3</v>
      </c>
      <c r="F42" s="47">
        <v>150875.26999999999</v>
      </c>
      <c r="G42" s="19">
        <v>2045000</v>
      </c>
      <c r="H42" s="8">
        <v>2163</v>
      </c>
      <c r="I42" s="47">
        <f>ARKB!H42</f>
        <v>69766.87</v>
      </c>
      <c r="J42" s="20">
        <f>1000*F42/I42</f>
        <v>2162.563262476875</v>
      </c>
      <c r="K42" s="20">
        <f t="shared" si="2"/>
        <v>945.44613962089693</v>
      </c>
    </row>
    <row r="43" spans="1:11" ht="15" customHeight="1">
      <c r="A43" s="1" t="str">
        <f>SCALARS!A44</f>
        <v>Tuesday</v>
      </c>
      <c r="B43" s="28">
        <f>SCALARS!B44</f>
        <v>46119</v>
      </c>
      <c r="C43" s="61">
        <f>SCALARS!G44</f>
        <v>945.63589999999999</v>
      </c>
      <c r="D43" s="61">
        <f t="shared" si="1"/>
        <v>945.64426143816252</v>
      </c>
      <c r="E43" s="61">
        <f t="shared" si="0"/>
        <v>-8.3614381625238821E-3</v>
      </c>
      <c r="F43" s="47">
        <v>148377.41999999998</v>
      </c>
      <c r="G43" s="19">
        <v>2045000</v>
      </c>
      <c r="H43" s="90">
        <v>2163</v>
      </c>
      <c r="I43" s="47">
        <f>ARKB!H43</f>
        <v>68612.350000000006</v>
      </c>
      <c r="J43" s="20">
        <f>1000*F43/I43</f>
        <v>2162.5468301260626</v>
      </c>
      <c r="K43" s="91">
        <f t="shared" si="2"/>
        <v>945.44613962089693</v>
      </c>
    </row>
    <row r="44" spans="1:11" ht="15" customHeight="1">
      <c r="A44" s="1" t="str">
        <f>SCALARS!A45</f>
        <v>Wednesday</v>
      </c>
      <c r="B44" s="28">
        <f>SCALARS!B45</f>
        <v>46120</v>
      </c>
      <c r="C44" s="61">
        <f>SCALARS!G45</f>
        <v>945.64239999999995</v>
      </c>
      <c r="D44" s="61">
        <f t="shared" si="1"/>
        <v>945.64883383862991</v>
      </c>
      <c r="E44" s="61">
        <f t="shared" si="0"/>
        <v>-6.4338386299596095E-3</v>
      </c>
      <c r="F44" s="47">
        <v>154058.01</v>
      </c>
      <c r="G44" s="19">
        <v>2045000</v>
      </c>
      <c r="H44" s="90">
        <v>2162</v>
      </c>
      <c r="I44" s="47">
        <f>ARKB!H44</f>
        <v>71239.5</v>
      </c>
      <c r="J44" s="20">
        <f>1000*F44/I44</f>
        <v>2162.5363737813996</v>
      </c>
      <c r="K44" s="91">
        <f>G44/H44</f>
        <v>945.88344125809431</v>
      </c>
    </row>
    <row r="45" spans="1:11" ht="15" customHeight="1">
      <c r="A45" s="1" t="str">
        <f>SCALARS!A46</f>
        <v>Thursday</v>
      </c>
      <c r="B45" s="28">
        <f>SCALARS!B46</f>
        <v>46121</v>
      </c>
      <c r="C45" s="61">
        <f>SCALARS!G46</f>
        <v>945.64890000000003</v>
      </c>
      <c r="D45" s="61">
        <f t="shared" si="1"/>
        <v>945.65476398429621</v>
      </c>
      <c r="E45" s="61">
        <f t="shared" si="0"/>
        <v>-5.863984296183844E-3</v>
      </c>
      <c r="F45" s="47">
        <v>155712.51999999999</v>
      </c>
      <c r="G45" s="19">
        <v>2045000</v>
      </c>
      <c r="H45" s="8"/>
      <c r="I45" s="47">
        <f>ARKB!H45</f>
        <v>72005.03</v>
      </c>
      <c r="J45" s="20">
        <f>1000*F45/I45</f>
        <v>2162.5228126423945</v>
      </c>
    </row>
    <row r="46" spans="1:11" ht="15" customHeight="1">
      <c r="A46" s="1" t="str">
        <f>SCALARS!A47</f>
        <v>Friday</v>
      </c>
      <c r="B46" s="28">
        <f>SCALARS!B47</f>
        <v>46122</v>
      </c>
      <c r="C46" s="61">
        <f>SCALARS!G47</f>
        <v>945.65539999999999</v>
      </c>
      <c r="D46" s="61">
        <f t="shared" si="1"/>
        <v>945.66032036704735</v>
      </c>
      <c r="E46" s="61">
        <f t="shared" si="0"/>
        <v>-4.9203670473616512E-3</v>
      </c>
      <c r="F46" s="47">
        <v>158100.53</v>
      </c>
      <c r="G46" s="19">
        <v>2045000</v>
      </c>
      <c r="H46" s="8">
        <v>2162</v>
      </c>
      <c r="I46" s="47">
        <f>ARKB!H46</f>
        <v>73109.73</v>
      </c>
      <c r="J46" s="20">
        <f>1000*F46/I46</f>
        <v>2162.5101063839247</v>
      </c>
      <c r="K46" s="20">
        <f t="shared" ref="K46" si="3">G46/H46</f>
        <v>945.88344125809431</v>
      </c>
    </row>
    <row r="47" spans="1:11" ht="15" customHeight="1">
      <c r="A47" s="1" t="str">
        <f>SCALARS!A48</f>
        <v>Saturday</v>
      </c>
      <c r="B47" s="28">
        <f>SCALARS!B48</f>
        <v>46123</v>
      </c>
      <c r="C47" s="61">
        <f>SCALARS!G48</f>
        <v>945.66189999999995</v>
      </c>
      <c r="D47" s="61"/>
      <c r="E47" s="61"/>
      <c r="F47" s="47">
        <v>0</v>
      </c>
      <c r="G47" s="19"/>
      <c r="H47" s="8"/>
      <c r="I47" s="47"/>
      <c r="J47" s="20"/>
    </row>
    <row r="48" spans="1:11" ht="15" customHeight="1">
      <c r="A48" s="1" t="str">
        <f>SCALARS!A49</f>
        <v>Sunday</v>
      </c>
      <c r="B48" s="28">
        <f>SCALARS!B49</f>
        <v>46124</v>
      </c>
      <c r="C48" s="61">
        <f>SCALARS!G49</f>
        <v>945.66840000000002</v>
      </c>
      <c r="D48" s="61"/>
      <c r="E48" s="61"/>
      <c r="F48" s="47">
        <v>0</v>
      </c>
      <c r="G48" s="19"/>
      <c r="H48" s="8"/>
      <c r="I48" s="47"/>
      <c r="J48" s="20"/>
    </row>
    <row r="49" spans="1:16" ht="15" customHeight="1">
      <c r="A49" s="1" t="str">
        <f>SCALARS!A50</f>
        <v>Monday</v>
      </c>
      <c r="B49" s="28">
        <f>SCALARS!B50</f>
        <v>46125</v>
      </c>
      <c r="C49" s="61">
        <f>SCALARS!G50</f>
        <v>945.67489999999998</v>
      </c>
      <c r="D49" s="61">
        <f t="shared" si="1"/>
        <v>945.67997450954022</v>
      </c>
      <c r="E49" s="61">
        <f t="shared" si="0"/>
        <v>-5.0745095402362494E-3</v>
      </c>
      <c r="F49" s="47">
        <v>157627.6</v>
      </c>
      <c r="G49" s="19">
        <v>2045000</v>
      </c>
      <c r="H49" s="8">
        <v>2162</v>
      </c>
      <c r="I49" s="47">
        <f>ARKB!H49</f>
        <v>72892.55</v>
      </c>
      <c r="J49" s="20">
        <f>1000*F49/I49</f>
        <v>2162.4651627635471</v>
      </c>
      <c r="K49" s="20">
        <f t="shared" ref="K49" si="4">G49/H49</f>
        <v>945.88344125809431</v>
      </c>
      <c r="P49" s="82">
        <f>J49-J50</f>
        <v>1.1093090825852414E-2</v>
      </c>
    </row>
    <row r="50" spans="1:16" ht="15" customHeight="1">
      <c r="A50" s="1" t="str">
        <f>SCALARS!A51</f>
        <v>Tuesday</v>
      </c>
      <c r="B50" s="28">
        <f>SCALARS!B51</f>
        <v>46126</v>
      </c>
      <c r="C50" s="61">
        <f>SCALARS!G51</f>
        <v>945.68140000000005</v>
      </c>
      <c r="D50" s="61">
        <f t="shared" si="1"/>
        <v>945.68482571724746</v>
      </c>
      <c r="E50" s="61">
        <f t="shared" si="0"/>
        <v>-3.4257172474099207E-3</v>
      </c>
      <c r="F50" s="47">
        <v>160605.68</v>
      </c>
      <c r="G50" s="19">
        <v>2045000</v>
      </c>
      <c r="H50" s="8">
        <v>2162</v>
      </c>
      <c r="I50" s="47">
        <f>ARKB!H50</f>
        <v>74270.100000000006</v>
      </c>
      <c r="J50" s="20">
        <f>1000*F50/I50</f>
        <v>2162.4540696727213</v>
      </c>
      <c r="K50" s="20">
        <f>G50/H50</f>
        <v>945.88344125809431</v>
      </c>
      <c r="P50" s="82">
        <f>J50-J51</f>
        <v>1.3233549160759139E-2</v>
      </c>
    </row>
    <row r="51" spans="1:16" ht="15" customHeight="1">
      <c r="A51" s="1" t="str">
        <f>SCALARS!A52</f>
        <v>Wednesday</v>
      </c>
      <c r="B51" s="28">
        <f>SCALARS!B52</f>
        <v>46127</v>
      </c>
      <c r="C51" s="61">
        <f>SCALARS!G52</f>
        <v>945.68790000000001</v>
      </c>
      <c r="D51" s="61">
        <f t="shared" si="1"/>
        <v>945.69061305090429</v>
      </c>
      <c r="E51" s="61">
        <f t="shared" si="0"/>
        <v>-2.7130509042763151E-3</v>
      </c>
      <c r="F51" s="47">
        <v>161866.33000000002</v>
      </c>
      <c r="G51" s="19">
        <v>2045000</v>
      </c>
      <c r="H51" s="8">
        <v>2163</v>
      </c>
      <c r="I51" s="47">
        <f>ARKB!H51</f>
        <v>74853.53</v>
      </c>
      <c r="J51" s="20">
        <f>1000*F51/I51</f>
        <v>2162.4408361235605</v>
      </c>
      <c r="K51" s="20">
        <f>G51/H51</f>
        <v>945.44613962089693</v>
      </c>
      <c r="P51" s="82">
        <f t="shared" ref="P51:P52" si="5">J51-J52</f>
        <v>1.4041554230061593E-2</v>
      </c>
    </row>
    <row r="52" spans="1:16" ht="15" customHeight="1">
      <c r="A52" s="1" t="str">
        <f>SCALARS!A53</f>
        <v>Thursday</v>
      </c>
      <c r="B52" s="28">
        <f>SCALARS!B53</f>
        <v>46128</v>
      </c>
      <c r="C52" s="61">
        <f>SCALARS!G53</f>
        <v>945.69439999999997</v>
      </c>
      <c r="D52" s="61">
        <f t="shared" si="1"/>
        <v>945.69675382110813</v>
      </c>
      <c r="E52" s="61">
        <f t="shared" si="0"/>
        <v>-2.3538211081586269E-3</v>
      </c>
      <c r="F52" s="47">
        <v>162373.06</v>
      </c>
      <c r="G52" s="19">
        <v>2045000</v>
      </c>
      <c r="H52" s="8"/>
      <c r="I52" s="47">
        <f>ARKB!H52</f>
        <v>75088.350000000006</v>
      </c>
      <c r="J52" s="20">
        <f>1000*F52/I52</f>
        <v>2162.4267945693305</v>
      </c>
      <c r="K52" s="20"/>
      <c r="P52" s="82">
        <f t="shared" si="5"/>
        <v>7.9740436312931706E-3</v>
      </c>
    </row>
    <row r="53" spans="1:16" ht="15" customHeight="1">
      <c r="A53" s="1" t="str">
        <f>SCALARS!A54</f>
        <v>Friday</v>
      </c>
      <c r="B53" s="28">
        <f>SCALARS!B54</f>
        <v>46129</v>
      </c>
      <c r="C53" s="61">
        <f>SCALARS!G54</f>
        <v>945.70090000000005</v>
      </c>
      <c r="D53" s="61">
        <f t="shared" si="1"/>
        <v>945.70024113221791</v>
      </c>
      <c r="E53" s="61">
        <f t="shared" si="0"/>
        <v>6.5886778213553043E-4</v>
      </c>
      <c r="F53" s="47">
        <v>167223.61000000002</v>
      </c>
      <c r="G53" s="19">
        <v>2045000</v>
      </c>
      <c r="H53" s="8"/>
      <c r="I53" s="47">
        <f>ARKB!H53</f>
        <v>77331.740000000005</v>
      </c>
      <c r="J53" s="20">
        <f>1000*F53/I53</f>
        <v>2162.4188205256992</v>
      </c>
      <c r="K53" s="20"/>
      <c r="P53" s="82">
        <f>J53-J54</f>
        <v>2162.4188205256992</v>
      </c>
    </row>
    <row r="54" spans="1:16" ht="15" customHeight="1">
      <c r="A54" s="1" t="str">
        <f>SCALARS!A55</f>
        <v>Saturday</v>
      </c>
      <c r="B54" s="28">
        <f>SCALARS!B55</f>
        <v>46130</v>
      </c>
      <c r="C54" s="61">
        <f>SCALARS!G55</f>
        <v>945.70740000000001</v>
      </c>
      <c r="D54" s="61"/>
      <c r="E54" s="61"/>
      <c r="F54" s="47">
        <v>0</v>
      </c>
      <c r="G54" s="19"/>
      <c r="H54" s="8"/>
      <c r="I54" s="47"/>
      <c r="J54" s="20"/>
    </row>
    <row r="55" spans="1:16" ht="15" customHeight="1">
      <c r="A55" s="1" t="str">
        <f>SCALARS!A56</f>
        <v>Sunday</v>
      </c>
      <c r="B55" s="28">
        <f>SCALARS!B56</f>
        <v>46131</v>
      </c>
      <c r="C55" s="61">
        <f>SCALARS!G56</f>
        <v>945.71389999999997</v>
      </c>
      <c r="D55" s="61"/>
      <c r="E55" s="61"/>
      <c r="F55" s="47">
        <v>0</v>
      </c>
      <c r="G55" s="19"/>
      <c r="H55" s="8"/>
      <c r="I55" s="47"/>
      <c r="J55" s="20"/>
    </row>
    <row r="56" spans="1:16" ht="15" customHeight="1">
      <c r="A56" s="1" t="str">
        <f>SCALARS!A57</f>
        <v>Monday</v>
      </c>
      <c r="B56" s="28">
        <f>SCALARS!B57</f>
        <v>46132</v>
      </c>
      <c r="C56" s="61">
        <f>SCALARS!G57</f>
        <v>945.72040000000004</v>
      </c>
      <c r="D56" s="61">
        <f t="shared" si="1"/>
        <v>945.72128766249045</v>
      </c>
      <c r="E56" s="61">
        <f t="shared" si="0"/>
        <v>-8.8766249041327683E-4</v>
      </c>
      <c r="F56" s="47">
        <v>165029.58000000002</v>
      </c>
      <c r="G56" s="19">
        <v>2045000</v>
      </c>
      <c r="H56" s="8">
        <v>2162</v>
      </c>
      <c r="I56" s="47">
        <f>ARKB!H56</f>
        <v>76318.820000000007</v>
      </c>
      <c r="J56" s="20">
        <f>1000*F56/I56</f>
        <v>2162.3706970312173</v>
      </c>
      <c r="K56" s="20">
        <f>G56/H56</f>
        <v>945.88344125809431</v>
      </c>
    </row>
    <row r="57" spans="1:16" ht="15" customHeight="1">
      <c r="A57" s="1" t="str">
        <f>SCALARS!A58</f>
        <v>Tuesday</v>
      </c>
      <c r="B57" s="28">
        <f>SCALARS!B58</f>
        <v>46133</v>
      </c>
      <c r="C57" s="61">
        <f>SCALARS!G58</f>
        <v>945.7269</v>
      </c>
      <c r="D57" s="61">
        <f t="shared" si="1"/>
        <v>945.72918573475692</v>
      </c>
      <c r="E57" s="61">
        <f t="shared" si="0"/>
        <v>-2.2857347569242847E-3</v>
      </c>
      <c r="F57" s="47">
        <v>163176.19</v>
      </c>
      <c r="G57" s="19">
        <v>2045000</v>
      </c>
      <c r="H57" s="8"/>
      <c r="I57" s="47">
        <f>ARKB!H57</f>
        <v>75462.34</v>
      </c>
      <c r="J57" s="20">
        <f>1000*F57/I57</f>
        <v>2162.3526384154006</v>
      </c>
      <c r="K57" s="20"/>
    </row>
    <row r="58" spans="1:16" ht="15" customHeight="1">
      <c r="A58" s="1" t="str">
        <f>SCALARS!A59</f>
        <v>Wednesday</v>
      </c>
      <c r="B58" s="28">
        <f>SCALARS!B59</f>
        <v>46134</v>
      </c>
      <c r="C58" s="61">
        <f>SCALARS!G59</f>
        <v>945.73339999999996</v>
      </c>
      <c r="D58" s="61">
        <f t="shared" si="1"/>
        <v>945.72970047631361</v>
      </c>
      <c r="E58" s="61">
        <f t="shared" si="0"/>
        <v>3.6995236863504033E-3</v>
      </c>
      <c r="F58" s="47">
        <v>170652.28</v>
      </c>
      <c r="G58" s="19">
        <v>2045000</v>
      </c>
      <c r="H58" s="8">
        <v>2162</v>
      </c>
      <c r="I58" s="47">
        <f>ARKB!H58</f>
        <v>78919.77</v>
      </c>
      <c r="J58" s="20">
        <f>1000*F58/I58</f>
        <v>2162.3514614905744</v>
      </c>
      <c r="K58" s="20">
        <f>G58/H58</f>
        <v>945.88344125809431</v>
      </c>
    </row>
    <row r="59" spans="1:16" ht="15" customHeight="1">
      <c r="A59" s="1" t="str">
        <f>SCALARS!A60</f>
        <v>Thursday</v>
      </c>
      <c r="B59" s="28">
        <f>SCALARS!B60</f>
        <v>46135</v>
      </c>
      <c r="C59" s="61">
        <f>SCALARS!G60</f>
        <v>945.73990000000003</v>
      </c>
      <c r="D59" s="61">
        <f t="shared" si="1"/>
        <v>945.73791910871751</v>
      </c>
      <c r="E59" s="61">
        <f t="shared" si="0"/>
        <v>1.9808912825283187E-3</v>
      </c>
      <c r="F59" s="47">
        <v>174342.88999999998</v>
      </c>
      <c r="G59" s="19">
        <v>2120000</v>
      </c>
      <c r="H59" s="8"/>
      <c r="I59" s="47">
        <f>ARKB!H59</f>
        <v>77774.850000000006</v>
      </c>
      <c r="J59" s="20">
        <f>1000*F59/I59</f>
        <v>2241.6358244342478</v>
      </c>
    </row>
    <row r="60" spans="1:16" ht="15" customHeight="1">
      <c r="A60" s="1" t="str">
        <f>SCALARS!A61</f>
        <v>Friday</v>
      </c>
      <c r="B60" s="28">
        <f>SCALARS!B61</f>
        <v>46136</v>
      </c>
      <c r="C60" s="61">
        <f>SCALARS!G61</f>
        <v>945.74639999999999</v>
      </c>
      <c r="D60" s="61">
        <f t="shared" si="1"/>
        <v>945.74461879470914</v>
      </c>
      <c r="E60" s="61">
        <f t="shared" si="0"/>
        <v>1.7812052908539044E-3</v>
      </c>
      <c r="F60" s="47">
        <v>174035.36000000002</v>
      </c>
      <c r="G60" s="19">
        <v>2120000</v>
      </c>
      <c r="H60" s="8">
        <v>2241</v>
      </c>
      <c r="I60" s="47">
        <f>ARKB!H60</f>
        <v>77638.210000000006</v>
      </c>
      <c r="J60" s="20">
        <f>1000*F60/I60</f>
        <v>2241.6199446123246</v>
      </c>
      <c r="K60" s="20">
        <f>G60/H60</f>
        <v>946.00624721106647</v>
      </c>
    </row>
    <row r="61" spans="1:16" ht="15" customHeight="1">
      <c r="A61" s="1" t="str">
        <f>SCALARS!A62</f>
        <v>Saturday</v>
      </c>
      <c r="B61" s="28">
        <f>SCALARS!B62</f>
        <v>46137</v>
      </c>
      <c r="C61" s="61">
        <f>SCALARS!G62</f>
        <v>945.75289999999995</v>
      </c>
      <c r="D61" s="61"/>
      <c r="E61" s="61"/>
      <c r="F61" s="47">
        <v>0</v>
      </c>
      <c r="G61" s="19"/>
      <c r="H61" s="8"/>
      <c r="I61" s="47"/>
      <c r="J61" s="20"/>
      <c r="K61" s="20"/>
    </row>
    <row r="62" spans="1:16" ht="15" customHeight="1">
      <c r="A62" s="1" t="str">
        <f>SCALARS!A63</f>
        <v>Sunday</v>
      </c>
      <c r="B62" s="28">
        <f>SCALARS!B63</f>
        <v>46138</v>
      </c>
      <c r="C62" s="61">
        <f>SCALARS!G63</f>
        <v>945.75940000000003</v>
      </c>
      <c r="D62" s="61"/>
      <c r="E62" s="61"/>
      <c r="F62" s="47">
        <v>0</v>
      </c>
      <c r="G62" s="19"/>
      <c r="H62" s="8"/>
      <c r="I62" s="47"/>
      <c r="J62" s="20"/>
      <c r="K62" s="20"/>
    </row>
    <row r="63" spans="1:16" ht="15" customHeight="1">
      <c r="A63" s="1" t="str">
        <f>SCALARS!A64</f>
        <v>Monday</v>
      </c>
      <c r="B63" s="28">
        <f>SCALARS!B64</f>
        <v>46139</v>
      </c>
      <c r="C63" s="61">
        <f>SCALARS!G64</f>
        <v>945.76589999999999</v>
      </c>
      <c r="D63" s="61">
        <f t="shared" si="1"/>
        <v>945.76589291019525</v>
      </c>
      <c r="E63" s="61">
        <f t="shared" si="0"/>
        <v>7.0898047397349728E-6</v>
      </c>
      <c r="F63" s="47">
        <v>172067.91999999998</v>
      </c>
      <c r="G63" s="19">
        <v>2120000</v>
      </c>
      <c r="H63" s="8">
        <v>2242</v>
      </c>
      <c r="I63" s="47">
        <f>ARKB!H63</f>
        <v>76762.25</v>
      </c>
      <c r="J63" s="20">
        <f>1000*F63/I63</f>
        <v>2241.5695214770276</v>
      </c>
      <c r="K63" s="20">
        <f t="shared" ref="K63:K70" si="6">G63/H63</f>
        <v>945.58429973238185</v>
      </c>
    </row>
    <row r="64" spans="1:16" ht="15" customHeight="1">
      <c r="A64" s="1" t="str">
        <f>SCALARS!A65</f>
        <v>Tuesday</v>
      </c>
      <c r="B64" s="28">
        <f>SCALARS!B65</f>
        <v>46140</v>
      </c>
      <c r="C64" s="61">
        <f>SCALARS!G65</f>
        <v>945.77239999999995</v>
      </c>
      <c r="D64" s="61">
        <f t="shared" si="1"/>
        <v>945.77360128854991</v>
      </c>
      <c r="E64" s="61">
        <f t="shared" si="0"/>
        <v>-1.2012885499643744E-3</v>
      </c>
      <c r="F64" s="47">
        <v>170771.82</v>
      </c>
      <c r="G64" s="19">
        <v>2120000</v>
      </c>
      <c r="H64" s="8">
        <v>2242</v>
      </c>
      <c r="I64" s="47">
        <f>ARKB!H64</f>
        <v>76184.66</v>
      </c>
      <c r="J64" s="20">
        <f>1000*F64/I64</f>
        <v>2241.5512519186932</v>
      </c>
      <c r="K64" s="20">
        <f t="shared" si="6"/>
        <v>945.58429973238185</v>
      </c>
    </row>
    <row r="65" spans="1:11" ht="15" customHeight="1">
      <c r="A65" s="1" t="str">
        <f>SCALARS!A66</f>
        <v>Wednesday</v>
      </c>
      <c r="B65" s="28">
        <f>SCALARS!B66</f>
        <v>46141</v>
      </c>
      <c r="C65" s="61">
        <f>SCALARS!G66</f>
        <v>945.77890000000002</v>
      </c>
      <c r="D65" s="61">
        <f t="shared" si="1"/>
        <v>945.78204947324093</v>
      </c>
      <c r="E65" s="61">
        <f t="shared" si="0"/>
        <v>-3.1494732409100834E-3</v>
      </c>
      <c r="F65" s="47">
        <v>169115.26</v>
      </c>
      <c r="G65" s="19">
        <v>2120000</v>
      </c>
      <c r="H65" s="8"/>
      <c r="I65" s="47">
        <f>ARKB!H65</f>
        <v>75446.31</v>
      </c>
      <c r="J65" s="20">
        <f>1000*F65/I65</f>
        <v>2241.5312292940503</v>
      </c>
      <c r="K65" s="20"/>
    </row>
    <row r="66" spans="1:11" ht="15" customHeight="1">
      <c r="A66" s="1" t="str">
        <f>SCALARS!A67</f>
        <v>Thursday</v>
      </c>
      <c r="B66" s="28">
        <f>SCALARS!B67</f>
        <v>46142</v>
      </c>
      <c r="C66" s="61">
        <f>SCALARS!G67</f>
        <v>945.78539999999998</v>
      </c>
      <c r="D66" s="61">
        <f t="shared" si="1"/>
        <v>945.78618031650763</v>
      </c>
      <c r="E66" s="61">
        <f t="shared" si="0"/>
        <v>-7.803165076438745E-4</v>
      </c>
      <c r="F66" s="47">
        <v>171290.03</v>
      </c>
      <c r="G66" s="19">
        <v>2120000</v>
      </c>
      <c r="H66" s="8">
        <v>2241</v>
      </c>
      <c r="I66" s="47">
        <f>ARKB!H66</f>
        <v>76416.86</v>
      </c>
      <c r="J66" s="20">
        <f>1000*F66/I66</f>
        <v>2241.5214391169698</v>
      </c>
      <c r="K66" s="20">
        <f t="shared" si="6"/>
        <v>946.00624721106647</v>
      </c>
    </row>
    <row r="67" spans="1:11" ht="15" customHeight="1">
      <c r="A67" s="1" t="str">
        <f>SCALARS!A68</f>
        <v>Friday</v>
      </c>
      <c r="B67" s="28">
        <f>SCALARS!B68</f>
        <v>46143</v>
      </c>
      <c r="C67" s="61">
        <f>SCALARS!G68</f>
        <v>945.79190000000006</v>
      </c>
      <c r="D67" s="61">
        <f t="shared" si="1"/>
        <v>945.78788305139074</v>
      </c>
      <c r="E67" s="61">
        <f t="shared" si="0"/>
        <v>4.0169486093191153E-3</v>
      </c>
      <c r="F67" s="47">
        <v>175769.16999999998</v>
      </c>
      <c r="G67" s="19">
        <v>2120000</v>
      </c>
      <c r="H67" s="8">
        <v>2241</v>
      </c>
      <c r="I67" s="47">
        <f>ARKB!H67</f>
        <v>78415.259999999995</v>
      </c>
      <c r="J67" s="20">
        <f>1000*F67/I67</f>
        <v>2241.517403627814</v>
      </c>
      <c r="K67" s="20">
        <f t="shared" si="6"/>
        <v>946.00624721106647</v>
      </c>
    </row>
    <row r="68" spans="1:11" ht="15" customHeight="1">
      <c r="A68" s="1" t="str">
        <f>SCALARS!A69</f>
        <v>Saturday</v>
      </c>
      <c r="B68" s="28">
        <f>SCALARS!B69</f>
        <v>46144</v>
      </c>
      <c r="C68" s="61">
        <f>SCALARS!G69</f>
        <v>945.79840000000002</v>
      </c>
      <c r="D68" s="61"/>
      <c r="E68" s="61"/>
      <c r="F68" s="47">
        <v>0</v>
      </c>
      <c r="G68" s="19"/>
      <c r="H68" s="8"/>
      <c r="I68" s="47"/>
      <c r="J68" s="20"/>
      <c r="K68" s="20"/>
    </row>
    <row r="69" spans="1:11" ht="15" customHeight="1">
      <c r="A69" s="1" t="str">
        <f>SCALARS!A70</f>
        <v>Sunday</v>
      </c>
      <c r="B69" s="28">
        <f>SCALARS!B70</f>
        <v>46145</v>
      </c>
      <c r="C69" s="61">
        <f>SCALARS!G70</f>
        <v>945.80489999999998</v>
      </c>
      <c r="D69" s="61"/>
      <c r="E69" s="61"/>
      <c r="F69" s="47">
        <v>0</v>
      </c>
      <c r="G69" s="19"/>
      <c r="H69" s="8"/>
      <c r="I69" s="47"/>
      <c r="J69" s="20"/>
      <c r="K69" s="20"/>
    </row>
    <row r="70" spans="1:11" ht="15" customHeight="1">
      <c r="A70" s="1" t="str">
        <f>SCALARS!A71</f>
        <v>Monday</v>
      </c>
      <c r="B70" s="28">
        <f>SCALARS!B71</f>
        <v>46146</v>
      </c>
      <c r="C70" s="61">
        <f>SCALARS!G71</f>
        <v>945.81140000000005</v>
      </c>
      <c r="D70" s="61">
        <f>G70/J70</f>
        <v>945.80326409675911</v>
      </c>
      <c r="E70" s="61">
        <f t="shared" ref="E70:E95" si="7">C70-D70</f>
        <v>8.1359032409409338E-3</v>
      </c>
      <c r="F70" s="47">
        <v>179328.63</v>
      </c>
      <c r="G70" s="19">
        <v>2120000</v>
      </c>
      <c r="H70" s="8">
        <v>2241</v>
      </c>
      <c r="I70" s="47">
        <f>ARKB!H70</f>
        <v>80004.53</v>
      </c>
      <c r="J70" s="20">
        <f>1000*F70/I70</f>
        <v>2241.4809511411418</v>
      </c>
      <c r="K70" s="20">
        <f t="shared" si="6"/>
        <v>946.00624721106647</v>
      </c>
    </row>
    <row r="71" spans="1:11" ht="15" customHeight="1">
      <c r="A71" s="1" t="str">
        <f>SCALARS!A72</f>
        <v>Tuesday</v>
      </c>
      <c r="B71" s="28">
        <f>SCALARS!B72</f>
        <v>46147</v>
      </c>
      <c r="C71" s="61">
        <f>SCALARS!G72</f>
        <v>945.81790000000001</v>
      </c>
      <c r="D71" s="61">
        <f>G71/J71</f>
        <v>945.81144686552875</v>
      </c>
      <c r="E71" s="61">
        <f t="shared" si="7"/>
        <v>6.4531344712577265E-3</v>
      </c>
      <c r="F71" s="47">
        <v>182816.16</v>
      </c>
      <c r="G71" s="19">
        <v>2120000</v>
      </c>
      <c r="H71" s="8"/>
      <c r="I71" s="47">
        <f>ARKB!H71</f>
        <v>81561.14</v>
      </c>
      <c r="J71" s="20">
        <f>1000*F71/I71</f>
        <v>2241.461558776643</v>
      </c>
      <c r="K71" s="20"/>
    </row>
    <row r="72" spans="1:11" ht="15" customHeight="1">
      <c r="A72" s="1" t="str">
        <f>SCALARS!A73</f>
        <v>Wednesday</v>
      </c>
      <c r="B72" s="28">
        <f>SCALARS!B73</f>
        <v>46148</v>
      </c>
      <c r="C72" s="61">
        <f>SCALARS!G73</f>
        <v>945.82439999999997</v>
      </c>
      <c r="D72" s="61">
        <f>G72/J72</f>
        <v>945.81803181884391</v>
      </c>
      <c r="E72" s="61">
        <f t="shared" si="7"/>
        <v>6.3681811560627466E-3</v>
      </c>
      <c r="F72" s="47">
        <v>182352.32</v>
      </c>
      <c r="G72" s="19">
        <v>2120000</v>
      </c>
      <c r="H72" s="8"/>
      <c r="I72" s="47">
        <f>ARKB!H72</f>
        <v>81354.77</v>
      </c>
      <c r="J72" s="20">
        <f>1000*F72/I72</f>
        <v>2241.4459533227123</v>
      </c>
      <c r="K72" s="20"/>
    </row>
    <row r="73" spans="1:11" ht="15" customHeight="1">
      <c r="A73" s="1" t="str">
        <f>SCALARS!A74</f>
        <v>Thursday</v>
      </c>
      <c r="B73" s="28">
        <f>SCALARS!B74</f>
        <v>46149</v>
      </c>
      <c r="C73" s="61">
        <f>SCALARS!G74</f>
        <v>945.83090000000004</v>
      </c>
      <c r="D73" s="61">
        <f>G73/J73</f>
        <v>945.82505400037314</v>
      </c>
      <c r="E73" s="61">
        <f t="shared" si="7"/>
        <v>5.8459996268993564E-3</v>
      </c>
      <c r="F73" s="47">
        <v>179494.13</v>
      </c>
      <c r="G73" s="19">
        <v>2120000</v>
      </c>
      <c r="H73" s="8"/>
      <c r="I73" s="47">
        <f>ARKB!H73</f>
        <v>80080.210000000006</v>
      </c>
      <c r="J73" s="20">
        <f>1000*F73/I73</f>
        <v>2241.42931193612</v>
      </c>
      <c r="K73" s="20"/>
    </row>
    <row r="74" spans="1:11" ht="15" customHeight="1">
      <c r="A74" s="1" t="str">
        <f>SCALARS!A75</f>
        <v>Friday</v>
      </c>
      <c r="B74" s="28">
        <f>SCALARS!B75</f>
        <v>46150</v>
      </c>
      <c r="C74" s="61">
        <f>SCALARS!G75</f>
        <v>945.8374</v>
      </c>
      <c r="D74" s="61">
        <f>G74/J74</f>
        <v>945.83154376967445</v>
      </c>
      <c r="E74" s="61">
        <f t="shared" si="7"/>
        <v>5.8562303255484949E-3</v>
      </c>
      <c r="F74" s="47">
        <v>179461.81</v>
      </c>
      <c r="G74" s="19">
        <v>2120000</v>
      </c>
      <c r="H74" s="8"/>
      <c r="I74" s="47">
        <f>ARKB!H74</f>
        <v>80066.34</v>
      </c>
      <c r="J74" s="20">
        <f>1000*F74/I74</f>
        <v>2241.4139324964772</v>
      </c>
      <c r="K74" s="20"/>
    </row>
    <row r="75" spans="1:11" ht="15" customHeight="1">
      <c r="A75" s="1" t="str">
        <f>SCALARS!A76</f>
        <v>Saturday</v>
      </c>
      <c r="B75" s="28">
        <f>SCALARS!B76</f>
        <v>46151</v>
      </c>
      <c r="C75" s="61">
        <f>SCALARS!G76</f>
        <v>945.84389999999996</v>
      </c>
      <c r="D75" s="61"/>
      <c r="E75" s="61"/>
      <c r="F75" s="47">
        <v>0</v>
      </c>
      <c r="G75" s="19"/>
      <c r="H75" s="8"/>
      <c r="I75" s="47"/>
      <c r="J75" s="20"/>
    </row>
    <row r="76" spans="1:11" ht="15" customHeight="1">
      <c r="A76" s="1" t="str">
        <f>SCALARS!A77</f>
        <v>Sunday</v>
      </c>
      <c r="B76" s="28">
        <f>SCALARS!B77</f>
        <v>46152</v>
      </c>
      <c r="C76" s="61">
        <f>SCALARS!G77</f>
        <v>945.85040000000004</v>
      </c>
      <c r="D76" s="61"/>
      <c r="E76" s="61"/>
      <c r="F76" s="47">
        <v>0</v>
      </c>
      <c r="G76" s="19"/>
      <c r="H76" s="8"/>
      <c r="I76" s="47"/>
      <c r="J76" s="20"/>
      <c r="K76" s="61"/>
    </row>
    <row r="77" spans="1:11" ht="15" customHeight="1">
      <c r="A77" s="1" t="str">
        <f>SCALARS!A78</f>
        <v>Monday</v>
      </c>
      <c r="B77" s="28">
        <f>SCALARS!B78</f>
        <v>46153</v>
      </c>
      <c r="C77" s="61">
        <f>SCALARS!G78</f>
        <v>945.8569</v>
      </c>
      <c r="D77" s="61">
        <f>G77/J77</f>
        <v>945.84939225600931</v>
      </c>
      <c r="E77" s="61">
        <f t="shared" si="7"/>
        <v>7.5077439906863219E-3</v>
      </c>
      <c r="F77" s="47">
        <v>183601.98</v>
      </c>
      <c r="G77" s="19">
        <v>2120000</v>
      </c>
      <c r="H77" s="8">
        <v>2241</v>
      </c>
      <c r="I77" s="47">
        <f>ARKB!H77</f>
        <v>81915.009999999995</v>
      </c>
      <c r="J77" s="20">
        <f>1000*F77/I77</f>
        <v>2241.3716362849741</v>
      </c>
      <c r="K77" s="61">
        <f>G77/H77</f>
        <v>946.00624721106647</v>
      </c>
    </row>
    <row r="78" spans="1:11" ht="15" customHeight="1">
      <c r="A78" s="1" t="str">
        <f>SCALARS!A79</f>
        <v>Tuesday</v>
      </c>
      <c r="B78" s="28">
        <f>SCALARS!B79</f>
        <v>46154</v>
      </c>
      <c r="C78" s="61">
        <f>SCALARS!G79</f>
        <v>945.86339999999996</v>
      </c>
      <c r="D78" s="61">
        <f>G78/J78</f>
        <v>945.85695977775833</v>
      </c>
      <c r="E78" s="61">
        <f t="shared" si="7"/>
        <v>6.4402222416219956E-3</v>
      </c>
      <c r="F78" s="47">
        <v>181006.57</v>
      </c>
      <c r="G78" s="19">
        <v>2120000</v>
      </c>
      <c r="H78" s="8"/>
      <c r="I78" s="47">
        <f>ARKB!H78</f>
        <v>80757.7</v>
      </c>
      <c r="J78" s="20">
        <f>1000*F78/I78</f>
        <v>2241.3537037335141</v>
      </c>
      <c r="K78" s="61" t="e">
        <f t="shared" ref="K78:K95" si="8">G78/H78</f>
        <v>#DIV/0!</v>
      </c>
    </row>
    <row r="79" spans="1:11" ht="15" customHeight="1">
      <c r="A79" s="1" t="str">
        <f>SCALARS!A80</f>
        <v>Wednesday</v>
      </c>
      <c r="B79" s="28">
        <f>SCALARS!B80</f>
        <v>46155</v>
      </c>
      <c r="C79" s="61">
        <f>SCALARS!G80</f>
        <v>945.86990000000003</v>
      </c>
      <c r="D79" s="61">
        <f>G79/J79</f>
        <v>945.86472957594458</v>
      </c>
      <c r="E79" s="61">
        <f t="shared" si="7"/>
        <v>5.1704240554499847E-3</v>
      </c>
      <c r="F79" s="47">
        <v>178179.23</v>
      </c>
      <c r="G79" s="19">
        <v>2120000</v>
      </c>
      <c r="H79" s="8">
        <v>2242</v>
      </c>
      <c r="I79" s="47">
        <f>ARKB!H79</f>
        <v>79496.91</v>
      </c>
      <c r="J79" s="20">
        <f>1000*F79/I79</f>
        <v>2241.3352921516066</v>
      </c>
      <c r="K79" s="61">
        <f t="shared" si="8"/>
        <v>945.58429973238185</v>
      </c>
    </row>
    <row r="80" spans="1:11" ht="15" customHeight="1">
      <c r="A80" s="1" t="str">
        <f>SCALARS!A81</f>
        <v>Thursday</v>
      </c>
      <c r="B80" s="28">
        <f>SCALARS!B81</f>
        <v>46156</v>
      </c>
      <c r="C80" s="61">
        <f>SCALARS!G81</f>
        <v>945.87639999999999</v>
      </c>
      <c r="D80" s="61">
        <f>G80/J80</f>
        <v>945.86894775897701</v>
      </c>
      <c r="E80" s="61">
        <f t="shared" si="7"/>
        <v>7.4522410229747038E-3</v>
      </c>
      <c r="F80" s="47">
        <v>182694.93</v>
      </c>
      <c r="G80" s="19">
        <v>2120000</v>
      </c>
      <c r="H80" s="8"/>
      <c r="I80" s="47">
        <f>ARKB!H80</f>
        <v>81512.009999999995</v>
      </c>
      <c r="J80" s="20">
        <f>1000*F80/I80</f>
        <v>2241.3252967262129</v>
      </c>
      <c r="K80" s="61" t="e">
        <f t="shared" si="8"/>
        <v>#DIV/0!</v>
      </c>
    </row>
    <row r="81" spans="1:18" ht="15" customHeight="1">
      <c r="A81" s="1" t="str">
        <f>SCALARS!A82</f>
        <v>Friday</v>
      </c>
      <c r="B81" s="28">
        <f>SCALARS!B82</f>
        <v>46157</v>
      </c>
      <c r="C81" s="61">
        <f>SCALARS!G82</f>
        <v>945.88289999999995</v>
      </c>
      <c r="D81" s="61">
        <f>G81/J81</f>
        <v>945.87832024785121</v>
      </c>
      <c r="E81" s="61">
        <f t="shared" si="7"/>
        <v>4.5797521487429549E-3</v>
      </c>
      <c r="F81" s="47">
        <v>177280.44</v>
      </c>
      <c r="G81" s="19">
        <v>2120000</v>
      </c>
      <c r="H81" s="8">
        <v>2242</v>
      </c>
      <c r="I81" s="47">
        <f>ARKB!H81</f>
        <v>79097.039999999994</v>
      </c>
      <c r="J81" s="20">
        <f>1000*F81/I81</f>
        <v>2241.3030879537341</v>
      </c>
      <c r="K81" s="61">
        <f t="shared" si="8"/>
        <v>945.58429973238185</v>
      </c>
      <c r="M81" s="3">
        <v>-18400</v>
      </c>
    </row>
    <row r="82" spans="1:18" ht="15" customHeight="1">
      <c r="A82" s="1" t="str">
        <f>SCALARS!A83</f>
        <v>Saturday</v>
      </c>
      <c r="B82" s="28">
        <f>SCALARS!B83</f>
        <v>46158</v>
      </c>
      <c r="C82" s="61">
        <f>SCALARS!G83</f>
        <v>945.88940000000002</v>
      </c>
      <c r="D82" s="61"/>
      <c r="E82" s="61"/>
      <c r="F82" s="47">
        <v>0</v>
      </c>
      <c r="G82" s="19"/>
      <c r="H82" s="8"/>
      <c r="I82" s="47"/>
      <c r="J82" s="20"/>
      <c r="K82" s="61"/>
    </row>
    <row r="83" spans="1:18" ht="15" customHeight="1">
      <c r="A83" s="1" t="str">
        <f>SCALARS!A84</f>
        <v>Sunday</v>
      </c>
      <c r="B83" s="28">
        <f>SCALARS!B84</f>
        <v>46159</v>
      </c>
      <c r="C83" s="61">
        <f>SCALARS!G84</f>
        <v>945.89589999999998</v>
      </c>
      <c r="D83" s="61"/>
      <c r="E83" s="61"/>
      <c r="F83" s="47">
        <v>0</v>
      </c>
      <c r="G83" s="19"/>
      <c r="H83" s="8"/>
      <c r="I83" s="47"/>
      <c r="J83" s="20"/>
      <c r="K83" s="61"/>
    </row>
    <row r="84" spans="1:18" ht="15" customHeight="1">
      <c r="A84" s="1" t="str">
        <f>SCALARS!A85</f>
        <v>Monday</v>
      </c>
      <c r="B84" s="28">
        <f>SCALARS!B85</f>
        <v>46160</v>
      </c>
      <c r="C84" s="61">
        <f>SCALARS!G85</f>
        <v>945.90239999999994</v>
      </c>
      <c r="D84" s="61">
        <f>G84/J84</f>
        <v>945.90146425842102</v>
      </c>
      <c r="E84" s="61">
        <f t="shared" si="7"/>
        <v>9.3574157892817311E-4</v>
      </c>
      <c r="F84" s="47">
        <v>171850.13</v>
      </c>
      <c r="G84" s="19">
        <v>2120000</v>
      </c>
      <c r="H84" s="8">
        <v>2242</v>
      </c>
      <c r="I84" s="47">
        <f>ARKB!H84</f>
        <v>76676.08</v>
      </c>
      <c r="J84" s="20">
        <f>1000*F84/I84</f>
        <v>2241.2482484759262</v>
      </c>
      <c r="K84" s="61">
        <f t="shared" si="8"/>
        <v>945.58429973238185</v>
      </c>
      <c r="M84" s="3">
        <v>-22043</v>
      </c>
    </row>
    <row r="85" spans="1:18" ht="15" customHeight="1">
      <c r="A85" s="1" t="str">
        <f>SCALARS!A86</f>
        <v>Tuesday</v>
      </c>
      <c r="B85" s="28">
        <f>SCALARS!B86</f>
        <v>46161</v>
      </c>
      <c r="C85" s="61">
        <f>SCALARS!G86</f>
        <v>945.90890000000002</v>
      </c>
      <c r="D85" s="61">
        <f>G85/J85</f>
        <v>945.90770646873898</v>
      </c>
      <c r="E85" s="61">
        <f t="shared" si="7"/>
        <v>1.1935312610376059E-3</v>
      </c>
      <c r="F85" s="47">
        <v>172173.28</v>
      </c>
      <c r="G85" s="19">
        <v>2120000</v>
      </c>
      <c r="H85" s="8"/>
      <c r="I85" s="47">
        <f>ARKB!H85</f>
        <v>76820.77</v>
      </c>
      <c r="J85" s="20">
        <f>1000*F85/I85</f>
        <v>2241.233458086921</v>
      </c>
      <c r="K85" s="61" t="e">
        <f t="shared" si="8"/>
        <v>#DIV/0!</v>
      </c>
    </row>
    <row r="86" spans="1:18" ht="15" customHeight="1">
      <c r="A86" s="1" t="str">
        <f>SCALARS!A87</f>
        <v>Wednesday</v>
      </c>
      <c r="B86" s="28">
        <f>SCALARS!B87</f>
        <v>46162</v>
      </c>
      <c r="C86" s="61">
        <f>SCALARS!G87</f>
        <v>945.91539999999998</v>
      </c>
      <c r="D86" s="61">
        <f>G86/J86</f>
        <v>945.91314607017262</v>
      </c>
      <c r="E86" s="61">
        <f t="shared" si="7"/>
        <v>2.2539298273613895E-3</v>
      </c>
      <c r="F86" s="47">
        <v>173621.62</v>
      </c>
      <c r="G86" s="19">
        <v>2120000</v>
      </c>
      <c r="H86" s="8">
        <v>2242</v>
      </c>
      <c r="I86" s="47">
        <f>ARKB!H86</f>
        <v>77467.44</v>
      </c>
      <c r="J86" s="20">
        <f>1000*F86/I86</f>
        <v>2241.2205695709063</v>
      </c>
      <c r="K86" s="61">
        <f t="shared" si="8"/>
        <v>945.58429973238185</v>
      </c>
    </row>
    <row r="87" spans="1:18" ht="15" customHeight="1">
      <c r="A87" s="1" t="str">
        <f>SCALARS!A88</f>
        <v>Thursday</v>
      </c>
      <c r="B87" s="28">
        <f>SCALARS!B88</f>
        <v>46163</v>
      </c>
      <c r="C87" s="61">
        <f>SCALARS!G88</f>
        <v>945.92190000000005</v>
      </c>
      <c r="D87" s="61">
        <f>G87/J87</f>
        <v>945.91954791130115</v>
      </c>
      <c r="E87" s="61">
        <f t="shared" si="7"/>
        <v>2.3520886988990242E-3</v>
      </c>
      <c r="F87" s="47">
        <v>173728.74</v>
      </c>
      <c r="G87" s="19">
        <v>2120000</v>
      </c>
      <c r="H87" s="8">
        <v>2242</v>
      </c>
      <c r="I87" s="47">
        <f>ARKB!H87</f>
        <v>77515.759999999995</v>
      </c>
      <c r="J87" s="20">
        <f>1000*F87/I87</f>
        <v>2241.2054013274205</v>
      </c>
      <c r="K87" s="61">
        <f t="shared" si="8"/>
        <v>945.58429973238185</v>
      </c>
      <c r="M87" s="3">
        <v>-25588</v>
      </c>
    </row>
    <row r="88" spans="1:18" ht="15" customHeight="1">
      <c r="A88" s="1" t="str">
        <f>SCALARS!A89</f>
        <v>Friday</v>
      </c>
      <c r="B88" s="28">
        <f>SCALARS!B89</f>
        <v>46164</v>
      </c>
      <c r="C88" s="61">
        <f>SCALARS!G89</f>
        <v>945.92840000000001</v>
      </c>
      <c r="D88" s="61">
        <f>G88/J88</f>
        <v>945.92892055224456</v>
      </c>
      <c r="E88" s="61">
        <f t="shared" si="7"/>
        <v>-5.2055224455216376E-4</v>
      </c>
      <c r="F88" s="47">
        <v>170322.37</v>
      </c>
      <c r="G88" s="19">
        <v>2120000</v>
      </c>
      <c r="H88" s="8">
        <v>2242</v>
      </c>
      <c r="I88" s="47">
        <f>ARKB!H88</f>
        <v>75996.63</v>
      </c>
      <c r="J88" s="20">
        <f>1000*F88/I88</f>
        <v>2241.1831945706012</v>
      </c>
      <c r="K88" s="61">
        <f t="shared" si="8"/>
        <v>945.58429973238185</v>
      </c>
    </row>
    <row r="89" spans="1:18" ht="15" customHeight="1">
      <c r="A89" s="1" t="str">
        <f>SCALARS!A90</f>
        <v>Saturday</v>
      </c>
      <c r="B89" s="28">
        <f>SCALARS!B90</f>
        <v>46165</v>
      </c>
      <c r="C89" s="61">
        <f>SCALARS!G90</f>
        <v>945.93489999999997</v>
      </c>
      <c r="D89" s="61"/>
      <c r="E89" s="61"/>
      <c r="F89" s="47">
        <v>0</v>
      </c>
      <c r="G89" s="19"/>
      <c r="H89" s="8"/>
      <c r="I89" s="47"/>
      <c r="J89" s="20"/>
      <c r="K89" s="61"/>
    </row>
    <row r="90" spans="1:18" ht="15" customHeight="1">
      <c r="A90" s="1" t="str">
        <f>SCALARS!A91</f>
        <v>Sunday</v>
      </c>
      <c r="B90" s="28">
        <f>SCALARS!B91</f>
        <v>46166</v>
      </c>
      <c r="C90" s="61">
        <f>SCALARS!G91</f>
        <v>945.94140000000004</v>
      </c>
      <c r="D90" s="61"/>
      <c r="E90" s="61"/>
      <c r="F90" s="47">
        <v>0</v>
      </c>
      <c r="G90" s="19"/>
      <c r="H90" s="8"/>
      <c r="I90" s="47"/>
      <c r="J90" s="20"/>
      <c r="K90" s="61"/>
    </row>
    <row r="91" spans="1:18" ht="15" customHeight="1">
      <c r="A91" s="1" t="str">
        <f>SCALARS!A92</f>
        <v>Monday</v>
      </c>
      <c r="B91" s="28">
        <f>SCALARS!B92</f>
        <v>46167</v>
      </c>
      <c r="C91" s="61">
        <f>SCALARS!G92</f>
        <v>945.9479</v>
      </c>
      <c r="D91" s="61"/>
      <c r="E91" s="61"/>
      <c r="F91" s="47">
        <v>0</v>
      </c>
      <c r="G91" s="19"/>
      <c r="H91" s="8"/>
      <c r="I91" s="47"/>
      <c r="J91" s="20"/>
      <c r="K91" s="61"/>
    </row>
    <row r="92" spans="1:18" ht="15" customHeight="1">
      <c r="A92" s="1" t="str">
        <f>SCALARS!A93</f>
        <v>Tuesday</v>
      </c>
      <c r="B92" s="28">
        <f>SCALARS!B93</f>
        <v>46168</v>
      </c>
      <c r="C92" s="61">
        <f>SCALARS!G93</f>
        <v>945.95439999999996</v>
      </c>
      <c r="D92" s="61">
        <f>G92/J92</f>
        <v>945.95520493722097</v>
      </c>
      <c r="E92" s="61">
        <f t="shared" si="7"/>
        <v>-8.0493722100527521E-4</v>
      </c>
      <c r="F92" s="47">
        <v>169909.35</v>
      </c>
      <c r="G92" s="19">
        <v>2120000</v>
      </c>
      <c r="H92" s="8">
        <v>2242</v>
      </c>
      <c r="I92" s="47">
        <f>ARKB!H92</f>
        <v>75814.45</v>
      </c>
      <c r="J92" s="20">
        <f>1000*F92/I92</f>
        <v>2241.1209208798587</v>
      </c>
      <c r="K92" s="61">
        <f t="shared" si="8"/>
        <v>945.58429973238185</v>
      </c>
      <c r="M92" s="3">
        <v>-31444</v>
      </c>
      <c r="O92" s="67">
        <f>1000*F92</f>
        <v>169909350</v>
      </c>
      <c r="P92" s="82">
        <f>+O92-M92</f>
        <v>169940794</v>
      </c>
      <c r="Q92" s="147">
        <f>+P92/I92</f>
        <v>2241.535670310871</v>
      </c>
      <c r="R92" s="148">
        <f>+G92/Q92</f>
        <v>945.7801756534102</v>
      </c>
    </row>
    <row r="93" spans="1:18" ht="15" customHeight="1">
      <c r="A93" s="1" t="str">
        <f>SCALARS!A94</f>
        <v>Wednesday</v>
      </c>
      <c r="B93" s="28">
        <f>SCALARS!B94</f>
        <v>46169</v>
      </c>
      <c r="C93" s="61">
        <f>SCALARS!G94</f>
        <v>945.96090000000004</v>
      </c>
      <c r="D93" s="61">
        <f>G93/J93</f>
        <v>945.96398154551571</v>
      </c>
      <c r="E93" s="61">
        <f t="shared" si="7"/>
        <v>-3.081545515669859E-3</v>
      </c>
      <c r="F93" s="47">
        <v>167835.63</v>
      </c>
      <c r="G93" s="19">
        <v>2120000</v>
      </c>
      <c r="H93" s="8">
        <v>2242</v>
      </c>
      <c r="I93" s="47">
        <f>ARKB!H93</f>
        <v>74889.84</v>
      </c>
      <c r="J93" s="20">
        <f>1000*F93/I93</f>
        <v>2241.1001278678123</v>
      </c>
      <c r="K93" s="61">
        <f t="shared" si="8"/>
        <v>945.58429973238185</v>
      </c>
      <c r="M93" s="3">
        <v>-32608</v>
      </c>
      <c r="O93" s="67">
        <f t="shared" ref="O93:O95" si="9">1000*F93</f>
        <v>167835630</v>
      </c>
      <c r="P93" s="82">
        <f t="shared" ref="P93:P95" si="10">+O93-M93</f>
        <v>167868238</v>
      </c>
      <c r="Q93" s="147">
        <f t="shared" ref="Q93:Q95" si="11">+P93/I93</f>
        <v>2241.535540735566</v>
      </c>
      <c r="R93" s="148">
        <f t="shared" ref="R93:R101" si="12">+G93/Q93</f>
        <v>945.78023032564374</v>
      </c>
    </row>
    <row r="94" spans="1:18" ht="15" customHeight="1">
      <c r="A94" s="1" t="str">
        <f>SCALARS!A95</f>
        <v>Thursday</v>
      </c>
      <c r="B94" s="28">
        <f>SCALARS!B95</f>
        <v>46170</v>
      </c>
      <c r="C94" s="61">
        <f>SCALARS!G95</f>
        <v>945.9674</v>
      </c>
      <c r="D94" s="61">
        <f>G94/J94</f>
        <v>945.97440895564944</v>
      </c>
      <c r="E94" s="61">
        <f t="shared" si="7"/>
        <v>-7.0089556494394856E-3</v>
      </c>
      <c r="F94" s="47">
        <v>164451.28</v>
      </c>
      <c r="G94" s="19">
        <v>2120000</v>
      </c>
      <c r="H94" s="8">
        <v>2242</v>
      </c>
      <c r="I94" s="47">
        <f>ARKB!H94</f>
        <v>73380.52</v>
      </c>
      <c r="J94" s="20">
        <f>1000*F94/I94</f>
        <v>2241.0754243769325</v>
      </c>
      <c r="K94" s="61">
        <f t="shared" si="8"/>
        <v>945.58429973238185</v>
      </c>
      <c r="M94" s="3">
        <v>-33758</v>
      </c>
      <c r="O94" s="67">
        <f t="shared" si="9"/>
        <v>164451280</v>
      </c>
      <c r="P94" s="82">
        <f t="shared" si="10"/>
        <v>164485038</v>
      </c>
      <c r="Q94" s="147">
        <f t="shared" si="11"/>
        <v>2241.5354647255158</v>
      </c>
      <c r="R94" s="148">
        <f t="shared" si="12"/>
        <v>945.78026239687529</v>
      </c>
    </row>
    <row r="95" spans="1:18" ht="15" customHeight="1">
      <c r="A95" s="1" t="str">
        <f>SCALARS!A96</f>
        <v>Friday</v>
      </c>
      <c r="B95" s="28">
        <f>SCALARS!B96</f>
        <v>46171</v>
      </c>
      <c r="C95" s="61">
        <f>SCALARS!G96</f>
        <v>945.97389999999996</v>
      </c>
      <c r="D95" s="61">
        <f>G95/J95</f>
        <v>945.98079550201328</v>
      </c>
      <c r="E95" s="61">
        <f t="shared" si="7"/>
        <v>-6.8955020133216749E-3</v>
      </c>
      <c r="F95" s="47">
        <v>164489.59</v>
      </c>
      <c r="G95" s="19">
        <v>2120000</v>
      </c>
      <c r="H95" s="8">
        <v>2242</v>
      </c>
      <c r="I95" s="47">
        <f>ARKB!H95</f>
        <v>73398.11</v>
      </c>
      <c r="J95" s="154">
        <f>1000*F95/I95</f>
        <v>2241.0602943318295</v>
      </c>
      <c r="K95" s="61">
        <f t="shared" si="8"/>
        <v>945.58429973238185</v>
      </c>
      <c r="M95" s="3">
        <v>-34884</v>
      </c>
      <c r="O95" s="67">
        <f t="shared" si="9"/>
        <v>164489590</v>
      </c>
      <c r="P95" s="82">
        <f t="shared" si="10"/>
        <v>164524474</v>
      </c>
      <c r="Q95" s="147">
        <f t="shared" si="11"/>
        <v>2241.5355654253221</v>
      </c>
      <c r="R95" s="148">
        <f t="shared" si="12"/>
        <v>945.78021990819434</v>
      </c>
    </row>
    <row r="96" spans="1:18" ht="15" customHeight="1">
      <c r="A96" s="1" t="str">
        <f>SCALARS!A97</f>
        <v>Saturday</v>
      </c>
      <c r="B96" s="28">
        <f>SCALARS!B97</f>
        <v>46172</v>
      </c>
      <c r="C96" s="61">
        <f>SCALARS!G97</f>
        <v>945.98040000000003</v>
      </c>
      <c r="D96" s="61"/>
      <c r="E96" s="61"/>
      <c r="G96" s="19"/>
      <c r="H96" s="8"/>
      <c r="I96" s="47"/>
      <c r="J96" s="154"/>
      <c r="K96" s="61"/>
      <c r="R96" s="148"/>
    </row>
    <row r="97" spans="1:18" ht="15" customHeight="1">
      <c r="A97" s="1" t="str">
        <f>SCALARS!A98</f>
        <v>Sunday</v>
      </c>
      <c r="B97" s="28">
        <f>SCALARS!B98</f>
        <v>46173</v>
      </c>
      <c r="C97" s="61">
        <f>SCALARS!G98</f>
        <v>945.98689999999999</v>
      </c>
      <c r="D97" s="61"/>
      <c r="E97" s="61"/>
      <c r="G97" s="19"/>
      <c r="H97" s="8"/>
      <c r="I97" s="47"/>
      <c r="J97" s="154"/>
      <c r="K97" s="61"/>
      <c r="R97" s="148"/>
    </row>
    <row r="98" spans="1:18" ht="15" customHeight="1">
      <c r="A98" s="1" t="str">
        <f>SCALARS!A99</f>
        <v>Monday</v>
      </c>
      <c r="B98" s="28">
        <f>SCALARS!B99</f>
        <v>46174</v>
      </c>
      <c r="C98" s="61">
        <f>SCALARS!G99</f>
        <v>945.99339999999995</v>
      </c>
      <c r="D98" s="61">
        <f>G98/J98</f>
        <v>946.00622558088162</v>
      </c>
      <c r="E98" s="61">
        <f t="shared" ref="E98:E127" si="13">C98-D98</f>
        <v>-1.282558088166752E-2</v>
      </c>
      <c r="F98" s="47">
        <v>160071.81</v>
      </c>
      <c r="G98" s="19">
        <v>2120000</v>
      </c>
      <c r="H98" s="8">
        <v>2242</v>
      </c>
      <c r="I98" s="47">
        <f>ARKB!H98</f>
        <v>71428.740000000005</v>
      </c>
      <c r="J98" s="154">
        <f>1000*F98/I98</f>
        <v>2241.0000512398788</v>
      </c>
      <c r="K98" s="61">
        <f t="shared" ref="K98:K127" si="14">G98/H98</f>
        <v>945.58429973238185</v>
      </c>
      <c r="M98" s="3">
        <v>-38264</v>
      </c>
      <c r="O98" s="67">
        <f>1000*F98</f>
        <v>160071810</v>
      </c>
      <c r="P98" s="82">
        <f>+O98-M98</f>
        <v>160110074</v>
      </c>
      <c r="Q98" s="147">
        <f>+P98/I98</f>
        <v>2241.5357459756392</v>
      </c>
      <c r="R98" s="148">
        <f t="shared" si="12"/>
        <v>945.78014372787072</v>
      </c>
    </row>
    <row r="99" spans="1:18" ht="15" customHeight="1">
      <c r="A99" s="1" t="str">
        <f>SCALARS!A100</f>
        <v>Tuesday</v>
      </c>
      <c r="B99" s="28">
        <f>SCALARS!B100</f>
        <v>46175</v>
      </c>
      <c r="C99" s="61">
        <f>SCALARS!G100</f>
        <v>945.99990000000003</v>
      </c>
      <c r="D99" s="61">
        <f>G99/J99</f>
        <v>946.02815395046775</v>
      </c>
      <c r="E99" s="61">
        <f t="shared" si="13"/>
        <v>-2.8253950467728828E-2</v>
      </c>
      <c r="F99" s="47">
        <v>150123.87</v>
      </c>
      <c r="G99" s="19">
        <v>2120000</v>
      </c>
      <c r="H99" s="8">
        <v>2242</v>
      </c>
      <c r="I99" s="47">
        <f>ARKB!H99</f>
        <v>66991.23</v>
      </c>
      <c r="J99" s="154">
        <f>1000*F99/I99</f>
        <v>2240.9481061924075</v>
      </c>
      <c r="K99" s="61">
        <f t="shared" si="14"/>
        <v>945.58429973238185</v>
      </c>
      <c r="M99" s="3">
        <v>-39360</v>
      </c>
      <c r="O99" s="67">
        <f t="shared" ref="O99:O101" si="15">1000*F99</f>
        <v>150123870</v>
      </c>
      <c r="P99" s="82">
        <f t="shared" ref="P99:P101" si="16">+O99-M99</f>
        <v>150163230</v>
      </c>
      <c r="Q99" s="147">
        <f t="shared" ref="Q99:Q101" si="17">+P99/I99</f>
        <v>2241.5356457852768</v>
      </c>
      <c r="R99" s="148">
        <f t="shared" si="12"/>
        <v>945.78018600159305</v>
      </c>
    </row>
    <row r="100" spans="1:18" ht="15" customHeight="1">
      <c r="A100" s="1" t="str">
        <f>SCALARS!A101</f>
        <v>Wednesday</v>
      </c>
      <c r="B100" s="28">
        <f>SCALARS!B101</f>
        <v>46176</v>
      </c>
      <c r="C100" s="61">
        <f>SCALARS!G101</f>
        <v>946.00639999999999</v>
      </c>
      <c r="D100" s="61">
        <f t="shared" ref="D100:D127" si="18">G100/J100</f>
        <v>946.03205920093399</v>
      </c>
      <c r="E100" s="61">
        <f t="shared" si="13"/>
        <v>-2.5659200934001092E-2</v>
      </c>
      <c r="F100" s="47">
        <v>147189.57</v>
      </c>
      <c r="G100" s="19">
        <v>2120000</v>
      </c>
      <c r="H100" s="7">
        <v>2241</v>
      </c>
      <c r="I100" s="143">
        <f>ARKB!H100</f>
        <v>65682.100000000006</v>
      </c>
      <c r="J100" s="146">
        <f t="shared" ref="J100:J127" si="19">1000*F100/I100</f>
        <v>2240.9388554872635</v>
      </c>
      <c r="K100" s="106">
        <f t="shared" si="14"/>
        <v>946.00624721106647</v>
      </c>
      <c r="M100" s="144">
        <v>-3251</v>
      </c>
      <c r="O100" s="67">
        <f t="shared" si="15"/>
        <v>147189570</v>
      </c>
      <c r="P100" s="82">
        <f t="shared" si="16"/>
        <v>147192821</v>
      </c>
      <c r="Q100" s="147">
        <f t="shared" si="17"/>
        <v>2240.9883514686649</v>
      </c>
      <c r="R100" s="148">
        <f t="shared" si="12"/>
        <v>946.01116449830124</v>
      </c>
    </row>
    <row r="101" spans="1:18" ht="15" customHeight="1">
      <c r="A101" s="1" t="str">
        <f>SCALARS!A102</f>
        <v>Thursday</v>
      </c>
      <c r="B101" s="28">
        <f>SCALARS!B102</f>
        <v>46177</v>
      </c>
      <c r="C101" s="61">
        <f>SCALARS!G102</f>
        <v>946.01289999999995</v>
      </c>
      <c r="D101" s="61">
        <f t="shared" si="18"/>
        <v>946.03932280595029</v>
      </c>
      <c r="E101" s="61">
        <f t="shared" si="13"/>
        <v>-2.6422805950346628E-2</v>
      </c>
      <c r="F101" s="47">
        <v>142819.92000000001</v>
      </c>
      <c r="G101" s="19">
        <v>2120000</v>
      </c>
      <c r="H101" s="8">
        <v>2241</v>
      </c>
      <c r="I101" s="47">
        <f>ARKB!H101</f>
        <v>63732.67</v>
      </c>
      <c r="J101" s="20">
        <f t="shared" si="19"/>
        <v>2240.9216497598486</v>
      </c>
      <c r="K101" s="61">
        <f t="shared" si="14"/>
        <v>946.00624721106647</v>
      </c>
      <c r="M101" s="3">
        <v>-4259</v>
      </c>
      <c r="O101" s="67">
        <f t="shared" si="15"/>
        <v>142819920</v>
      </c>
      <c r="P101" s="82">
        <f t="shared" si="16"/>
        <v>142824179</v>
      </c>
      <c r="Q101" s="147">
        <f t="shared" si="17"/>
        <v>2240.988475769178</v>
      </c>
      <c r="R101" s="148">
        <f t="shared" si="12"/>
        <v>946.0111120260666</v>
      </c>
    </row>
    <row r="102" spans="1:18" ht="15" customHeight="1">
      <c r="A102" s="1" t="str">
        <f>SCALARS!A103</f>
        <v>Friday</v>
      </c>
      <c r="B102" s="28">
        <f>SCALARS!B103</f>
        <v>46178</v>
      </c>
      <c r="C102" s="61">
        <f>SCALARS!G103</f>
        <v>946.01940000000002</v>
      </c>
      <c r="D102" s="61">
        <f t="shared" si="18"/>
        <v>946.04820872394703</v>
      </c>
      <c r="E102" s="61">
        <f t="shared" si="13"/>
        <v>-2.880872394700873E-2</v>
      </c>
      <c r="F102" s="47">
        <v>133722.26999999999</v>
      </c>
      <c r="G102" s="19">
        <v>2120000</v>
      </c>
      <c r="H102" s="8">
        <v>2241</v>
      </c>
      <c r="I102" s="47">
        <f>ARKB!H102</f>
        <v>59673.45</v>
      </c>
      <c r="J102" s="20">
        <f t="shared" si="19"/>
        <v>2240.9006015237933</v>
      </c>
      <c r="K102" s="61">
        <f t="shared" si="14"/>
        <v>946.00624721106647</v>
      </c>
      <c r="M102" s="3">
        <v>-5237</v>
      </c>
      <c r="O102" s="67">
        <f t="shared" ref="O102" si="20">1000*F102</f>
        <v>133722269.99999999</v>
      </c>
      <c r="P102" s="82">
        <f t="shared" ref="P102" si="21">+O102-M102</f>
        <v>133727506.99999999</v>
      </c>
      <c r="Q102" s="147">
        <f t="shared" ref="Q102" si="22">+P102/I102</f>
        <v>2240.988362496219</v>
      </c>
      <c r="R102" s="148">
        <f t="shared" ref="R102" si="23">+G102/Q102</f>
        <v>946.01115984312787</v>
      </c>
    </row>
    <row r="103" spans="1:18" ht="15" customHeight="1">
      <c r="A103" s="1" t="str">
        <f>SCALARS!A104</f>
        <v>Saturday</v>
      </c>
      <c r="B103" s="28">
        <f>SCALARS!B104</f>
        <v>46179</v>
      </c>
      <c r="C103" s="61">
        <f>SCALARS!G104</f>
        <v>946.02589999999998</v>
      </c>
      <c r="D103" s="61"/>
      <c r="E103" s="61"/>
      <c r="G103" s="19"/>
      <c r="H103" s="8"/>
      <c r="I103" s="47"/>
      <c r="J103" s="20"/>
      <c r="K103" s="61"/>
    </row>
    <row r="104" spans="1:18" ht="15" customHeight="1">
      <c r="A104" s="1" t="str">
        <f>SCALARS!A105</f>
        <v>Sunday</v>
      </c>
      <c r="B104" s="28">
        <f>SCALARS!B105</f>
        <v>46180</v>
      </c>
      <c r="C104" s="61">
        <f>SCALARS!G105</f>
        <v>946.03240000000005</v>
      </c>
      <c r="D104" s="61"/>
      <c r="E104" s="61"/>
      <c r="G104" s="19"/>
      <c r="H104" s="8"/>
      <c r="I104" s="47"/>
      <c r="J104" s="20"/>
      <c r="K104" s="61"/>
    </row>
    <row r="105" spans="1:18" ht="15" customHeight="1">
      <c r="A105" s="1" t="str">
        <f>SCALARS!A106</f>
        <v>Monday</v>
      </c>
      <c r="B105" s="28">
        <f>SCALARS!B106</f>
        <v>46181</v>
      </c>
      <c r="C105" s="61">
        <f>SCALARS!G106</f>
        <v>946.03890000000001</v>
      </c>
      <c r="D105" s="61">
        <f t="shared" si="18"/>
        <v>946.06424786796367</v>
      </c>
      <c r="E105" s="61">
        <f t="shared" si="13"/>
        <v>-2.5347867963660065E-2</v>
      </c>
      <c r="F105" s="47">
        <v>142182.15</v>
      </c>
      <c r="G105" s="19">
        <v>2120000</v>
      </c>
      <c r="H105" s="8">
        <v>2241</v>
      </c>
      <c r="I105" s="47">
        <f>ARKB!H105</f>
        <v>63449.74</v>
      </c>
      <c r="J105" s="20">
        <f t="shared" si="19"/>
        <v>2240.8626103117208</v>
      </c>
      <c r="K105" s="61">
        <f t="shared" si="14"/>
        <v>946.00624721106647</v>
      </c>
      <c r="M105" s="3">
        <v>-7985</v>
      </c>
    </row>
    <row r="106" spans="1:18" ht="15" customHeight="1">
      <c r="A106" s="1" t="str">
        <f>SCALARS!A107</f>
        <v>Tuesday</v>
      </c>
      <c r="B106" s="28">
        <f>SCALARS!B107</f>
        <v>46182</v>
      </c>
      <c r="C106" s="61">
        <f>SCALARS!G107</f>
        <v>946.04539999999997</v>
      </c>
      <c r="D106" s="61">
        <f t="shared" si="18"/>
        <v>946.07230582604507</v>
      </c>
      <c r="E106" s="61">
        <f t="shared" si="13"/>
        <v>-2.6905826045094727E-2</v>
      </c>
      <c r="F106" s="47">
        <v>138540.98000000001</v>
      </c>
      <c r="G106" s="19">
        <v>2120000</v>
      </c>
      <c r="H106" s="8">
        <v>2241</v>
      </c>
      <c r="I106" s="47">
        <f>ARKB!H106</f>
        <v>61825.37</v>
      </c>
      <c r="J106" s="20">
        <f t="shared" si="19"/>
        <v>2240.8435242684354</v>
      </c>
      <c r="K106" s="61">
        <f t="shared" si="14"/>
        <v>946.00624721106647</v>
      </c>
      <c r="M106" s="3">
        <v>-8959</v>
      </c>
    </row>
    <row r="107" spans="1:18" ht="15" customHeight="1">
      <c r="A107" s="1" t="str">
        <f>SCALARS!A108</f>
        <v>Wednesday</v>
      </c>
      <c r="B107" s="28">
        <f>SCALARS!B108</f>
        <v>46183</v>
      </c>
      <c r="C107" s="61">
        <f>SCALARS!G108</f>
        <v>946.05190000000005</v>
      </c>
      <c r="D107" s="61">
        <f t="shared" si="18"/>
        <v>946.07879335736641</v>
      </c>
      <c r="E107" s="61">
        <f t="shared" si="13"/>
        <v>-2.689335736636167E-2</v>
      </c>
      <c r="F107" s="47">
        <v>138511.93</v>
      </c>
      <c r="G107" s="19">
        <v>2120000</v>
      </c>
      <c r="H107" s="8">
        <v>2241</v>
      </c>
      <c r="I107" s="47">
        <f>ARKB!H107</f>
        <v>61812.83</v>
      </c>
      <c r="J107" s="20">
        <f t="shared" si="19"/>
        <v>2240.8281581671636</v>
      </c>
      <c r="K107" s="61">
        <f t="shared" si="14"/>
        <v>946.00624721106647</v>
      </c>
      <c r="M107" s="3">
        <v>-9908</v>
      </c>
    </row>
    <row r="108" spans="1:18" ht="15" customHeight="1">
      <c r="A108" s="1" t="str">
        <f>SCALARS!A109</f>
        <v>Thursday</v>
      </c>
      <c r="B108" s="28">
        <f>SCALARS!B109</f>
        <v>46184</v>
      </c>
      <c r="C108" s="61">
        <f>SCALARS!G109</f>
        <v>946.05840000000001</v>
      </c>
      <c r="D108" s="61">
        <f t="shared" si="18"/>
        <v>946.08315495950342</v>
      </c>
      <c r="E108" s="61">
        <f t="shared" si="13"/>
        <v>-2.4754959503411555E-2</v>
      </c>
      <c r="F108" s="47">
        <v>143490.78</v>
      </c>
      <c r="G108" s="19">
        <v>2135000</v>
      </c>
      <c r="H108" s="8">
        <v>2257</v>
      </c>
      <c r="I108" s="47">
        <f>ARKB!H108</f>
        <v>63585.11</v>
      </c>
      <c r="J108" s="20">
        <f t="shared" si="19"/>
        <v>2256.6726706928712</v>
      </c>
      <c r="K108" s="61">
        <f t="shared" si="14"/>
        <v>945.94594594594594</v>
      </c>
      <c r="M108" s="3">
        <v>-10856</v>
      </c>
    </row>
    <row r="109" spans="1:18" ht="15" customHeight="1">
      <c r="A109" s="1" t="str">
        <f>SCALARS!A110</f>
        <v>Friday</v>
      </c>
      <c r="B109" s="28">
        <f>SCALARS!B110</f>
        <v>46185</v>
      </c>
      <c r="C109" s="61">
        <f>SCALARS!G110</f>
        <v>946.06489999999997</v>
      </c>
      <c r="D109" s="61">
        <f t="shared" si="18"/>
        <v>946.08956499407611</v>
      </c>
      <c r="E109" s="61">
        <f t="shared" si="13"/>
        <v>-2.4664994076147195E-2</v>
      </c>
      <c r="F109" s="47">
        <v>143645.63</v>
      </c>
      <c r="G109" s="19">
        <v>2135000</v>
      </c>
      <c r="H109" s="8">
        <v>2257</v>
      </c>
      <c r="I109" s="47">
        <f>ARKB!H109</f>
        <v>63654.16</v>
      </c>
      <c r="J109" s="20">
        <f t="shared" si="19"/>
        <v>2256.6573810729728</v>
      </c>
      <c r="K109" s="61">
        <f t="shared" si="14"/>
        <v>945.94594594594594</v>
      </c>
      <c r="M109" s="3">
        <v>-11839</v>
      </c>
    </row>
    <row r="110" spans="1:18" ht="15" customHeight="1">
      <c r="A110" s="1" t="str">
        <f>SCALARS!A111</f>
        <v>Saturday</v>
      </c>
      <c r="B110" s="28">
        <f>SCALARS!B111</f>
        <v>46186</v>
      </c>
      <c r="C110" s="61">
        <f>SCALARS!G111</f>
        <v>946.07140000000004</v>
      </c>
      <c r="D110" s="61"/>
      <c r="E110" s="61"/>
      <c r="G110" s="19"/>
      <c r="H110" s="8"/>
      <c r="I110" s="47"/>
      <c r="J110" s="20"/>
      <c r="K110" s="61"/>
    </row>
    <row r="111" spans="1:18" ht="15" customHeight="1">
      <c r="A111" s="1" t="str">
        <f>SCALARS!A112</f>
        <v>Sunday</v>
      </c>
      <c r="B111" s="28">
        <f>SCALARS!B112</f>
        <v>46187</v>
      </c>
      <c r="C111" s="61">
        <f>SCALARS!G112</f>
        <v>946.0779</v>
      </c>
      <c r="D111" s="61"/>
      <c r="E111" s="61"/>
      <c r="G111" s="19"/>
      <c r="H111" s="8"/>
      <c r="I111" s="47"/>
      <c r="J111" s="20"/>
      <c r="K111" s="61"/>
    </row>
    <row r="112" spans="1:18" ht="15" customHeight="1">
      <c r="A112" s="1" t="str">
        <f>SCALARS!A113</f>
        <v>Monday</v>
      </c>
      <c r="B112" s="28">
        <f>SCALARS!B113</f>
        <v>46188</v>
      </c>
      <c r="C112" s="61">
        <f>SCALARS!G113</f>
        <v>946.08439999999996</v>
      </c>
      <c r="D112" s="61">
        <f t="shared" si="18"/>
        <v>946.10462708725186</v>
      </c>
      <c r="E112" s="61">
        <f t="shared" si="13"/>
        <v>-2.0227087251896592E-2</v>
      </c>
      <c r="F112" s="47">
        <v>150398.72</v>
      </c>
      <c r="G112" s="19">
        <v>2135000</v>
      </c>
      <c r="H112" s="8">
        <v>2257</v>
      </c>
      <c r="I112" s="47">
        <f>ARKB!H112</f>
        <v>66647.740000000005</v>
      </c>
      <c r="J112" s="20">
        <f t="shared" si="19"/>
        <v>2256.6214548310263</v>
      </c>
      <c r="K112" s="61">
        <f t="shared" si="14"/>
        <v>945.94594594594594</v>
      </c>
      <c r="M112" s="3">
        <v>-14791</v>
      </c>
      <c r="O112" s="67">
        <f>+M112-M108</f>
        <v>-3935</v>
      </c>
    </row>
    <row r="113" spans="1:16" ht="15" customHeight="1">
      <c r="A113" s="1" t="str">
        <f>SCALARS!A114</f>
        <v>Tuesday</v>
      </c>
      <c r="B113" s="28">
        <f>SCALARS!B114</f>
        <v>46189</v>
      </c>
      <c r="C113" s="61">
        <f>SCALARS!G114</f>
        <v>946.09090000000003</v>
      </c>
      <c r="D113" s="61">
        <f t="shared" si="18"/>
        <v>946.11272909568481</v>
      </c>
      <c r="E113" s="61">
        <f>C113-D113</f>
        <v>-2.1829095684779531E-2</v>
      </c>
      <c r="F113" s="47">
        <v>148051.13</v>
      </c>
      <c r="G113" s="19">
        <v>2135000</v>
      </c>
      <c r="H113" s="8">
        <v>2257</v>
      </c>
      <c r="I113" s="47">
        <f>ARKB!H113</f>
        <v>65607.990000000005</v>
      </c>
      <c r="J113" s="20">
        <f t="shared" si="19"/>
        <v>2256.6021303197977</v>
      </c>
      <c r="K113" s="61">
        <f t="shared" si="14"/>
        <v>945.94594594594594</v>
      </c>
      <c r="M113" s="3">
        <v>-15821</v>
      </c>
      <c r="O113" s="67">
        <f>+M113-M112</f>
        <v>-1030</v>
      </c>
    </row>
    <row r="114" spans="1:16" ht="15" customHeight="1">
      <c r="A114" s="1" t="str">
        <f>SCALARS!A115</f>
        <v>Wednesday</v>
      </c>
      <c r="B114" s="28">
        <f>SCALARS!B115</f>
        <v>46190</v>
      </c>
      <c r="C114" s="61">
        <f>SCALARS!G115</f>
        <v>946.09739999999999</v>
      </c>
      <c r="D114" s="61">
        <f t="shared" si="18"/>
        <v>946.12077941645009</v>
      </c>
      <c r="E114" s="61">
        <f t="shared" si="13"/>
        <v>-2.3379416450097779E-2</v>
      </c>
      <c r="F114" s="47">
        <v>145885.04</v>
      </c>
      <c r="G114" s="19">
        <v>2135000</v>
      </c>
      <c r="H114" s="8">
        <v>2257</v>
      </c>
      <c r="I114" s="47">
        <f>ARKB!H114</f>
        <v>64648.65</v>
      </c>
      <c r="J114" s="20">
        <f t="shared" si="19"/>
        <v>2256.5829294192531</v>
      </c>
      <c r="K114" s="61">
        <f t="shared" si="14"/>
        <v>945.94594594594594</v>
      </c>
      <c r="M114" s="3">
        <v>-16835</v>
      </c>
      <c r="O114" s="67">
        <f t="shared" ref="O114:O115" si="24">+M114-M113</f>
        <v>-1014</v>
      </c>
    </row>
    <row r="115" spans="1:16" ht="15" customHeight="1">
      <c r="A115" s="1" t="str">
        <f>SCALARS!A116</f>
        <v>Thursday</v>
      </c>
      <c r="B115" s="28">
        <f>SCALARS!B116</f>
        <v>46191</v>
      </c>
      <c r="C115" s="61">
        <f>SCALARS!G116</f>
        <v>946.10389999999995</v>
      </c>
      <c r="D115" s="61">
        <f t="shared" si="18"/>
        <v>946.13081539775601</v>
      </c>
      <c r="E115" s="61">
        <f t="shared" si="13"/>
        <v>-2.6915397756056336E-2</v>
      </c>
      <c r="F115" s="47">
        <v>141558.03</v>
      </c>
      <c r="G115" s="19">
        <v>2135000</v>
      </c>
      <c r="H115" s="8">
        <v>2257</v>
      </c>
      <c r="I115" s="47">
        <f>ARKB!H115</f>
        <v>62731.81</v>
      </c>
      <c r="J115" s="20">
        <f t="shared" si="19"/>
        <v>2256.5589929574803</v>
      </c>
      <c r="K115" s="61">
        <f t="shared" si="14"/>
        <v>945.94594594594594</v>
      </c>
      <c r="M115" s="3">
        <v>-17834</v>
      </c>
      <c r="O115" s="67">
        <f t="shared" si="24"/>
        <v>-999</v>
      </c>
    </row>
    <row r="116" spans="1:16" ht="15" customHeight="1">
      <c r="A116" s="1" t="str">
        <f>SCALARS!A117</f>
        <v>Friday</v>
      </c>
      <c r="B116" s="28">
        <f>SCALARS!B117</f>
        <v>46192</v>
      </c>
      <c r="C116" s="61">
        <f>SCALARS!G117</f>
        <v>946.11040000000003</v>
      </c>
      <c r="D116" s="161" t="s">
        <v>73</v>
      </c>
      <c r="E116" s="61"/>
      <c r="G116" s="19"/>
      <c r="H116" s="8"/>
      <c r="I116" s="47"/>
      <c r="J116" s="20"/>
      <c r="K116" s="61"/>
    </row>
    <row r="117" spans="1:16" ht="15" customHeight="1">
      <c r="A117" s="1" t="str">
        <f>SCALARS!A118</f>
        <v>Saturday</v>
      </c>
      <c r="B117" s="28">
        <f>SCALARS!B118</f>
        <v>46193</v>
      </c>
      <c r="C117" s="61">
        <f>SCALARS!G118</f>
        <v>946.11689999999999</v>
      </c>
      <c r="D117" s="61"/>
      <c r="E117" s="61"/>
      <c r="G117" s="19"/>
      <c r="H117" s="8"/>
      <c r="I117" s="47"/>
      <c r="J117" s="20"/>
      <c r="K117" s="61"/>
    </row>
    <row r="118" spans="1:16" ht="15" customHeight="1">
      <c r="A118" s="1" t="str">
        <f>SCALARS!A119</f>
        <v>Sunday</v>
      </c>
      <c r="B118" s="28">
        <f>SCALARS!B119</f>
        <v>46194</v>
      </c>
      <c r="C118" s="61">
        <f>SCALARS!G119</f>
        <v>946.12339999999995</v>
      </c>
      <c r="D118" s="61"/>
      <c r="E118" s="61"/>
      <c r="G118" s="19"/>
      <c r="H118" s="8"/>
      <c r="I118" s="47"/>
      <c r="J118" s="20"/>
      <c r="K118" s="61"/>
    </row>
    <row r="119" spans="1:16" ht="15" customHeight="1">
      <c r="A119" s="1" t="str">
        <f>SCALARS!A120</f>
        <v>Monday</v>
      </c>
      <c r="B119" s="28">
        <f>SCALARS!B120</f>
        <v>46195</v>
      </c>
      <c r="C119" s="61">
        <f>SCALARS!G120</f>
        <v>946.12990000000002</v>
      </c>
      <c r="D119" s="61">
        <f t="shared" si="18"/>
        <v>946.15311170217524</v>
      </c>
      <c r="E119" s="61">
        <f t="shared" si="13"/>
        <v>-2.3211702175217397E-2</v>
      </c>
      <c r="F119" s="47">
        <v>145131.82</v>
      </c>
      <c r="G119" s="19">
        <v>2135000</v>
      </c>
      <c r="H119" s="8">
        <v>2257</v>
      </c>
      <c r="I119" s="47">
        <f>ARKB!H119</f>
        <v>64317.06</v>
      </c>
      <c r="J119" s="20">
        <f t="shared" si="19"/>
        <v>2256.5058166526892</v>
      </c>
      <c r="K119" s="61">
        <f t="shared" si="14"/>
        <v>945.94594594594594</v>
      </c>
      <c r="M119" s="3">
        <v>-21713</v>
      </c>
      <c r="O119" s="67">
        <f>+M119-M115</f>
        <v>-3879</v>
      </c>
      <c r="P119" s="82">
        <f>+O119/4</f>
        <v>-969.75</v>
      </c>
    </row>
    <row r="120" spans="1:16" ht="15" customHeight="1">
      <c r="A120" s="1" t="str">
        <f>SCALARS!A121</f>
        <v>Tuesday</v>
      </c>
      <c r="B120" s="28">
        <f>SCALARS!B121</f>
        <v>46196</v>
      </c>
      <c r="C120" s="61">
        <f>SCALARS!G121</f>
        <v>946.13639999999998</v>
      </c>
      <c r="D120" s="61">
        <f t="shared" si="18"/>
        <v>946.16426188727041</v>
      </c>
      <c r="E120" s="61">
        <f t="shared" si="13"/>
        <v>-2.7861887270432817E-2</v>
      </c>
      <c r="F120" s="47">
        <v>143798.35999999999</v>
      </c>
      <c r="G120" s="19">
        <v>2185000</v>
      </c>
      <c r="H120" s="8">
        <v>2310</v>
      </c>
      <c r="I120" s="47">
        <f>ARKB!H120</f>
        <v>62268.59</v>
      </c>
      <c r="J120" s="20">
        <f t="shared" si="19"/>
        <v>2309.3241713037023</v>
      </c>
      <c r="K120" s="61">
        <f t="shared" si="14"/>
        <v>945.88744588744589</v>
      </c>
      <c r="M120" s="3">
        <v>-22694</v>
      </c>
      <c r="O120" s="67">
        <f>+M120-M119</f>
        <v>-981</v>
      </c>
    </row>
    <row r="121" spans="1:16" ht="15" customHeight="1">
      <c r="A121" s="1" t="str">
        <f>SCALARS!A122</f>
        <v>Wednesday</v>
      </c>
      <c r="B121" s="28">
        <f>SCALARS!B122</f>
        <v>46197</v>
      </c>
      <c r="C121" s="61">
        <f>SCALARS!G122</f>
        <v>946.14290000000005</v>
      </c>
      <c r="D121" s="61">
        <f t="shared" si="18"/>
        <v>946.17749975542472</v>
      </c>
      <c r="E121" s="61">
        <f t="shared" si="13"/>
        <v>-3.4599755424665091E-2</v>
      </c>
      <c r="F121" s="47">
        <v>137789.88</v>
      </c>
      <c r="G121" s="19">
        <v>2185000</v>
      </c>
      <c r="H121" s="8">
        <v>2310</v>
      </c>
      <c r="I121" s="47">
        <f>ARKB!H121</f>
        <v>59667.59</v>
      </c>
      <c r="J121" s="20">
        <f t="shared" si="19"/>
        <v>2309.2918617963287</v>
      </c>
      <c r="K121" s="61">
        <f t="shared" si="14"/>
        <v>945.88744588744589</v>
      </c>
      <c r="M121" s="3">
        <v>-23679</v>
      </c>
      <c r="O121" s="67">
        <f t="shared" ref="O121:O123" si="25">+M121-M120</f>
        <v>-985</v>
      </c>
    </row>
    <row r="122" spans="1:16" ht="15" customHeight="1">
      <c r="A122" s="1" t="str">
        <f>SCALARS!A123</f>
        <v>Thursday</v>
      </c>
      <c r="B122" s="28">
        <f>SCALARS!B123</f>
        <v>46198</v>
      </c>
      <c r="C122" s="61">
        <f>SCALARS!G123</f>
        <v>946.14940000000001</v>
      </c>
      <c r="D122" s="61">
        <f t="shared" si="18"/>
        <v>946.18528387307742</v>
      </c>
      <c r="E122" s="61">
        <f t="shared" si="13"/>
        <v>-3.5883873077409589E-2</v>
      </c>
      <c r="F122" s="47">
        <v>136761.12</v>
      </c>
      <c r="G122" s="19">
        <v>2185000</v>
      </c>
      <c r="H122" s="8">
        <v>2310</v>
      </c>
      <c r="I122" s="47">
        <f>ARKB!H122</f>
        <v>59222.59</v>
      </c>
      <c r="J122" s="20">
        <f t="shared" si="19"/>
        <v>2309.2728636150496</v>
      </c>
      <c r="K122" s="61">
        <f t="shared" si="14"/>
        <v>945.88744588744589</v>
      </c>
      <c r="M122" s="3">
        <v>-24622</v>
      </c>
      <c r="O122" s="67">
        <f t="shared" si="25"/>
        <v>-943</v>
      </c>
    </row>
    <row r="123" spans="1:16" ht="15" customHeight="1">
      <c r="A123" s="1" t="str">
        <f>SCALARS!A124</f>
        <v>Friday</v>
      </c>
      <c r="B123" s="28">
        <f>SCALARS!B124</f>
        <v>46199</v>
      </c>
      <c r="C123" s="61">
        <f>SCALARS!G124</f>
        <v>946.15589999999997</v>
      </c>
      <c r="D123" s="61">
        <f t="shared" si="18"/>
        <v>946.19000177231953</v>
      </c>
      <c r="E123" s="61">
        <f t="shared" si="13"/>
        <v>-3.4101772319559132E-2</v>
      </c>
      <c r="F123" s="47">
        <v>138124.07999999999</v>
      </c>
      <c r="G123" s="19">
        <v>2185000</v>
      </c>
      <c r="H123" s="8">
        <v>2310</v>
      </c>
      <c r="I123" s="47">
        <f>ARKB!H123</f>
        <v>59813.1</v>
      </c>
      <c r="J123" s="20">
        <f t="shared" si="19"/>
        <v>2309.261349102454</v>
      </c>
      <c r="K123" s="61">
        <f t="shared" si="14"/>
        <v>945.88744588744589</v>
      </c>
      <c r="M123" s="3">
        <v>-25559</v>
      </c>
      <c r="O123" s="67">
        <f t="shared" si="25"/>
        <v>-937</v>
      </c>
    </row>
    <row r="124" spans="1:16" ht="15" customHeight="1">
      <c r="A124" s="1" t="str">
        <f>SCALARS!A125</f>
        <v>Saturday</v>
      </c>
      <c r="B124" s="28">
        <f>SCALARS!B125</f>
        <v>46200</v>
      </c>
      <c r="C124" s="61">
        <f>SCALARS!G125</f>
        <v>946.16240000000005</v>
      </c>
      <c r="D124" s="61"/>
      <c r="E124" s="61"/>
      <c r="G124" s="19"/>
      <c r="H124" s="8"/>
      <c r="I124" s="47"/>
      <c r="J124" s="20"/>
      <c r="K124" s="61"/>
    </row>
    <row r="125" spans="1:16" ht="15" customHeight="1">
      <c r="A125" s="1" t="str">
        <f>SCALARS!A126</f>
        <v>Sunday</v>
      </c>
      <c r="B125" s="28">
        <f>SCALARS!B126</f>
        <v>46201</v>
      </c>
      <c r="C125" s="61">
        <f>SCALARS!G126</f>
        <v>946.16890000000001</v>
      </c>
      <c r="D125" s="61"/>
      <c r="E125" s="61"/>
      <c r="G125" s="19"/>
      <c r="H125" s="8"/>
      <c r="I125" s="47"/>
      <c r="J125" s="20"/>
      <c r="K125" s="61"/>
    </row>
    <row r="126" spans="1:16" ht="15" customHeight="1">
      <c r="A126" s="1" t="str">
        <f>SCALARS!A127</f>
        <v>Monday</v>
      </c>
      <c r="B126" s="28">
        <f>SCALARS!B127</f>
        <v>46202</v>
      </c>
      <c r="C126" s="61">
        <f>SCALARS!G127</f>
        <v>946.17539999999997</v>
      </c>
      <c r="D126" s="61">
        <f t="shared" si="18"/>
        <v>946.20809257734641</v>
      </c>
      <c r="E126" s="61">
        <f t="shared" si="13"/>
        <v>-3.2692577346438156E-2</v>
      </c>
      <c r="F126" s="47">
        <v>139160.60999999999</v>
      </c>
      <c r="G126" s="19">
        <v>2185000</v>
      </c>
      <c r="H126" s="8">
        <v>2310</v>
      </c>
      <c r="I126" s="47">
        <f>ARKB!H126</f>
        <v>60263.11</v>
      </c>
      <c r="J126" s="20">
        <f t="shared" si="19"/>
        <v>2309.2171977184717</v>
      </c>
      <c r="K126" s="61">
        <f t="shared" si="14"/>
        <v>945.88744588744589</v>
      </c>
      <c r="M126" s="3">
        <v>-28410</v>
      </c>
      <c r="O126" s="67">
        <f>+M126-M123</f>
        <v>-2851</v>
      </c>
      <c r="P126" s="82">
        <f>+O126/3</f>
        <v>-950.33333333333337</v>
      </c>
    </row>
    <row r="127" spans="1:16" ht="15" customHeight="1">
      <c r="A127" s="1" t="str">
        <f>SCALARS!A128</f>
        <v>Tuesday</v>
      </c>
      <c r="B127" s="28">
        <f>SCALARS!B128</f>
        <v>46203</v>
      </c>
      <c r="C127" s="61">
        <f>SCALARS!G128</f>
        <v>946.18190000000004</v>
      </c>
      <c r="D127" s="61">
        <f t="shared" si="18"/>
        <v>946.22019296555277</v>
      </c>
      <c r="E127" s="61">
        <f t="shared" si="13"/>
        <v>-3.8292965552727765E-2</v>
      </c>
      <c r="F127" s="47">
        <v>135330.89000000001</v>
      </c>
      <c r="G127" s="19">
        <v>2185000</v>
      </c>
      <c r="H127" s="8">
        <v>2310</v>
      </c>
      <c r="I127" s="47">
        <f>ARKB!H127</f>
        <v>58605.41</v>
      </c>
      <c r="J127" s="20">
        <f t="shared" si="19"/>
        <v>2309.1876671454052</v>
      </c>
      <c r="K127" s="61">
        <f t="shared" si="14"/>
        <v>945.88744588744589</v>
      </c>
      <c r="M127" s="3">
        <v>-29363</v>
      </c>
      <c r="O127" s="67">
        <f>+M127-M126</f>
        <v>-953</v>
      </c>
    </row>
    <row r="128" spans="1:16" ht="15" customHeight="1">
      <c r="A128" s="1" t="str">
        <f>SCALARS!A129</f>
        <v>Wednesday</v>
      </c>
      <c r="B128" s="28">
        <f>SCALARS!B129</f>
        <v>46204</v>
      </c>
      <c r="C128" s="61">
        <f>SCALARS!G129</f>
        <v>946.1884</v>
      </c>
      <c r="D128" s="61">
        <f t="shared" ref="D128:D158" si="26">G128/J128</f>
        <v>946.2212183599421</v>
      </c>
      <c r="E128" s="61">
        <f t="shared" ref="E128:E158" si="27">C128-D128</f>
        <v>-3.2818359942098141E-2</v>
      </c>
      <c r="F128" s="47">
        <v>138888.01999999999</v>
      </c>
      <c r="G128" s="19">
        <v>2185000</v>
      </c>
      <c r="H128" s="8">
        <v>2310</v>
      </c>
      <c r="I128" s="47">
        <f>ARKB!H128</f>
        <v>60145.9</v>
      </c>
      <c r="J128" s="20">
        <f t="shared" ref="J128:J158" si="28">1000*F128/I128</f>
        <v>2309.1851647410713</v>
      </c>
      <c r="K128" s="61">
        <f t="shared" ref="K128:K158" si="29">G128/H128</f>
        <v>945.88744588744589</v>
      </c>
      <c r="M128" s="3">
        <v>-30290</v>
      </c>
      <c r="O128" s="67">
        <f>+M128-M127</f>
        <v>-927</v>
      </c>
    </row>
    <row r="129" spans="1:15" ht="15" customHeight="1">
      <c r="A129" s="1" t="str">
        <f>SCALARS!A130</f>
        <v>Thursday</v>
      </c>
      <c r="B129" s="28">
        <f>SCALARS!B130</f>
        <v>46205</v>
      </c>
      <c r="C129" s="61">
        <f>SCALARS!G130</f>
        <v>946.19489999999996</v>
      </c>
      <c r="D129" s="61">
        <f t="shared" si="26"/>
        <v>946.22295923685022</v>
      </c>
      <c r="E129" s="61">
        <f t="shared" si="27"/>
        <v>-2.805923685025391E-2</v>
      </c>
      <c r="F129" s="47">
        <v>142094.26999999999</v>
      </c>
      <c r="G129" s="19">
        <v>2185000</v>
      </c>
      <c r="H129" s="8">
        <v>2310</v>
      </c>
      <c r="I129" s="47">
        <f>ARKB!H129</f>
        <v>61534.49</v>
      </c>
      <c r="J129" s="20">
        <f t="shared" si="28"/>
        <v>2309.1809162633836</v>
      </c>
      <c r="K129" s="61">
        <f t="shared" si="29"/>
        <v>945.88744588744589</v>
      </c>
      <c r="M129" s="3">
        <v>-31242</v>
      </c>
      <c r="O129" s="67">
        <f>+M129-M128</f>
        <v>-952</v>
      </c>
    </row>
    <row r="130" spans="1:15" ht="15" customHeight="1">
      <c r="A130" s="1" t="str">
        <f>SCALARS!A131</f>
        <v>Friday</v>
      </c>
      <c r="B130" s="28">
        <f>SCALARS!B131</f>
        <v>46206</v>
      </c>
      <c r="C130" s="61">
        <f>SCALARS!G131</f>
        <v>946.20140000000004</v>
      </c>
      <c r="D130" s="161" t="s">
        <v>73</v>
      </c>
      <c r="E130" s="61"/>
      <c r="G130" s="19"/>
      <c r="H130" s="8"/>
      <c r="I130" s="47"/>
      <c r="J130" s="20"/>
      <c r="K130" s="61"/>
    </row>
    <row r="131" spans="1:15" ht="15" customHeight="1">
      <c r="A131" s="1" t="str">
        <f>SCALARS!A132</f>
        <v>Saturday</v>
      </c>
      <c r="B131" s="28">
        <f>SCALARS!B132</f>
        <v>46207</v>
      </c>
      <c r="C131" s="61">
        <f>SCALARS!G132</f>
        <v>946.2079</v>
      </c>
      <c r="D131" s="61"/>
      <c r="E131" s="61"/>
      <c r="G131" s="19"/>
      <c r="H131" s="8"/>
      <c r="I131" s="47"/>
      <c r="J131" s="20"/>
      <c r="K131" s="61"/>
    </row>
    <row r="132" spans="1:15" ht="15" customHeight="1">
      <c r="A132" s="1" t="str">
        <f>SCALARS!A133</f>
        <v>Sunday</v>
      </c>
      <c r="B132" s="28">
        <f>SCALARS!B133</f>
        <v>46208</v>
      </c>
      <c r="C132" s="61">
        <f>SCALARS!G133</f>
        <v>946.21439999999996</v>
      </c>
      <c r="D132" s="61"/>
      <c r="E132" s="61"/>
      <c r="G132" s="19"/>
      <c r="H132" s="8"/>
      <c r="I132" s="47"/>
      <c r="J132" s="20"/>
      <c r="K132" s="61"/>
    </row>
    <row r="133" spans="1:15" ht="15" customHeight="1">
      <c r="A133" s="1" t="str">
        <f>SCALARS!A134</f>
        <v>Monday</v>
      </c>
      <c r="B133" s="28">
        <f>SCALARS!B134</f>
        <v>46209</v>
      </c>
      <c r="C133" s="61">
        <f>SCALARS!G134</f>
        <v>946.22090000000003</v>
      </c>
      <c r="D133" s="61">
        <f t="shared" si="26"/>
        <v>946.24831123831211</v>
      </c>
      <c r="E133" s="61">
        <f t="shared" si="27"/>
        <v>-2.7411238312083697E-2</v>
      </c>
      <c r="F133" s="47">
        <v>147186.25</v>
      </c>
      <c r="G133" s="19">
        <v>2185000</v>
      </c>
      <c r="H133" s="8">
        <v>2309</v>
      </c>
      <c r="I133" s="47">
        <f>ARKB!H133</f>
        <v>63741.3</v>
      </c>
      <c r="J133" s="20">
        <f t="shared" si="28"/>
        <v>2309.1190484034682</v>
      </c>
      <c r="K133" s="61">
        <f t="shared" si="29"/>
        <v>946.29709831095715</v>
      </c>
      <c r="M133" s="3">
        <v>-5784</v>
      </c>
    </row>
    <row r="134" spans="1:15" ht="15" customHeight="1">
      <c r="A134" s="1" t="str">
        <f>SCALARS!A135</f>
        <v>Tuesday</v>
      </c>
      <c r="B134" s="28">
        <f>SCALARS!B135</f>
        <v>46210</v>
      </c>
      <c r="C134" s="61">
        <f>SCALARS!G135</f>
        <v>946.22739999999999</v>
      </c>
      <c r="D134" s="61">
        <f t="shared" si="26"/>
        <v>946.25485705180301</v>
      </c>
      <c r="E134" s="61">
        <f t="shared" si="27"/>
        <v>-2.7457051803025934E-2</v>
      </c>
      <c r="F134" s="47">
        <v>146977.01999999999</v>
      </c>
      <c r="G134" s="19">
        <v>2185000</v>
      </c>
      <c r="H134" s="8">
        <v>2309</v>
      </c>
      <c r="I134" s="47">
        <f>ARKB!H134</f>
        <v>63651.13</v>
      </c>
      <c r="J134" s="20">
        <f t="shared" si="28"/>
        <v>2309.1030748393628</v>
      </c>
      <c r="K134" s="61">
        <f t="shared" si="29"/>
        <v>946.29709831095715</v>
      </c>
      <c r="M134" s="3">
        <v>-6792</v>
      </c>
    </row>
    <row r="135" spans="1:15" ht="15" customHeight="1">
      <c r="A135" s="1" t="str">
        <f>SCALARS!A136</f>
        <v>Wednesday</v>
      </c>
      <c r="B135" s="28">
        <f>SCALARS!B136</f>
        <v>46211</v>
      </c>
      <c r="C135" s="61">
        <f>SCALARS!G136</f>
        <v>946.23389999999995</v>
      </c>
      <c r="D135" s="61">
        <f t="shared" si="26"/>
        <v>946.26258350761577</v>
      </c>
      <c r="E135" s="61">
        <f t="shared" si="27"/>
        <v>-2.8683507615824055E-2</v>
      </c>
      <c r="F135" s="47">
        <v>143488.41</v>
      </c>
      <c r="G135" s="19">
        <v>2185000</v>
      </c>
      <c r="H135" s="8">
        <v>2309</v>
      </c>
      <c r="I135" s="47">
        <f>ARKB!H135</f>
        <v>62140.83</v>
      </c>
      <c r="J135" s="20">
        <f t="shared" si="28"/>
        <v>2309.0842204714677</v>
      </c>
      <c r="K135" s="61">
        <f t="shared" si="29"/>
        <v>946.29709831095715</v>
      </c>
      <c r="M135" s="3">
        <v>-7798</v>
      </c>
    </row>
    <row r="136" spans="1:15" ht="15" customHeight="1">
      <c r="A136" s="1" t="str">
        <f>SCALARS!A137</f>
        <v>Thursday</v>
      </c>
      <c r="B136" s="28">
        <f>SCALARS!B137</f>
        <v>46212</v>
      </c>
      <c r="C136" s="61">
        <f>SCALARS!G137</f>
        <v>946.24040000000002</v>
      </c>
      <c r="D136" s="61">
        <f t="shared" si="26"/>
        <v>946.26810715029467</v>
      </c>
      <c r="E136" s="61">
        <f t="shared" si="27"/>
        <v>-2.7707150294645544E-2</v>
      </c>
      <c r="F136" s="47">
        <v>145929.23000000001</v>
      </c>
      <c r="G136" s="19">
        <v>2185000</v>
      </c>
      <c r="H136" s="8">
        <v>2309</v>
      </c>
      <c r="I136" s="47">
        <f>ARKB!H136</f>
        <v>63198.25</v>
      </c>
      <c r="J136" s="20">
        <f t="shared" si="28"/>
        <v>2309.0707416740179</v>
      </c>
      <c r="K136" s="61">
        <f t="shared" si="29"/>
        <v>946.29709831095715</v>
      </c>
      <c r="M136" s="3">
        <v>-8781</v>
      </c>
    </row>
    <row r="137" spans="1:15" ht="15" customHeight="1">
      <c r="A137" s="1" t="str">
        <f>SCALARS!A138</f>
        <v>Friday</v>
      </c>
      <c r="B137" s="28">
        <f>SCALARS!B138</f>
        <v>46213</v>
      </c>
      <c r="C137" s="61">
        <f>SCALARS!G138</f>
        <v>946.24689999999998</v>
      </c>
      <c r="D137" s="61">
        <f t="shared" si="26"/>
        <v>946.27391394110214</v>
      </c>
      <c r="E137" s="61">
        <f t="shared" si="27"/>
        <v>-2.7013941102154604E-2</v>
      </c>
      <c r="F137" s="47">
        <v>147490.85</v>
      </c>
      <c r="G137" s="19">
        <v>2185000</v>
      </c>
      <c r="H137" s="8">
        <v>2309</v>
      </c>
      <c r="I137" s="47">
        <f>ARKB!H137</f>
        <v>63874.94</v>
      </c>
      <c r="J137" s="20">
        <f t="shared" si="28"/>
        <v>2309.0565721079347</v>
      </c>
      <c r="K137" s="61">
        <f t="shared" si="29"/>
        <v>946.29709831095715</v>
      </c>
      <c r="M137" s="3">
        <v>-9781</v>
      </c>
    </row>
    <row r="138" spans="1:15" ht="15" customHeight="1">
      <c r="A138" s="1" t="str">
        <f>SCALARS!A139</f>
        <v>Saturday</v>
      </c>
      <c r="B138" s="28">
        <f>SCALARS!B139</f>
        <v>46214</v>
      </c>
      <c r="C138" s="61">
        <f>SCALARS!G139</f>
        <v>946.25340000000006</v>
      </c>
      <c r="D138" s="61"/>
      <c r="E138" s="61"/>
      <c r="G138" s="19"/>
      <c r="H138" s="8"/>
      <c r="I138" s="47"/>
      <c r="J138" s="20"/>
      <c r="K138" s="61"/>
    </row>
    <row r="139" spans="1:15" ht="15" customHeight="1">
      <c r="A139" s="1" t="str">
        <f>SCALARS!A140</f>
        <v>Sunday</v>
      </c>
      <c r="B139" s="28">
        <f>SCALARS!B140</f>
        <v>46215</v>
      </c>
      <c r="C139" s="61">
        <f>SCALARS!G140</f>
        <v>946.25990000000002</v>
      </c>
      <c r="D139" s="61"/>
      <c r="E139" s="61"/>
      <c r="G139" s="19"/>
      <c r="H139" s="8"/>
      <c r="I139" s="47"/>
      <c r="J139" s="20"/>
      <c r="K139" s="61"/>
    </row>
    <row r="140" spans="1:15" ht="15" customHeight="1">
      <c r="A140" s="1" t="str">
        <f>SCALARS!A141</f>
        <v>Monday</v>
      </c>
      <c r="B140" s="28">
        <f>SCALARS!B141</f>
        <v>46216</v>
      </c>
      <c r="C140" s="61">
        <f>SCALARS!G141</f>
        <v>946.26639999999998</v>
      </c>
      <c r="D140" s="61">
        <f t="shared" si="26"/>
        <v>946.29578191279279</v>
      </c>
      <c r="E140" s="61">
        <f t="shared" si="27"/>
        <v>-2.9381912792814546E-2</v>
      </c>
      <c r="F140" s="47">
        <v>143231.51</v>
      </c>
      <c r="G140" s="19">
        <v>2185000</v>
      </c>
      <c r="H140" s="8">
        <v>2309</v>
      </c>
      <c r="I140" s="47">
        <f>ARKB!H140</f>
        <v>62031.75</v>
      </c>
      <c r="J140" s="20">
        <f t="shared" si="28"/>
        <v>2309.0032120647893</v>
      </c>
      <c r="K140" s="61">
        <f t="shared" si="29"/>
        <v>946.29709831095715</v>
      </c>
      <c r="M140" s="3">
        <v>-12811</v>
      </c>
    </row>
    <row r="141" spans="1:15" ht="15" customHeight="1">
      <c r="A141" s="1" t="str">
        <f>SCALARS!A142</f>
        <v>Tuesday</v>
      </c>
      <c r="B141" s="28">
        <f>SCALARS!B142</f>
        <v>46217</v>
      </c>
      <c r="C141" s="61">
        <f>SCALARS!G142</f>
        <v>946.27290000000005</v>
      </c>
      <c r="D141" s="61">
        <f t="shared" si="26"/>
        <v>946.29871636544317</v>
      </c>
      <c r="E141" s="61">
        <f t="shared" si="27"/>
        <v>-2.5816365443120048E-2</v>
      </c>
      <c r="F141" s="47">
        <v>149033.85</v>
      </c>
      <c r="G141" s="19">
        <v>2185000</v>
      </c>
      <c r="H141" s="8">
        <v>2309</v>
      </c>
      <c r="I141" s="47">
        <f>ARKB!H141</f>
        <v>64544.87</v>
      </c>
      <c r="J141" s="20">
        <f t="shared" si="28"/>
        <v>2308.9960518938219</v>
      </c>
      <c r="K141" s="61">
        <f t="shared" si="29"/>
        <v>946.29709831095715</v>
      </c>
      <c r="M141" s="3">
        <v>-13792</v>
      </c>
    </row>
    <row r="142" spans="1:15" ht="15" customHeight="1">
      <c r="A142" s="1" t="str">
        <f>SCALARS!A143</f>
        <v>Wednesday</v>
      </c>
      <c r="B142" s="28">
        <f>SCALARS!B143</f>
        <v>46218</v>
      </c>
      <c r="C142" s="61">
        <f>SCALARS!G143</f>
        <v>946.27940000000001</v>
      </c>
      <c r="D142" s="61">
        <f t="shared" si="26"/>
        <v>946.30475168942473</v>
      </c>
      <c r="E142" s="61">
        <f t="shared" si="27"/>
        <v>-2.53516894247241E-2</v>
      </c>
      <c r="F142" s="47">
        <v>149765.47</v>
      </c>
      <c r="G142" s="19">
        <v>2185000</v>
      </c>
      <c r="H142" s="8">
        <v>2309</v>
      </c>
      <c r="I142" s="47">
        <f>ARKB!H142</f>
        <v>64862.14</v>
      </c>
      <c r="J142" s="20">
        <f t="shared" si="28"/>
        <v>2308.981325623854</v>
      </c>
      <c r="K142" s="61">
        <f t="shared" si="29"/>
        <v>946.29709831095715</v>
      </c>
      <c r="M142" s="3">
        <v>-14813</v>
      </c>
    </row>
    <row r="143" spans="1:15" ht="15" customHeight="1">
      <c r="A143" s="1" t="str">
        <f>SCALARS!A144</f>
        <v>Thursday</v>
      </c>
      <c r="B143" s="28">
        <f>SCALARS!B144</f>
        <v>46219</v>
      </c>
      <c r="C143" s="61">
        <f>SCALARS!G144</f>
        <v>946.28589999999997</v>
      </c>
      <c r="D143" s="61">
        <f t="shared" si="26"/>
        <v>946.31223734716866</v>
      </c>
      <c r="E143" s="61">
        <f t="shared" si="27"/>
        <v>-2.6337347168691849E-2</v>
      </c>
      <c r="F143" s="47">
        <v>148201.81</v>
      </c>
      <c r="G143" s="19">
        <v>2185000</v>
      </c>
      <c r="H143" s="8">
        <v>2309</v>
      </c>
      <c r="I143" s="47">
        <f>ARKB!H143</f>
        <v>64185.440000000002</v>
      </c>
      <c r="J143" s="20">
        <f t="shared" si="28"/>
        <v>2308.963060781386</v>
      </c>
      <c r="K143" s="61">
        <f t="shared" si="29"/>
        <v>946.29709831095715</v>
      </c>
      <c r="M143" s="3">
        <v>-15839</v>
      </c>
    </row>
    <row r="144" spans="1:15" ht="15" customHeight="1">
      <c r="A144" s="1" t="str">
        <f>SCALARS!A145</f>
        <v>Friday</v>
      </c>
      <c r="B144" s="28">
        <f>SCALARS!B145</f>
        <v>46220</v>
      </c>
      <c r="C144" s="61">
        <f>SCALARS!G145</f>
        <v>946.29240000000004</v>
      </c>
      <c r="D144" s="61">
        <f t="shared" si="26"/>
        <v>946.31892468806507</v>
      </c>
      <c r="E144" s="61">
        <f t="shared" si="27"/>
        <v>-2.6524688065023838E-2</v>
      </c>
      <c r="F144" s="47">
        <v>147981.99</v>
      </c>
      <c r="G144" s="19">
        <v>2185000</v>
      </c>
      <c r="H144" s="8">
        <v>2309</v>
      </c>
      <c r="I144" s="47">
        <f>ARKB!H144</f>
        <v>64090.69</v>
      </c>
      <c r="J144" s="20">
        <f t="shared" si="28"/>
        <v>2308.9467440590824</v>
      </c>
      <c r="K144" s="61">
        <f t="shared" si="29"/>
        <v>946.29709831095715</v>
      </c>
      <c r="M144" s="3">
        <v>-16854</v>
      </c>
    </row>
    <row r="145" spans="1:13" ht="15" customHeight="1">
      <c r="A145" s="1" t="str">
        <f>SCALARS!A146</f>
        <v>Saturday</v>
      </c>
      <c r="B145" s="28">
        <f>SCALARS!B146</f>
        <v>46221</v>
      </c>
      <c r="C145" s="61">
        <f>SCALARS!G146</f>
        <v>946.2989</v>
      </c>
      <c r="D145" s="61"/>
      <c r="E145" s="61"/>
      <c r="G145" s="19"/>
      <c r="H145" s="8"/>
      <c r="I145" s="47"/>
      <c r="J145" s="20"/>
      <c r="K145" s="61"/>
    </row>
    <row r="146" spans="1:13" ht="15" customHeight="1">
      <c r="A146" s="1" t="str">
        <f>SCALARS!A147</f>
        <v>Sunday</v>
      </c>
      <c r="B146" s="28">
        <f>SCALARS!B147</f>
        <v>46222</v>
      </c>
      <c r="C146" s="61">
        <f>SCALARS!G147</f>
        <v>946.30539999999996</v>
      </c>
      <c r="D146" s="61"/>
      <c r="E146" s="61"/>
      <c r="G146" s="19"/>
      <c r="H146" s="8"/>
      <c r="I146" s="47"/>
      <c r="J146" s="20"/>
      <c r="K146" s="61"/>
    </row>
    <row r="147" spans="1:13" ht="15" customHeight="1">
      <c r="A147" s="1" t="str">
        <f>SCALARS!A148</f>
        <v>Monday</v>
      </c>
      <c r="B147" s="28">
        <f>SCALARS!B148</f>
        <v>46223</v>
      </c>
      <c r="C147" s="61">
        <f>SCALARS!G148</f>
        <v>946.31190000000004</v>
      </c>
      <c r="D147" s="61">
        <f t="shared" si="26"/>
        <v>946.33639839283489</v>
      </c>
      <c r="E147" s="61">
        <f t="shared" si="27"/>
        <v>-2.4498392834857441E-2</v>
      </c>
      <c r="F147" s="47">
        <v>150282.01999999999</v>
      </c>
      <c r="G147" s="19">
        <v>2185000</v>
      </c>
      <c r="H147" s="8">
        <v>2309</v>
      </c>
      <c r="I147" s="47">
        <f>ARKB!H147</f>
        <v>65088.03</v>
      </c>
      <c r="J147" s="20">
        <f t="shared" si="28"/>
        <v>2308.9041103256623</v>
      </c>
      <c r="K147" s="61">
        <f t="shared" si="29"/>
        <v>946.29709831095715</v>
      </c>
      <c r="M147" s="3">
        <v>-19895</v>
      </c>
    </row>
    <row r="148" spans="1:13" ht="15" customHeight="1">
      <c r="A148" s="1" t="str">
        <f>SCALARS!A149</f>
        <v>Tuesday</v>
      </c>
      <c r="B148" s="28">
        <f>SCALARS!B149</f>
        <v>46224</v>
      </c>
      <c r="C148" s="61">
        <f>SCALARS!G149</f>
        <v>946.3184</v>
      </c>
      <c r="D148" s="61">
        <f t="shared" si="26"/>
        <v>946.34030458630832</v>
      </c>
      <c r="E148" s="61">
        <f t="shared" si="27"/>
        <v>-2.1904586308323815E-2</v>
      </c>
      <c r="F148" s="47">
        <v>153249.82999999999</v>
      </c>
      <c r="G148" s="19">
        <v>2185000</v>
      </c>
      <c r="H148" s="8">
        <v>2309</v>
      </c>
      <c r="I148" s="47">
        <f>ARKB!H148</f>
        <v>66373.679999999993</v>
      </c>
      <c r="J148" s="20">
        <f t="shared" si="28"/>
        <v>2308.8945798997438</v>
      </c>
      <c r="K148" s="61">
        <f t="shared" si="29"/>
        <v>946.29709831095715</v>
      </c>
      <c r="M148" s="3">
        <v>-20924</v>
      </c>
    </row>
    <row r="149" spans="1:13" ht="15" customHeight="1">
      <c r="A149" s="1" t="str">
        <f>SCALARS!A150</f>
        <v>Wednesday</v>
      </c>
      <c r="B149" s="28">
        <f>SCALARS!B150</f>
        <v>46225</v>
      </c>
      <c r="C149" s="61">
        <f>SCALARS!G150</f>
        <v>946.32489999999996</v>
      </c>
      <c r="D149" s="61">
        <f t="shared" si="26"/>
        <v>946.34789765263565</v>
      </c>
      <c r="E149" s="61">
        <f t="shared" si="27"/>
        <v>-2.2997652635694976E-2</v>
      </c>
      <c r="F149" s="47">
        <v>152016.03</v>
      </c>
      <c r="G149" s="19">
        <v>2185000</v>
      </c>
      <c r="H149" s="8">
        <v>2309</v>
      </c>
      <c r="I149" s="47">
        <f>ARKB!H149</f>
        <v>65839.839999999997</v>
      </c>
      <c r="J149" s="20">
        <f t="shared" si="28"/>
        <v>2308.876054376803</v>
      </c>
      <c r="K149" s="61">
        <f t="shared" si="29"/>
        <v>946.29709831095715</v>
      </c>
      <c r="M149" s="3">
        <v>-21974</v>
      </c>
    </row>
    <row r="150" spans="1:13" ht="15" customHeight="1">
      <c r="A150" s="1" t="str">
        <f>SCALARS!A151</f>
        <v>Thursday</v>
      </c>
      <c r="B150" s="28">
        <f>SCALARS!B151</f>
        <v>46226</v>
      </c>
      <c r="C150" s="61">
        <f>SCALARS!G151</f>
        <v>946.33140000000003</v>
      </c>
      <c r="D150" s="61">
        <f t="shared" si="26"/>
        <v>946.3567866028319</v>
      </c>
      <c r="E150" s="61">
        <f t="shared" si="27"/>
        <v>-2.5386602831872551E-2</v>
      </c>
      <c r="F150" s="47">
        <v>149542.04999999999</v>
      </c>
      <c r="G150" s="19">
        <v>2185000</v>
      </c>
      <c r="H150" s="8">
        <v>2309</v>
      </c>
      <c r="I150" s="47">
        <f>ARKB!H150</f>
        <v>64768.94</v>
      </c>
      <c r="J150" s="20">
        <f t="shared" si="28"/>
        <v>2308.8543675409846</v>
      </c>
      <c r="K150" s="61">
        <f t="shared" si="29"/>
        <v>946.29709831095715</v>
      </c>
      <c r="M150" s="3">
        <v>-23015</v>
      </c>
    </row>
    <row r="151" spans="1:13" ht="15" customHeight="1">
      <c r="A151" s="1" t="str">
        <f>SCALARS!A152</f>
        <v>Friday</v>
      </c>
      <c r="B151" s="28">
        <f>SCALARS!B152</f>
        <v>46227</v>
      </c>
      <c r="C151" s="61">
        <f>SCALARS!G152</f>
        <v>946.33789999999999</v>
      </c>
      <c r="D151" s="61">
        <f t="shared" si="26"/>
        <v>946.36496689627916</v>
      </c>
      <c r="E151" s="61">
        <f t="shared" si="27"/>
        <v>-2.7066896279166031E-2</v>
      </c>
      <c r="F151" s="47">
        <v>143032.26</v>
      </c>
      <c r="G151" s="19">
        <v>2110000</v>
      </c>
      <c r="H151" s="8">
        <v>2230</v>
      </c>
      <c r="I151" s="47">
        <f>ARKB!H151</f>
        <v>64152</v>
      </c>
      <c r="J151" s="20">
        <f t="shared" si="28"/>
        <v>2229.5838009726899</v>
      </c>
      <c r="K151" s="61">
        <f t="shared" si="29"/>
        <v>946.18834080717488</v>
      </c>
      <c r="M151" s="3">
        <v>-24026</v>
      </c>
    </row>
    <row r="152" spans="1:13" ht="15" customHeight="1">
      <c r="A152" s="1" t="str">
        <f>SCALARS!A153</f>
        <v>Saturday</v>
      </c>
      <c r="B152" s="28">
        <f>SCALARS!B153</f>
        <v>46228</v>
      </c>
      <c r="C152" s="61">
        <f>SCALARS!G153</f>
        <v>946.34439999999995</v>
      </c>
      <c r="D152" s="61"/>
      <c r="E152" s="61"/>
      <c r="G152" s="19"/>
      <c r="H152" s="8"/>
      <c r="I152" s="47"/>
      <c r="J152" s="20"/>
      <c r="K152" s="61"/>
    </row>
    <row r="153" spans="1:13" ht="15" customHeight="1">
      <c r="A153" s="1" t="str">
        <f>SCALARS!A154</f>
        <v>Sunday</v>
      </c>
      <c r="B153" s="28">
        <f>SCALARS!B154</f>
        <v>46229</v>
      </c>
      <c r="C153" s="61">
        <f>SCALARS!G154</f>
        <v>946.35090000000002</v>
      </c>
      <c r="D153" s="61"/>
      <c r="E153" s="61"/>
      <c r="G153" s="19"/>
      <c r="H153" s="8"/>
      <c r="I153" s="47"/>
      <c r="J153" s="20"/>
      <c r="K153" s="61"/>
    </row>
    <row r="154" spans="1:13" ht="15" customHeight="1">
      <c r="A154" s="1" t="str">
        <f>SCALARS!A155</f>
        <v>Monday</v>
      </c>
      <c r="B154" s="28">
        <f>SCALARS!B155</f>
        <v>46230</v>
      </c>
      <c r="C154" s="61">
        <f>SCALARS!G155</f>
        <v>946.35739999999998</v>
      </c>
      <c r="D154" s="172"/>
      <c r="E154" s="172"/>
      <c r="F154" s="172"/>
      <c r="G154" s="172"/>
      <c r="H154" s="172"/>
      <c r="I154" s="47">
        <f>ARKB!H154</f>
        <v>64894.12</v>
      </c>
      <c r="J154" s="172"/>
      <c r="K154" s="172"/>
      <c r="M154" s="172"/>
    </row>
    <row r="155" spans="1:13" ht="15" customHeight="1">
      <c r="A155" s="1" t="str">
        <f>SCALARS!A156</f>
        <v>Tuesday</v>
      </c>
      <c r="B155" s="28">
        <f>SCALARS!B156</f>
        <v>46231</v>
      </c>
      <c r="C155" s="61">
        <f>SCALARS!G156</f>
        <v>946.36389999999994</v>
      </c>
      <c r="D155" s="61">
        <f t="shared" si="26"/>
        <v>946.39233531261152</v>
      </c>
      <c r="E155" s="61">
        <f t="shared" si="27"/>
        <v>-2.8435312611577501E-2</v>
      </c>
      <c r="F155" s="47">
        <v>142024.84</v>
      </c>
      <c r="G155" s="19">
        <v>2110000</v>
      </c>
      <c r="H155" s="8">
        <v>2230</v>
      </c>
      <c r="I155" s="47">
        <f>ARKB!H155</f>
        <v>63702</v>
      </c>
      <c r="J155" s="20">
        <f t="shared" si="28"/>
        <v>2229.5193243540234</v>
      </c>
      <c r="K155" s="61">
        <f t="shared" si="29"/>
        <v>946.18834080717488</v>
      </c>
      <c r="M155" s="3">
        <v>-27956</v>
      </c>
    </row>
    <row r="156" spans="1:13" ht="15" customHeight="1">
      <c r="A156" s="1" t="str">
        <f>SCALARS!A157</f>
        <v>Wednesday</v>
      </c>
      <c r="B156" s="28">
        <f>SCALARS!B157</f>
        <v>46232</v>
      </c>
      <c r="C156" s="61">
        <f>SCALARS!G157</f>
        <v>946.37040000000002</v>
      </c>
      <c r="D156" s="61">
        <f t="shared" si="26"/>
        <v>946.39800210728947</v>
      </c>
      <c r="E156" s="61">
        <f t="shared" si="27"/>
        <v>-2.760210728945367E-2</v>
      </c>
      <c r="F156" s="47">
        <v>142600.25</v>
      </c>
      <c r="G156" s="19">
        <v>2110000</v>
      </c>
      <c r="H156" s="8">
        <v>2230</v>
      </c>
      <c r="I156" s="47">
        <f>ARKB!H156</f>
        <v>63960.47</v>
      </c>
      <c r="J156" s="20">
        <f t="shared" si="28"/>
        <v>2229.5059745495928</v>
      </c>
      <c r="K156" s="61">
        <f t="shared" si="29"/>
        <v>946.18834080717488</v>
      </c>
      <c r="M156" s="3">
        <v>-28929</v>
      </c>
    </row>
    <row r="157" spans="1:13" ht="15" customHeight="1">
      <c r="A157" s="1" t="str">
        <f>SCALARS!A158</f>
        <v>Thursday</v>
      </c>
      <c r="B157" s="28">
        <f>SCALARS!B158</f>
        <v>46233</v>
      </c>
      <c r="C157" s="61">
        <f>SCALARS!G158</f>
        <v>946.37689999999998</v>
      </c>
      <c r="D157" s="61" t="e">
        <f t="shared" si="26"/>
        <v>#DIV/0!</v>
      </c>
      <c r="E157" s="61" t="e">
        <f t="shared" si="27"/>
        <v>#DIV/0!</v>
      </c>
      <c r="G157" s="19"/>
      <c r="H157" s="8"/>
      <c r="I157" s="47">
        <f>ARKB!H157</f>
        <v>0</v>
      </c>
      <c r="J157" s="20" t="e">
        <f t="shared" si="28"/>
        <v>#DIV/0!</v>
      </c>
      <c r="K157" s="61" t="e">
        <f t="shared" si="29"/>
        <v>#DIV/0!</v>
      </c>
    </row>
    <row r="158" spans="1:13" ht="15" customHeight="1">
      <c r="A158" s="1" t="str">
        <f>SCALARS!A159</f>
        <v>Friday</v>
      </c>
      <c r="B158" s="28">
        <f>SCALARS!B159</f>
        <v>46234</v>
      </c>
      <c r="C158" s="61">
        <f>SCALARS!G159</f>
        <v>946.38340000000005</v>
      </c>
      <c r="D158" s="61" t="e">
        <f t="shared" si="26"/>
        <v>#DIV/0!</v>
      </c>
      <c r="E158" s="61" t="e">
        <f t="shared" si="27"/>
        <v>#DIV/0!</v>
      </c>
      <c r="G158" s="19"/>
      <c r="H158" s="8"/>
      <c r="I158" s="47">
        <f>ARKB!H158</f>
        <v>0</v>
      </c>
      <c r="J158" s="20" t="e">
        <f t="shared" si="28"/>
        <v>#DIV/0!</v>
      </c>
      <c r="K158" s="61" t="e">
        <f t="shared" si="29"/>
        <v>#DIV/0!</v>
      </c>
    </row>
  </sheetData>
  <hyperlinks>
    <hyperlink ref="A1" r:id="rId1" display="https://www.wisdomtree.com/investments/etfs/crypto/btcw" xr:uid="{442102FD-A691-4526-8967-F24FEE6C9EBD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87EC-2455-4A03-8AD8-0DA2763F5812}">
  <sheetPr codeName="Sheet6">
    <tabColor theme="2" tint="-9.9978637043366805E-2"/>
  </sheetPr>
  <dimension ref="A1:U158"/>
  <sheetViews>
    <sheetView zoomScale="80" zoomScaleNormal="80" workbookViewId="0">
      <pane xSplit="5" ySplit="5" topLeftCell="F95" activePane="bottomRight" state="frozen"/>
      <selection pane="topRight" activeCell="F1" sqref="F1"/>
      <selection pane="bottomLeft" activeCell="A6" sqref="A6"/>
      <selection pane="bottomRight" activeCell="I159" sqref="I159"/>
    </sheetView>
  </sheetViews>
  <sheetFormatPr defaultColWidth="9.140625" defaultRowHeight="15" customHeight="1"/>
  <cols>
    <col min="1" max="1" width="17.85546875" style="1" bestFit="1" customWidth="1"/>
    <col min="2" max="2" width="10.5703125" style="1" bestFit="1" customWidth="1"/>
    <col min="3" max="4" width="13.7109375" style="1" bestFit="1" customWidth="1"/>
    <col min="5" max="5" width="11.85546875" style="57" bestFit="1" customWidth="1"/>
    <col min="6" max="6" width="21.42578125" style="69" bestFit="1" customWidth="1"/>
    <col min="7" max="7" width="17" style="1" bestFit="1" customWidth="1"/>
    <col min="8" max="8" width="14" style="1" bestFit="1" customWidth="1"/>
    <col min="9" max="10" width="13.42578125" style="1" bestFit="1" customWidth="1"/>
    <col min="11" max="11" width="12.42578125" style="1" bestFit="1" customWidth="1"/>
    <col min="12" max="12" width="17.7109375" style="1" bestFit="1" customWidth="1"/>
    <col min="13" max="13" width="12.7109375" style="1" bestFit="1" customWidth="1"/>
    <col min="14" max="14" width="26.7109375" style="14" bestFit="1" customWidth="1"/>
    <col min="15" max="15" width="26" bestFit="1" customWidth="1"/>
    <col min="16" max="16" width="15.140625" style="1" bestFit="1" customWidth="1"/>
    <col min="17" max="17" width="10.140625" customWidth="1"/>
    <col min="18" max="18" width="11.42578125" style="81" bestFit="1" customWidth="1"/>
    <col min="19" max="19" width="11.7109375" style="67" bestFit="1" customWidth="1"/>
    <col min="20" max="20" width="11.7109375" style="67" customWidth="1"/>
    <col min="21" max="21" width="11.42578125" style="82" bestFit="1" customWidth="1"/>
    <col min="22" max="22" width="11.28515625" style="1" bestFit="1" customWidth="1"/>
    <col min="23" max="23" width="9.140625" style="1"/>
    <col min="24" max="25" width="10.7109375" style="1" bestFit="1" customWidth="1"/>
    <col min="26" max="16384" width="9.140625" style="1"/>
  </cols>
  <sheetData>
    <row r="1" spans="1:21" ht="15" customHeight="1">
      <c r="A1" s="5" t="s">
        <v>5</v>
      </c>
      <c r="E1" s="1"/>
      <c r="F1" s="1"/>
      <c r="O1" s="1"/>
      <c r="Q1" s="84"/>
      <c r="S1" s="81"/>
      <c r="T1" s="81"/>
      <c r="U1" s="81"/>
    </row>
    <row r="2" spans="1:21" ht="15" customHeight="1">
      <c r="A2" s="5"/>
      <c r="E2" s="1"/>
      <c r="F2" s="1"/>
      <c r="O2" s="1"/>
      <c r="Q2" s="84"/>
      <c r="S2" s="81"/>
      <c r="T2" s="81"/>
      <c r="U2" s="81"/>
    </row>
    <row r="3" spans="1:21" ht="15" customHeight="1">
      <c r="A3" s="5"/>
      <c r="O3" s="1"/>
      <c r="Q3" s="1"/>
    </row>
    <row r="4" spans="1:21" ht="15" customHeight="1">
      <c r="A4" s="5"/>
      <c r="O4" s="1"/>
      <c r="Q4" s="1"/>
    </row>
    <row r="5" spans="1:2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70" t="s">
        <v>8</v>
      </c>
      <c r="G5" s="22" t="s">
        <v>9</v>
      </c>
      <c r="H5" s="21" t="s">
        <v>7</v>
      </c>
      <c r="I5" s="21" t="s">
        <v>10</v>
      </c>
      <c r="J5" s="54" t="s">
        <v>56</v>
      </c>
      <c r="K5" s="45" t="s">
        <v>66</v>
      </c>
      <c r="L5" s="45" t="s">
        <v>59</v>
      </c>
      <c r="M5" s="45" t="s">
        <v>60</v>
      </c>
      <c r="N5" s="45" t="s">
        <v>61</v>
      </c>
      <c r="O5" s="45" t="s">
        <v>62</v>
      </c>
      <c r="P5" s="44" t="s">
        <v>1</v>
      </c>
      <c r="Q5" s="14"/>
      <c r="R5" s="83"/>
      <c r="S5" s="83"/>
      <c r="T5" s="83"/>
      <c r="U5" s="83"/>
    </row>
    <row r="6" spans="1:21" ht="15" customHeight="1">
      <c r="A6" s="1" t="str">
        <f>SCALARS!A7</f>
        <v>Sunday</v>
      </c>
      <c r="B6" s="28">
        <f>SCALARS!B7</f>
        <v>46082</v>
      </c>
      <c r="C6" s="61">
        <f>SCALARS!D7</f>
        <v>1840.9691</v>
      </c>
      <c r="D6" s="61"/>
      <c r="E6" s="61"/>
      <c r="F6" s="71"/>
      <c r="G6" s="19"/>
      <c r="H6" s="8"/>
      <c r="J6" s="47"/>
      <c r="K6" s="8"/>
      <c r="N6" s="46"/>
      <c r="O6" s="46"/>
      <c r="P6" s="58"/>
      <c r="Q6" s="1"/>
      <c r="R6" s="67"/>
    </row>
    <row r="7" spans="1:21" ht="15" customHeight="1">
      <c r="A7" s="1" t="str">
        <f>SCALARS!A8</f>
        <v>Monday</v>
      </c>
      <c r="B7" s="28">
        <f>SCALARS!B8</f>
        <v>46083</v>
      </c>
      <c r="C7" s="61">
        <f>SCALARS!D8</f>
        <v>1840.9792</v>
      </c>
      <c r="D7" s="61"/>
      <c r="E7" s="61"/>
      <c r="F7" s="71"/>
      <c r="G7" s="19"/>
      <c r="H7" s="8"/>
      <c r="J7" s="47"/>
      <c r="K7" s="8"/>
      <c r="N7" s="46"/>
      <c r="O7" s="46"/>
      <c r="P7" s="58"/>
      <c r="Q7" s="1"/>
      <c r="R7" s="67"/>
    </row>
    <row r="8" spans="1:21" ht="15" customHeight="1">
      <c r="A8" s="1" t="str">
        <f>SCALARS!A9</f>
        <v>Tuesday</v>
      </c>
      <c r="B8" s="28">
        <f>SCALARS!B9</f>
        <v>46084</v>
      </c>
      <c r="C8" s="61">
        <f>SCALARS!D9</f>
        <v>1840.9893</v>
      </c>
      <c r="D8" s="61"/>
      <c r="E8" s="61"/>
      <c r="F8" s="71"/>
      <c r="G8" s="19"/>
      <c r="H8" s="8"/>
      <c r="J8" s="47"/>
      <c r="K8" s="8"/>
      <c r="N8" s="46"/>
      <c r="O8" s="46"/>
      <c r="P8" s="58"/>
      <c r="Q8" s="1"/>
      <c r="R8" s="67"/>
    </row>
    <row r="9" spans="1:21" ht="15" customHeight="1">
      <c r="A9" s="1" t="str">
        <f>SCALARS!A10</f>
        <v>Wednesday</v>
      </c>
      <c r="B9" s="28">
        <f>SCALARS!B10</f>
        <v>46085</v>
      </c>
      <c r="C9" s="61">
        <f>SCALARS!D10</f>
        <v>1840.9993999999999</v>
      </c>
      <c r="D9" s="61"/>
      <c r="E9" s="61"/>
      <c r="F9" s="71"/>
      <c r="G9" s="19"/>
      <c r="H9" s="8"/>
      <c r="J9" s="47"/>
      <c r="K9" s="8"/>
      <c r="N9" s="46"/>
      <c r="O9" s="46"/>
      <c r="P9" s="58"/>
      <c r="Q9" s="1"/>
      <c r="R9" s="67"/>
    </row>
    <row r="10" spans="1:21" ht="15" customHeight="1">
      <c r="A10" s="1" t="str">
        <f>SCALARS!A11</f>
        <v>Thursday</v>
      </c>
      <c r="B10" s="28">
        <f>SCALARS!B11</f>
        <v>46086</v>
      </c>
      <c r="C10" s="61">
        <f>SCALARS!D11</f>
        <v>1841.0094999999999</v>
      </c>
      <c r="D10" s="61"/>
      <c r="E10" s="61"/>
      <c r="F10" s="71"/>
      <c r="G10" s="19"/>
      <c r="H10" s="8"/>
      <c r="J10" s="47"/>
      <c r="K10" s="8"/>
      <c r="N10" s="46"/>
      <c r="O10" s="46"/>
      <c r="P10" s="58"/>
      <c r="Q10" s="1"/>
      <c r="R10" s="67"/>
    </row>
    <row r="11" spans="1:21" ht="15" customHeight="1">
      <c r="A11" s="1" t="str">
        <f>SCALARS!A12</f>
        <v>Friday</v>
      </c>
      <c r="B11" s="28">
        <f>SCALARS!B12</f>
        <v>46087</v>
      </c>
      <c r="C11" s="61">
        <f>SCALARS!D12</f>
        <v>1841.0196000000001</v>
      </c>
      <c r="D11" s="61"/>
      <c r="E11" s="61"/>
      <c r="F11" s="71"/>
      <c r="G11" s="19"/>
      <c r="H11" s="8"/>
      <c r="J11" s="47"/>
      <c r="K11" s="8"/>
      <c r="N11" s="46"/>
      <c r="O11" s="46"/>
      <c r="P11" s="58"/>
      <c r="Q11" s="1"/>
      <c r="R11" s="67"/>
    </row>
    <row r="12" spans="1:21" ht="15" customHeight="1">
      <c r="A12" s="1" t="str">
        <f>SCALARS!A13</f>
        <v>Saturday</v>
      </c>
      <c r="B12" s="28">
        <f>SCALARS!B13</f>
        <v>46088</v>
      </c>
      <c r="C12" s="61">
        <f>SCALARS!D13</f>
        <v>1841.0297</v>
      </c>
      <c r="D12" s="61"/>
      <c r="E12" s="61"/>
      <c r="F12" s="71"/>
      <c r="G12" s="19"/>
      <c r="H12" s="8"/>
      <c r="J12" s="47"/>
      <c r="K12" s="8"/>
      <c r="N12" s="46"/>
      <c r="O12" s="46"/>
      <c r="P12" s="58"/>
      <c r="Q12" s="1"/>
      <c r="R12" s="67"/>
    </row>
    <row r="13" spans="1:21" ht="15" customHeight="1">
      <c r="A13" s="1" t="str">
        <f>SCALARS!A14</f>
        <v>Sunday</v>
      </c>
      <c r="B13" s="28">
        <f>SCALARS!B14</f>
        <v>46089</v>
      </c>
      <c r="C13" s="61">
        <f>SCALARS!D14</f>
        <v>1841.0398</v>
      </c>
      <c r="D13" s="61"/>
      <c r="E13" s="61"/>
      <c r="F13" s="71"/>
      <c r="G13" s="19"/>
      <c r="H13" s="8"/>
      <c r="J13" s="47"/>
      <c r="K13" s="8"/>
      <c r="N13" s="46"/>
      <c r="O13" s="46"/>
      <c r="P13" s="58"/>
      <c r="Q13" s="1"/>
      <c r="R13" s="67"/>
    </row>
    <row r="14" spans="1:21" ht="15" customHeight="1">
      <c r="A14" s="1" t="str">
        <f>SCALARS!A15</f>
        <v>Monday</v>
      </c>
      <c r="B14" s="28">
        <f>SCALARS!B15</f>
        <v>46090</v>
      </c>
      <c r="C14" s="61">
        <f>SCALARS!D15</f>
        <v>1841.0499</v>
      </c>
      <c r="D14" s="61">
        <f>G14/K14</f>
        <v>1841.0329054872789</v>
      </c>
      <c r="E14" s="61">
        <f>C14-D14</f>
        <v>1.6994512721112187E-2</v>
      </c>
      <c r="F14" s="71">
        <v>2664058923</v>
      </c>
      <c r="G14" s="19">
        <v>71220000</v>
      </c>
      <c r="H14" s="8">
        <v>38686.949999999997</v>
      </c>
      <c r="I14" s="1">
        <v>5.4299999999999997E-4</v>
      </c>
      <c r="J14" s="47">
        <v>68865.77</v>
      </c>
      <c r="K14" s="8">
        <f>F14/J14</f>
        <v>38684.805571766636</v>
      </c>
      <c r="L14" s="1">
        <f>I14-0.0000005</f>
        <v>5.4250000000000001E-4</v>
      </c>
      <c r="M14" s="1">
        <f>I14+0.0000005</f>
        <v>5.4349999999999993E-4</v>
      </c>
      <c r="N14" s="46">
        <f t="shared" ref="N14:O17" si="0">1/L14</f>
        <v>1843.3179723502303</v>
      </c>
      <c r="O14" s="46">
        <f t="shared" si="0"/>
        <v>1839.9264029438825</v>
      </c>
      <c r="P14" s="58">
        <f>1/I14</f>
        <v>1841.6206261510131</v>
      </c>
      <c r="Q14" s="1"/>
      <c r="R14" s="67"/>
    </row>
    <row r="15" spans="1:21" ht="15" customHeight="1">
      <c r="A15" s="1" t="str">
        <f>SCALARS!A16</f>
        <v>Tuesday</v>
      </c>
      <c r="B15" s="28">
        <f>SCALARS!B16</f>
        <v>46091</v>
      </c>
      <c r="C15" s="61">
        <f>SCALARS!D16</f>
        <v>1841.06</v>
      </c>
      <c r="D15" s="61">
        <f>G15/K15</f>
        <v>1841.0414837023</v>
      </c>
      <c r="E15" s="61">
        <f>C15-D15</f>
        <v>1.8516297699989082E-2</v>
      </c>
      <c r="F15" s="71">
        <v>2725026281</v>
      </c>
      <c r="G15" s="19">
        <v>71650000</v>
      </c>
      <c r="H15" s="8">
        <v>38920.51</v>
      </c>
      <c r="I15" s="1">
        <v>5.4299999999999997E-4</v>
      </c>
      <c r="J15" s="47">
        <v>70019.350000000006</v>
      </c>
      <c r="K15" s="8">
        <f>F15/J15</f>
        <v>38918.188772103706</v>
      </c>
      <c r="L15" s="1">
        <f>I15-0.0000005</f>
        <v>5.4250000000000001E-4</v>
      </c>
      <c r="M15" s="1">
        <f>I15+0.0000005</f>
        <v>5.4349999999999993E-4</v>
      </c>
      <c r="N15" s="46">
        <f t="shared" si="0"/>
        <v>1843.3179723502303</v>
      </c>
      <c r="O15" s="46">
        <f t="shared" si="0"/>
        <v>1839.9264029438825</v>
      </c>
      <c r="P15" s="58">
        <f>1/I15</f>
        <v>1841.6206261510131</v>
      </c>
      <c r="Q15" s="1"/>
      <c r="R15" s="67"/>
    </row>
    <row r="16" spans="1:21" ht="15" customHeight="1">
      <c r="A16" s="1" t="str">
        <f>SCALARS!A17</f>
        <v>Wednesday</v>
      </c>
      <c r="B16" s="28">
        <f>SCALARS!B17</f>
        <v>46092</v>
      </c>
      <c r="C16" s="61">
        <f>SCALARS!D17</f>
        <v>1841.0700999999999</v>
      </c>
      <c r="D16" s="61">
        <f>G16/K16</f>
        <v>1841.0507478715899</v>
      </c>
      <c r="E16" s="61">
        <f>C16-D16</f>
        <v>1.9352128409991565E-2</v>
      </c>
      <c r="F16" s="71">
        <v>2747627036</v>
      </c>
      <c r="G16" s="19">
        <v>71650000</v>
      </c>
      <c r="H16" s="8">
        <v>38920.51</v>
      </c>
      <c r="I16" s="1">
        <v>5.4299999999999997E-4</v>
      </c>
      <c r="J16" s="47">
        <f>ARKB!H16</f>
        <v>70600.429999999993</v>
      </c>
      <c r="K16" s="8">
        <f>F16/J16</f>
        <v>38917.992935737078</v>
      </c>
      <c r="L16" s="1">
        <f>I16-0.0000005</f>
        <v>5.4250000000000001E-4</v>
      </c>
      <c r="M16" s="1">
        <f>I16+0.0000005</f>
        <v>5.4349999999999993E-4</v>
      </c>
      <c r="N16" s="46">
        <f t="shared" si="0"/>
        <v>1843.3179723502303</v>
      </c>
      <c r="O16" s="46">
        <f t="shared" si="0"/>
        <v>1839.9264029438825</v>
      </c>
      <c r="P16" s="58">
        <f>1/I16</f>
        <v>1841.6206261510131</v>
      </c>
      <c r="Q16" s="1"/>
      <c r="R16" s="67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SCALARS!D18</f>
        <v>1841.0802000000001</v>
      </c>
      <c r="D17" s="61">
        <f>G17/K17</f>
        <v>1841.0816664659392</v>
      </c>
      <c r="E17" s="61">
        <f>C17-D17</f>
        <v>-1.4664659390746237E-3</v>
      </c>
      <c r="F17" s="71">
        <v>2725606287</v>
      </c>
      <c r="G17" s="19">
        <v>71500000</v>
      </c>
      <c r="H17" s="8">
        <v>38839.040000000001</v>
      </c>
      <c r="I17" s="1">
        <v>5.4299999999999997E-4</v>
      </c>
      <c r="J17" s="47">
        <f>ARKB!H17</f>
        <v>70182.710000000006</v>
      </c>
      <c r="K17" s="8">
        <f>F17/J17</f>
        <v>38835.86551445505</v>
      </c>
      <c r="L17" s="1">
        <f>I17-0.0000005</f>
        <v>5.4250000000000001E-4</v>
      </c>
      <c r="M17" s="1">
        <f>I17+0.0000005</f>
        <v>5.4349999999999993E-4</v>
      </c>
      <c r="N17" s="46">
        <f t="shared" si="0"/>
        <v>1843.3179723502303</v>
      </c>
      <c r="O17" s="46">
        <f t="shared" si="0"/>
        <v>1839.9264029438825</v>
      </c>
      <c r="P17" s="58">
        <f>1/I17</f>
        <v>1841.6206261510131</v>
      </c>
      <c r="Q17" s="1"/>
      <c r="R17" s="67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SCALARS!D19</f>
        <v>1841.0903000000001</v>
      </c>
      <c r="D18" s="61">
        <f>G18/K18</f>
        <v>1841.0901141475313</v>
      </c>
      <c r="E18" s="61">
        <f>C18-D18</f>
        <v>1.8585246880320483E-4</v>
      </c>
      <c r="F18" s="71">
        <v>2766385710</v>
      </c>
      <c r="G18" s="19">
        <v>71580000</v>
      </c>
      <c r="H18" s="8">
        <v>38882.49</v>
      </c>
      <c r="I18" s="1">
        <v>5.4299999999999997E-4</v>
      </c>
      <c r="J18" s="47">
        <f>ARKB!H18</f>
        <v>71153.47</v>
      </c>
      <c r="K18" s="8">
        <f>F18/J18</f>
        <v>38879.139836750059</v>
      </c>
      <c r="L18" s="1">
        <f t="shared" ref="L18" si="1">I18-0.0000005</f>
        <v>5.4250000000000001E-4</v>
      </c>
      <c r="M18" s="1">
        <f t="shared" ref="M18" si="2">I18+0.0000005</f>
        <v>5.4349999999999993E-4</v>
      </c>
      <c r="N18" s="46">
        <f t="shared" ref="N18" si="3">1/L18</f>
        <v>1843.3179723502303</v>
      </c>
      <c r="O18" s="46">
        <f t="shared" ref="O18" si="4">1/M18</f>
        <v>1839.9264029438825</v>
      </c>
      <c r="P18" s="58">
        <f>1/I18</f>
        <v>1841.6206261510131</v>
      </c>
      <c r="Q18" s="1"/>
      <c r="R18" s="67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SCALARS!D20</f>
        <v>1841.1004</v>
      </c>
      <c r="D19" s="61"/>
      <c r="E19" s="61"/>
      <c r="F19" s="71"/>
      <c r="G19" s="19"/>
      <c r="H19" s="8"/>
      <c r="J19" s="47"/>
      <c r="K19" s="8"/>
      <c r="N19" s="46"/>
      <c r="O19" s="46"/>
      <c r="P19" s="58"/>
      <c r="Q19" s="1"/>
      <c r="R19" s="67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SCALARS!D21</f>
        <v>1841.1105</v>
      </c>
      <c r="D20" s="61"/>
      <c r="E20" s="61"/>
      <c r="F20" s="71"/>
      <c r="G20" s="19"/>
      <c r="H20" s="8"/>
      <c r="J20" s="47"/>
      <c r="K20" s="8"/>
      <c r="N20" s="46"/>
      <c r="O20" s="46"/>
      <c r="P20" s="58"/>
      <c r="Q20" s="1"/>
      <c r="R20" s="67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SCALARS!D22</f>
        <v>1841.1206</v>
      </c>
      <c r="D21" s="61">
        <f>G21/K21</f>
        <v>1841.0943396225891</v>
      </c>
      <c r="E21" s="61">
        <f>C21-D21</f>
        <v>2.6260377410835645E-2</v>
      </c>
      <c r="F21" s="71">
        <v>2882713186</v>
      </c>
      <c r="G21" s="19">
        <v>71650000</v>
      </c>
      <c r="H21" s="8">
        <v>38920.51</v>
      </c>
      <c r="I21" s="1">
        <v>5.4299999999999997E-4</v>
      </c>
      <c r="J21" s="47">
        <f>ARKB!H21</f>
        <v>74073.23</v>
      </c>
      <c r="K21" s="8">
        <f>F21/J21</f>
        <v>38917.071471029412</v>
      </c>
      <c r="L21" s="1">
        <f t="shared" ref="L21" si="5">I21-0.0000005</f>
        <v>5.4250000000000001E-4</v>
      </c>
      <c r="M21" s="1">
        <f t="shared" ref="M21" si="6">I21+0.0000005</f>
        <v>5.4349999999999993E-4</v>
      </c>
      <c r="N21" s="46">
        <f t="shared" ref="N21" si="7">1/L21</f>
        <v>1843.3179723502303</v>
      </c>
      <c r="O21" s="46">
        <f t="shared" ref="O21" si="8">1/M21</f>
        <v>1839.9264029438825</v>
      </c>
      <c r="P21" s="58">
        <f>1/I21</f>
        <v>1841.6206261510131</v>
      </c>
      <c r="Q21" s="1"/>
      <c r="R21" s="67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SCALARS!D23</f>
        <v>1841.1306999999999</v>
      </c>
      <c r="D22" s="61">
        <f>G22/K22</f>
        <v>1841.1031814669716</v>
      </c>
      <c r="E22" s="61">
        <f>C22-D22</f>
        <v>2.7518533028342063E-2</v>
      </c>
      <c r="F22" s="71">
        <v>2906389217</v>
      </c>
      <c r="G22" s="19">
        <v>71650000</v>
      </c>
      <c r="H22" s="8">
        <v>38920.51</v>
      </c>
      <c r="I22" s="1">
        <v>5.4299999999999997E-4</v>
      </c>
      <c r="J22" s="47">
        <f>ARKB!H22</f>
        <v>74681.960000000006</v>
      </c>
      <c r="K22" s="8">
        <f>F22/J22</f>
        <v>38916.884572927651</v>
      </c>
      <c r="L22" s="1">
        <f t="shared" ref="L22" si="9">I22-0.0000005</f>
        <v>5.4250000000000001E-4</v>
      </c>
      <c r="M22" s="1">
        <f t="shared" ref="M22" si="10">I22+0.0000005</f>
        <v>5.4349999999999993E-4</v>
      </c>
      <c r="N22" s="46">
        <f t="shared" ref="N22" si="11">1/L22</f>
        <v>1843.3179723502303</v>
      </c>
      <c r="O22" s="46">
        <f t="shared" ref="O22" si="12">1/M22</f>
        <v>1839.9264029438825</v>
      </c>
      <c r="P22" s="58">
        <f>1/I22</f>
        <v>1841.6206261510131</v>
      </c>
      <c r="Q22" s="1"/>
      <c r="R22" s="67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SCALARS!D24</f>
        <v>1841.1407999999999</v>
      </c>
      <c r="D23" s="61">
        <f>G23/K23</f>
        <v>1841.1211836990988</v>
      </c>
      <c r="E23" s="61">
        <f>C23-D23</f>
        <v>1.9616300901134309E-2</v>
      </c>
      <c r="F23" s="71">
        <v>2764241152</v>
      </c>
      <c r="G23" s="19">
        <v>71470000</v>
      </c>
      <c r="H23" s="8">
        <v>38822.75</v>
      </c>
      <c r="I23" s="1">
        <v>5.4299999999999997E-4</v>
      </c>
      <c r="J23" s="47">
        <f>ARKB!H23</f>
        <v>71208.94</v>
      </c>
      <c r="K23" s="8">
        <f>F23/J23</f>
        <v>38818.737534921878</v>
      </c>
      <c r="L23" s="1">
        <f t="shared" ref="L23" si="13">I23-0.0000005</f>
        <v>5.4250000000000001E-4</v>
      </c>
      <c r="M23" s="1">
        <f t="shared" ref="M23" si="14">I23+0.0000005</f>
        <v>5.4349999999999993E-4</v>
      </c>
      <c r="N23" s="46">
        <f t="shared" ref="N23" si="15">1/L23</f>
        <v>1843.3179723502303</v>
      </c>
      <c r="O23" s="46">
        <f t="shared" ref="O23" si="16">1/M23</f>
        <v>1839.9264029438825</v>
      </c>
      <c r="P23" s="58">
        <f>1/I23</f>
        <v>1841.6206261510131</v>
      </c>
      <c r="Q23" s="1"/>
      <c r="R23" s="67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SCALARS!D25</f>
        <v>1841.1509000000001</v>
      </c>
      <c r="D24" s="61">
        <f>G24/K24</f>
        <v>1841.1538173703705</v>
      </c>
      <c r="E24" s="61">
        <f>C24-D24</f>
        <v>-2.917370370369099E-3</v>
      </c>
      <c r="F24" s="71">
        <v>2711438188</v>
      </c>
      <c r="G24" s="19">
        <v>71020000</v>
      </c>
      <c r="H24" s="8">
        <v>38578.33</v>
      </c>
      <c r="I24" s="1">
        <v>5.4299999999999997E-4</v>
      </c>
      <c r="J24" s="47">
        <f>ARKB!H24</f>
        <v>70292.52</v>
      </c>
      <c r="K24" s="8">
        <f>F24/J24</f>
        <v>38573.637536397895</v>
      </c>
      <c r="L24" s="1">
        <f t="shared" ref="L24" si="17">I24-0.0000005</f>
        <v>5.4250000000000001E-4</v>
      </c>
      <c r="M24" s="1">
        <f t="shared" ref="M24" si="18">I24+0.0000005</f>
        <v>5.4349999999999993E-4</v>
      </c>
      <c r="N24" s="46">
        <f t="shared" ref="N24" si="19">1/L24</f>
        <v>1843.3179723502303</v>
      </c>
      <c r="O24" s="46">
        <f t="shared" ref="O24" si="20">1/M24</f>
        <v>1839.9264029438825</v>
      </c>
      <c r="P24" s="58">
        <f>1/I24</f>
        <v>1841.6206261510131</v>
      </c>
      <c r="Q24" s="1"/>
      <c r="R24" s="67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SCALARS!D26</f>
        <v>1841.1610000000001</v>
      </c>
      <c r="D25" s="61">
        <f>G25/K25</f>
        <v>1841.1650705614741</v>
      </c>
      <c r="E25" s="61">
        <f>C25-D25</f>
        <v>-4.0705614740090823E-3</v>
      </c>
      <c r="F25" s="71">
        <v>2695243931</v>
      </c>
      <c r="G25" s="19">
        <v>71020000</v>
      </c>
      <c r="H25" s="8">
        <v>38578.33</v>
      </c>
      <c r="I25" s="1">
        <v>5.4299999999999997E-4</v>
      </c>
      <c r="J25" s="47">
        <f>ARKB!H25</f>
        <v>69873.119999999995</v>
      </c>
      <c r="K25" s="8">
        <f>F25/J25</f>
        <v>38573.40177453075</v>
      </c>
      <c r="L25" s="1">
        <f t="shared" ref="L25" si="21">I25-0.0000005</f>
        <v>5.4250000000000001E-4</v>
      </c>
      <c r="M25" s="1">
        <f t="shared" ref="M25" si="22">I25+0.0000005</f>
        <v>5.4349999999999993E-4</v>
      </c>
      <c r="N25" s="46">
        <f t="shared" ref="N25" si="23">1/L25</f>
        <v>1843.3179723502303</v>
      </c>
      <c r="O25" s="46">
        <f t="shared" ref="O25" si="24">1/M25</f>
        <v>1839.9264029438825</v>
      </c>
      <c r="P25" s="58">
        <f>1/I25</f>
        <v>1841.6206261510131</v>
      </c>
      <c r="Q25" s="1"/>
      <c r="R25" s="67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SCALARS!D27</f>
        <v>1841.1711</v>
      </c>
      <c r="D26" s="61"/>
      <c r="E26" s="61"/>
      <c r="F26" s="71"/>
      <c r="G26" s="19"/>
      <c r="H26" s="8"/>
      <c r="J26" s="47"/>
      <c r="K26" s="8"/>
      <c r="N26" s="46"/>
      <c r="O26" s="46"/>
      <c r="P26" s="58"/>
      <c r="Q26" s="1"/>
      <c r="R26" s="67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SCALARS!D28</f>
        <v>1841.1812</v>
      </c>
      <c r="D27" s="61"/>
      <c r="E27" s="61"/>
      <c r="F27" s="71"/>
      <c r="G27" s="19"/>
      <c r="H27" s="8"/>
      <c r="J27" s="47"/>
      <c r="K27" s="8"/>
      <c r="N27" s="46"/>
      <c r="O27" s="46"/>
      <c r="P27" s="58"/>
      <c r="Q27" s="1"/>
      <c r="R27" s="67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SCALARS!D29</f>
        <v>1841.1913</v>
      </c>
      <c r="D28" s="61"/>
      <c r="E28" s="61"/>
      <c r="F28" s="71"/>
      <c r="G28" s="19"/>
      <c r="H28" s="8"/>
      <c r="J28" s="47"/>
      <c r="K28" s="8"/>
      <c r="N28" s="46"/>
      <c r="O28" s="46"/>
      <c r="P28" s="58"/>
      <c r="Q28" s="1"/>
      <c r="R28" s="67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SCALARS!D30</f>
        <v>1841.2013999999999</v>
      </c>
      <c r="D29" s="61">
        <f>G29/K29</f>
        <v>1841.1868629275634</v>
      </c>
      <c r="E29" s="61">
        <f>C29-D29</f>
        <v>1.4537072436496601E-2</v>
      </c>
      <c r="F29" s="71">
        <v>2662358160</v>
      </c>
      <c r="G29" s="19">
        <v>70580000</v>
      </c>
      <c r="H29" s="8">
        <v>38339.35</v>
      </c>
      <c r="I29" s="1">
        <v>5.4299999999999997E-4</v>
      </c>
      <c r="J29" s="47">
        <f>ARKB!H29</f>
        <v>69451.67</v>
      </c>
      <c r="K29" s="8">
        <f>F29/J29</f>
        <v>38333.968931200645</v>
      </c>
      <c r="L29" s="1">
        <f t="shared" ref="L29" si="25">I29-0.0000005</f>
        <v>5.4250000000000001E-4</v>
      </c>
      <c r="M29" s="1">
        <f t="shared" ref="M29" si="26">I29+0.0000005</f>
        <v>5.4349999999999993E-4</v>
      </c>
      <c r="N29" s="46">
        <f t="shared" ref="N29" si="27">1/L29</f>
        <v>1843.3179723502303</v>
      </c>
      <c r="O29" s="46">
        <f t="shared" ref="O29" si="28">1/M29</f>
        <v>1839.9264029438825</v>
      </c>
      <c r="P29" s="58">
        <f>1/I29</f>
        <v>1841.6206261510131</v>
      </c>
      <c r="Q29" s="1"/>
      <c r="R29" s="67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SCALARS!D31</f>
        <v>1841.2114999999999</v>
      </c>
      <c r="D30" s="61">
        <f>G30/K30</f>
        <v>1841.1919289815874</v>
      </c>
      <c r="E30" s="61">
        <f>C30-D30</f>
        <v>1.9571018412534613E-2</v>
      </c>
      <c r="F30" s="71">
        <v>2717247227</v>
      </c>
      <c r="G30" s="19">
        <v>70580000</v>
      </c>
      <c r="H30" s="8">
        <v>38339.35</v>
      </c>
      <c r="I30" s="1">
        <v>5.4299999999999997E-4</v>
      </c>
      <c r="J30" s="47">
        <f>ARKB!H30</f>
        <v>70883.73</v>
      </c>
      <c r="K30" s="8">
        <f>F30/J30</f>
        <v>38333.863454984668</v>
      </c>
      <c r="L30" s="1">
        <f t="shared" ref="L30" si="29">I30-0.0000005</f>
        <v>5.4250000000000001E-4</v>
      </c>
      <c r="M30" s="1">
        <f t="shared" ref="M30" si="30">I30+0.0000005</f>
        <v>5.4349999999999993E-4</v>
      </c>
      <c r="N30" s="46">
        <f t="shared" ref="N30" si="31">1/L30</f>
        <v>1843.3179723502303</v>
      </c>
      <c r="O30" s="46">
        <f t="shared" ref="O30" si="32">1/M30</f>
        <v>1839.9264029438825</v>
      </c>
      <c r="P30" s="58">
        <f>1/I30</f>
        <v>1841.6206261510131</v>
      </c>
      <c r="Q30" s="1"/>
      <c r="R30" s="67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SCALARS!D32</f>
        <v>1841.2216000000001</v>
      </c>
      <c r="D31" s="61">
        <f>G31/K31</f>
        <v>1841.2312253265166</v>
      </c>
      <c r="E31" s="61">
        <f>C31-D31</f>
        <v>-9.6253265164705226E-3</v>
      </c>
      <c r="F31" s="71">
        <v>2591902466</v>
      </c>
      <c r="G31" s="19">
        <v>69690000</v>
      </c>
      <c r="H31" s="8">
        <v>37855.97</v>
      </c>
      <c r="I31" s="1">
        <v>5.4299999999999997E-4</v>
      </c>
      <c r="J31" s="47">
        <f>ARKB!H31</f>
        <v>68478.86</v>
      </c>
      <c r="K31" s="8">
        <f>F31/J31</f>
        <v>37849.673110796532</v>
      </c>
      <c r="L31" s="1">
        <f t="shared" ref="L31" si="33">I31-0.0000005</f>
        <v>5.4250000000000001E-4</v>
      </c>
      <c r="M31" s="1">
        <f t="shared" ref="M31" si="34">I31+0.0000005</f>
        <v>5.4349999999999993E-4</v>
      </c>
      <c r="N31" s="46">
        <f t="shared" ref="N31" si="35">1/L31</f>
        <v>1843.3179723502303</v>
      </c>
      <c r="O31" s="46">
        <f t="shared" ref="O31" si="36">1/M31</f>
        <v>1839.9264029438825</v>
      </c>
      <c r="P31" s="58">
        <f>1/I31</f>
        <v>1841.6206261510131</v>
      </c>
      <c r="Q31" s="1"/>
      <c r="R31" s="67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SCALARS!D33</f>
        <v>1841.2317</v>
      </c>
      <c r="D32" s="61">
        <f>G32/K32</f>
        <v>1841.2523760203101</v>
      </c>
      <c r="E32" s="61">
        <f>C32-D32</f>
        <v>-2.0676020310020249E-2</v>
      </c>
      <c r="F32" s="71">
        <v>2473496849</v>
      </c>
      <c r="G32" s="19">
        <v>69170000</v>
      </c>
      <c r="H32" s="8">
        <v>37573.550000000003</v>
      </c>
      <c r="I32" s="1">
        <v>5.4299999999999997E-4</v>
      </c>
      <c r="J32" s="47">
        <v>65842.59</v>
      </c>
      <c r="K32" s="8">
        <f>F32/J32</f>
        <v>37566.821854972593</v>
      </c>
      <c r="L32" s="1">
        <f t="shared" ref="L32" si="37">I32-0.0000005</f>
        <v>5.4250000000000001E-4</v>
      </c>
      <c r="M32" s="1">
        <f t="shared" ref="M32" si="38">I32+0.0000005</f>
        <v>5.4349999999999993E-4</v>
      </c>
      <c r="N32" s="46">
        <f t="shared" ref="N32" si="39">1/L32</f>
        <v>1843.3179723502303</v>
      </c>
      <c r="O32" s="46">
        <f t="shared" ref="O32" si="40">1/M32</f>
        <v>1839.9264029438825</v>
      </c>
      <c r="P32" s="58">
        <f>1/I32</f>
        <v>1841.6206261510131</v>
      </c>
      <c r="Q32" s="1"/>
      <c r="R32" s="67"/>
    </row>
    <row r="33" spans="1:18" ht="15" customHeight="1">
      <c r="A33" s="1" t="str">
        <f>SCALARS!A34</f>
        <v>Saturday</v>
      </c>
      <c r="B33" s="28">
        <f>SCALARS!B34</f>
        <v>46109</v>
      </c>
      <c r="C33" s="61">
        <f>SCALARS!D34</f>
        <v>1841.2418</v>
      </c>
      <c r="D33" s="61"/>
      <c r="E33" s="61"/>
      <c r="F33" s="71"/>
      <c r="G33" s="19"/>
      <c r="H33" s="8"/>
      <c r="J33" s="47"/>
      <c r="K33" s="8"/>
      <c r="N33" s="46"/>
      <c r="O33" s="46"/>
      <c r="P33" s="58"/>
      <c r="Q33" s="1"/>
      <c r="R33" s="67"/>
    </row>
    <row r="34" spans="1:18" ht="15" customHeight="1">
      <c r="A34" s="1" t="str">
        <f>SCALARS!A35</f>
        <v>Sunday</v>
      </c>
      <c r="B34" s="28">
        <f>SCALARS!B35</f>
        <v>46110</v>
      </c>
      <c r="C34" s="61">
        <f>SCALARS!D35</f>
        <v>1841.2519</v>
      </c>
      <c r="D34" s="61"/>
      <c r="E34" s="61"/>
      <c r="F34" s="71"/>
      <c r="G34" s="19"/>
      <c r="H34" s="8"/>
      <c r="J34" s="47"/>
      <c r="K34" s="8"/>
      <c r="N34" s="46"/>
      <c r="O34" s="46"/>
      <c r="P34" s="58"/>
      <c r="Q34" s="1"/>
      <c r="R34" s="67"/>
    </row>
    <row r="35" spans="1:18" ht="15" customHeight="1">
      <c r="A35" s="1" t="str">
        <f>SCALARS!A36</f>
        <v>Monday</v>
      </c>
      <c r="B35" s="28">
        <f>SCALARS!B36</f>
        <v>46111</v>
      </c>
      <c r="C35" s="61">
        <f>SCALARS!D36</f>
        <v>1841.2619999999999</v>
      </c>
      <c r="D35" s="61">
        <f>G35/K35</f>
        <v>1841.2600772927431</v>
      </c>
      <c r="E35" s="61">
        <f>C35-D35</f>
        <v>1.9227072568810399E-3</v>
      </c>
      <c r="F35" s="71">
        <v>2492754070</v>
      </c>
      <c r="G35" s="19">
        <v>69170000</v>
      </c>
      <c r="H35" s="8">
        <v>37573.550000000003</v>
      </c>
      <c r="I35" s="1">
        <v>5.4299999999999997E-4</v>
      </c>
      <c r="J35" s="47">
        <f>ARKB!H35</f>
        <v>66355.48</v>
      </c>
      <c r="K35" s="8">
        <f>F35/J35</f>
        <v>37566.664727615564</v>
      </c>
      <c r="L35" s="1">
        <f t="shared" ref="L35" si="41">I35-0.0000005</f>
        <v>5.4250000000000001E-4</v>
      </c>
      <c r="M35" s="1">
        <f t="shared" ref="M35" si="42">I35+0.0000005</f>
        <v>5.4349999999999993E-4</v>
      </c>
      <c r="N35" s="46">
        <f t="shared" ref="N35" si="43">1/L35</f>
        <v>1843.3179723502303</v>
      </c>
      <c r="O35" s="46">
        <f t="shared" ref="O35" si="44">1/M35</f>
        <v>1839.9264029438825</v>
      </c>
      <c r="P35" s="58">
        <f>1/I35</f>
        <v>1841.6206261510131</v>
      </c>
      <c r="Q35" s="1"/>
      <c r="R35" s="67"/>
    </row>
    <row r="36" spans="1:18" ht="15" customHeight="1">
      <c r="A36" s="1" t="str">
        <f>SCALARS!A37</f>
        <v>Tuesday</v>
      </c>
      <c r="B36" s="28">
        <f>SCALARS!B37</f>
        <v>46112</v>
      </c>
      <c r="C36" s="61">
        <f>SCALARS!D37</f>
        <v>1841.2720999999999</v>
      </c>
      <c r="D36" s="61">
        <f t="shared" ref="D36:D67" si="45">G36/K36</f>
        <v>1841.2630418138326</v>
      </c>
      <c r="E36" s="61">
        <f>C36-D36</f>
        <v>9.0581861672944797E-3</v>
      </c>
      <c r="F36" s="71">
        <v>2550050873</v>
      </c>
      <c r="G36" s="19">
        <v>69220000</v>
      </c>
      <c r="H36" s="8">
        <v>37593.96</v>
      </c>
      <c r="I36" s="1">
        <v>5.4299999999999997E-4</v>
      </c>
      <c r="J36" s="47">
        <f>ARKB!H36</f>
        <v>67831.759999999995</v>
      </c>
      <c r="K36" s="8">
        <f t="shared" ref="K36:K67" si="46">F36/J36</f>
        <v>37593.75951619124</v>
      </c>
      <c r="L36" s="1">
        <f t="shared" ref="L36:L67" si="47">I36-0.0000005</f>
        <v>5.4250000000000001E-4</v>
      </c>
      <c r="M36" s="1">
        <f t="shared" ref="M36:M67" si="48">I36+0.0000005</f>
        <v>5.4349999999999993E-4</v>
      </c>
      <c r="N36" s="46">
        <f t="shared" ref="N36:N67" si="49">1/L36</f>
        <v>1843.3179723502303</v>
      </c>
      <c r="O36" s="46">
        <f t="shared" ref="O36:O67" si="50">1/M36</f>
        <v>1839.9264029438825</v>
      </c>
      <c r="P36" s="58">
        <f t="shared" ref="P36:P67" si="51">1/I36</f>
        <v>1841.6206261510131</v>
      </c>
      <c r="Q36" s="1"/>
      <c r="R36" s="67"/>
    </row>
    <row r="37" spans="1:18" ht="15" customHeight="1">
      <c r="A37" s="1" t="str">
        <f>SCALARS!A38</f>
        <v>Wednesday</v>
      </c>
      <c r="B37" s="28">
        <f>SCALARS!B38</f>
        <v>46113</v>
      </c>
      <c r="C37" s="61">
        <f>SCALARS!D38</f>
        <v>1841.2822000000001</v>
      </c>
      <c r="D37" s="61">
        <f t="shared" si="45"/>
        <v>1841.3033995208918</v>
      </c>
      <c r="E37" s="61">
        <f>C37-D37</f>
        <v>-2.1199520891741486E-2</v>
      </c>
      <c r="F37" s="71">
        <v>2556377524</v>
      </c>
      <c r="G37" s="19">
        <v>69070000</v>
      </c>
      <c r="H37" s="8">
        <v>37512.49</v>
      </c>
      <c r="I37" s="1">
        <v>5.4299999999999997E-4</v>
      </c>
      <c r="J37" s="47">
        <f>ARKB!H37</f>
        <v>68149.22</v>
      </c>
      <c r="K37" s="8">
        <f t="shared" si="46"/>
        <v>37511.471503268855</v>
      </c>
      <c r="L37" s="1">
        <f t="shared" si="47"/>
        <v>5.4250000000000001E-4</v>
      </c>
      <c r="M37" s="1">
        <f t="shared" si="48"/>
        <v>5.4349999999999993E-4</v>
      </c>
      <c r="N37" s="46">
        <f t="shared" si="49"/>
        <v>1843.3179723502303</v>
      </c>
      <c r="O37" s="46">
        <f t="shared" si="50"/>
        <v>1839.9264029438825</v>
      </c>
      <c r="P37" s="58">
        <f t="shared" si="51"/>
        <v>1841.6206261510131</v>
      </c>
      <c r="Q37" s="1"/>
      <c r="R37" s="67"/>
    </row>
    <row r="38" spans="1:18" ht="15" customHeight="1">
      <c r="A38" s="1" t="str">
        <f>SCALARS!A39</f>
        <v>Thursday</v>
      </c>
      <c r="B38" s="28">
        <f>SCALARS!B39</f>
        <v>46114</v>
      </c>
      <c r="C38" s="61">
        <f>SCALARS!D39</f>
        <v>1841.2923000000001</v>
      </c>
      <c r="D38" s="61">
        <f t="shared" si="45"/>
        <v>1841.3136629913088</v>
      </c>
      <c r="E38" s="61">
        <f>C38-D38</f>
        <v>-2.1362991308706114E-2</v>
      </c>
      <c r="F38" s="71">
        <v>2513062149</v>
      </c>
      <c r="G38" s="19">
        <v>69070000</v>
      </c>
      <c r="H38" s="8">
        <v>37512.49</v>
      </c>
      <c r="I38" s="1">
        <v>5.4299999999999997E-4</v>
      </c>
      <c r="J38" s="47">
        <f>ARKB!H38</f>
        <v>66994.87</v>
      </c>
      <c r="K38" s="8">
        <f t="shared" si="46"/>
        <v>37511.262414569952</v>
      </c>
      <c r="L38" s="1">
        <f t="shared" si="47"/>
        <v>5.4250000000000001E-4</v>
      </c>
      <c r="M38" s="1">
        <f t="shared" si="48"/>
        <v>5.4349999999999993E-4</v>
      </c>
      <c r="N38" s="46">
        <f t="shared" si="49"/>
        <v>1843.3179723502303</v>
      </c>
      <c r="O38" s="46">
        <f t="shared" si="50"/>
        <v>1839.9264029438825</v>
      </c>
      <c r="P38" s="58">
        <f t="shared" si="51"/>
        <v>1841.6206261510131</v>
      </c>
      <c r="Q38" s="1"/>
      <c r="R38" s="67"/>
    </row>
    <row r="39" spans="1:18" ht="15" customHeight="1">
      <c r="A39" s="1" t="str">
        <f>SCALARS!A40</f>
        <v>Friday</v>
      </c>
      <c r="B39" s="28">
        <f>SCALARS!B40</f>
        <v>46115</v>
      </c>
      <c r="C39" s="61">
        <f>SCALARS!D40</f>
        <v>1841.3024</v>
      </c>
      <c r="D39" s="61"/>
      <c r="E39" s="105" t="s">
        <v>73</v>
      </c>
      <c r="F39" s="71"/>
      <c r="G39" s="19"/>
      <c r="H39" s="8"/>
      <c r="J39" s="47"/>
      <c r="K39" s="8"/>
      <c r="N39" s="46"/>
      <c r="O39" s="46"/>
      <c r="P39" s="58"/>
      <c r="Q39" s="1"/>
      <c r="R39" s="67"/>
    </row>
    <row r="40" spans="1:18" ht="15" customHeight="1">
      <c r="A40" s="1" t="str">
        <f>SCALARS!A41</f>
        <v>Saturday</v>
      </c>
      <c r="B40" s="28">
        <f>SCALARS!B41</f>
        <v>46116</v>
      </c>
      <c r="C40" s="61">
        <f>SCALARS!D41</f>
        <v>1841.3125</v>
      </c>
      <c r="D40" s="61"/>
      <c r="E40" s="61"/>
      <c r="F40" s="71"/>
      <c r="G40" s="19"/>
      <c r="H40" s="8"/>
      <c r="J40" s="47"/>
      <c r="K40" s="8"/>
      <c r="N40" s="46"/>
      <c r="O40" s="46"/>
      <c r="P40" s="58"/>
      <c r="Q40" s="1"/>
      <c r="R40" s="67"/>
    </row>
    <row r="41" spans="1:18" ht="15" customHeight="1">
      <c r="A41" s="1" t="str">
        <f>SCALARS!A42</f>
        <v>Sunday</v>
      </c>
      <c r="B41" s="28">
        <f>SCALARS!B42</f>
        <v>46117</v>
      </c>
      <c r="C41" s="61">
        <f>SCALARS!D42</f>
        <v>1841.3226</v>
      </c>
      <c r="D41" s="61"/>
      <c r="E41" s="61"/>
      <c r="F41" s="71"/>
      <c r="G41" s="19"/>
      <c r="H41" s="8"/>
      <c r="J41" s="47"/>
      <c r="K41" s="8"/>
      <c r="N41" s="46"/>
      <c r="O41" s="46"/>
      <c r="P41" s="58"/>
      <c r="Q41" s="1"/>
      <c r="R41" s="67"/>
    </row>
    <row r="42" spans="1:18" ht="15" customHeight="1">
      <c r="A42" s="1" t="str">
        <f>SCALARS!A43</f>
        <v>Monday</v>
      </c>
      <c r="B42" s="28">
        <f>SCALARS!B43</f>
        <v>46118</v>
      </c>
      <c r="C42" s="61">
        <f>SCALARS!D43</f>
        <v>1841.3326999999999</v>
      </c>
      <c r="D42" s="61">
        <f t="shared" si="45"/>
        <v>1841.3217432672732</v>
      </c>
      <c r="E42" s="61">
        <f>C42-D42</f>
        <v>1.0956732726754126E-2</v>
      </c>
      <c r="F42" s="71">
        <v>2620820840</v>
      </c>
      <c r="G42" s="19">
        <v>69170000</v>
      </c>
      <c r="H42" s="8">
        <v>37566.800000000003</v>
      </c>
      <c r="I42" s="1">
        <v>5.4299999999999997E-4</v>
      </c>
      <c r="J42" s="47">
        <f>ARKB!H42</f>
        <v>69766.87</v>
      </c>
      <c r="K42" s="8">
        <f t="shared" si="46"/>
        <v>37565.406617782915</v>
      </c>
      <c r="L42" s="1">
        <f t="shared" si="47"/>
        <v>5.4250000000000001E-4</v>
      </c>
      <c r="M42" s="1">
        <f t="shared" si="48"/>
        <v>5.4349999999999993E-4</v>
      </c>
      <c r="N42" s="46">
        <f t="shared" si="49"/>
        <v>1843.3179723502303</v>
      </c>
      <c r="O42" s="46">
        <f t="shared" si="50"/>
        <v>1839.9264029438825</v>
      </c>
      <c r="P42" s="58">
        <f t="shared" si="51"/>
        <v>1841.6206261510131</v>
      </c>
      <c r="Q42" s="1"/>
      <c r="R42" s="67"/>
    </row>
    <row r="43" spans="1:18" ht="15" customHeight="1">
      <c r="A43" s="1" t="str">
        <f>SCALARS!A44</f>
        <v>Tuesday</v>
      </c>
      <c r="B43" s="28">
        <f>SCALARS!B44</f>
        <v>46119</v>
      </c>
      <c r="C43" s="61">
        <f>SCALARS!D44</f>
        <v>1841.3427999999999</v>
      </c>
      <c r="D43" s="61">
        <f t="shared" si="45"/>
        <v>1841.3328198735692</v>
      </c>
      <c r="E43" s="61">
        <f>C43-D43</f>
        <v>9.9801264307188831E-3</v>
      </c>
      <c r="F43" s="71">
        <v>2577435322</v>
      </c>
      <c r="G43" s="19">
        <v>69170000</v>
      </c>
      <c r="H43" s="8">
        <v>37566.800000000003</v>
      </c>
      <c r="I43" s="1">
        <v>5.4299999999999997E-4</v>
      </c>
      <c r="J43" s="47">
        <f>ARKB!H43</f>
        <v>68612.350000000006</v>
      </c>
      <c r="K43" s="8">
        <f t="shared" si="46"/>
        <v>37565.180641677478</v>
      </c>
      <c r="L43" s="1">
        <f t="shared" si="47"/>
        <v>5.4250000000000001E-4</v>
      </c>
      <c r="M43" s="1">
        <f t="shared" si="48"/>
        <v>5.4349999999999993E-4</v>
      </c>
      <c r="N43" s="46">
        <f t="shared" si="49"/>
        <v>1843.3179723502303</v>
      </c>
      <c r="O43" s="46">
        <f t="shared" si="50"/>
        <v>1839.9264029438825</v>
      </c>
      <c r="P43" s="58">
        <f t="shared" si="51"/>
        <v>1841.6206261510131</v>
      </c>
      <c r="Q43" s="1"/>
      <c r="R43" s="67"/>
    </row>
    <row r="44" spans="1:18" ht="15" customHeight="1">
      <c r="A44" s="1" t="str">
        <f>SCALARS!A45</f>
        <v>Wednesday</v>
      </c>
      <c r="B44" s="28">
        <f>SCALARS!B45</f>
        <v>46120</v>
      </c>
      <c r="C44" s="61">
        <f>SCALARS!D45</f>
        <v>1841.3529000000001</v>
      </c>
      <c r="D44" s="61">
        <f t="shared" si="45"/>
        <v>1841.340339239794</v>
      </c>
      <c r="E44" s="61">
        <f>C44-D44</f>
        <v>1.2560760206042687E-2</v>
      </c>
      <c r="F44" s="71">
        <v>2676113758</v>
      </c>
      <c r="G44" s="19">
        <v>69170000</v>
      </c>
      <c r="H44" s="8">
        <v>37566.800000000003</v>
      </c>
      <c r="I44" s="1">
        <v>5.4299999999999997E-4</v>
      </c>
      <c r="J44" s="47">
        <f>ARKB!H44</f>
        <v>71239.5</v>
      </c>
      <c r="K44" s="8">
        <f t="shared" si="46"/>
        <v>37565.027239101903</v>
      </c>
      <c r="L44" s="1">
        <f t="shared" si="47"/>
        <v>5.4250000000000001E-4</v>
      </c>
      <c r="M44" s="1">
        <f t="shared" si="48"/>
        <v>5.4349999999999993E-4</v>
      </c>
      <c r="N44" s="46">
        <f t="shared" si="49"/>
        <v>1843.3179723502303</v>
      </c>
      <c r="O44" s="46">
        <f t="shared" si="50"/>
        <v>1839.9264029438825</v>
      </c>
      <c r="P44" s="58">
        <f t="shared" si="51"/>
        <v>1841.6206261510131</v>
      </c>
      <c r="Q44" s="1"/>
      <c r="R44" s="67"/>
    </row>
    <row r="45" spans="1:18" ht="15" customHeight="1">
      <c r="A45" s="1" t="str">
        <f>SCALARS!A46</f>
        <v>Thursday</v>
      </c>
      <c r="B45" s="28">
        <f>SCALARS!B46</f>
        <v>46121</v>
      </c>
      <c r="C45" s="61">
        <f>SCALARS!D46</f>
        <v>1841.3630000000001</v>
      </c>
      <c r="D45" s="61">
        <f t="shared" si="45"/>
        <v>1841.3697920212858</v>
      </c>
      <c r="E45" s="61">
        <f>C45-D45</f>
        <v>-6.7920212857188744E-3</v>
      </c>
      <c r="F45" s="71">
        <v>2716558866</v>
      </c>
      <c r="G45" s="19">
        <v>69470000</v>
      </c>
      <c r="H45" s="8">
        <v>37729.730000000003</v>
      </c>
      <c r="I45" s="1">
        <v>5.4299999999999997E-4</v>
      </c>
      <c r="J45" s="47">
        <f>ARKB!H45</f>
        <v>72005.03</v>
      </c>
      <c r="K45" s="8">
        <f t="shared" si="46"/>
        <v>37727.348575509241</v>
      </c>
      <c r="L45" s="1">
        <f t="shared" si="47"/>
        <v>5.4250000000000001E-4</v>
      </c>
      <c r="M45" s="1">
        <f t="shared" si="48"/>
        <v>5.4349999999999993E-4</v>
      </c>
      <c r="N45" s="46">
        <f t="shared" si="49"/>
        <v>1843.3179723502303</v>
      </c>
      <c r="O45" s="46">
        <f t="shared" si="50"/>
        <v>1839.9264029438825</v>
      </c>
      <c r="P45" s="58">
        <f t="shared" si="51"/>
        <v>1841.6206261510131</v>
      </c>
      <c r="Q45" s="1"/>
      <c r="R45" s="67"/>
    </row>
    <row r="46" spans="1:18" ht="15" customHeight="1">
      <c r="A46" s="1" t="str">
        <f>SCALARS!A47</f>
        <v>Friday</v>
      </c>
      <c r="B46" s="28">
        <f>SCALARS!B47</f>
        <v>46122</v>
      </c>
      <c r="C46" s="61">
        <f>SCALARS!D47</f>
        <v>1841.3731</v>
      </c>
      <c r="D46" s="61">
        <f t="shared" si="45"/>
        <v>1841.378585121641</v>
      </c>
      <c r="E46" s="61">
        <f>C46-D46</f>
        <v>-5.4851216409588233E-3</v>
      </c>
      <c r="F46" s="71">
        <v>2767752009</v>
      </c>
      <c r="G46" s="19">
        <v>69710000</v>
      </c>
      <c r="H46" s="8">
        <v>37860.07</v>
      </c>
      <c r="I46" s="1">
        <v>5.4299999999999997E-4</v>
      </c>
      <c r="J46" s="47">
        <f>ARKB!H46</f>
        <v>73109.73</v>
      </c>
      <c r="K46" s="8">
        <f t="shared" si="46"/>
        <v>37857.505546799315</v>
      </c>
      <c r="L46" s="1">
        <f t="shared" si="47"/>
        <v>5.4250000000000001E-4</v>
      </c>
      <c r="M46" s="1">
        <f t="shared" si="48"/>
        <v>5.4349999999999993E-4</v>
      </c>
      <c r="N46" s="46">
        <f t="shared" si="49"/>
        <v>1843.3179723502303</v>
      </c>
      <c r="O46" s="46">
        <f t="shared" si="50"/>
        <v>1839.9264029438825</v>
      </c>
      <c r="P46" s="58">
        <f t="shared" si="51"/>
        <v>1841.6206261510131</v>
      </c>
      <c r="Q46" s="1"/>
      <c r="R46" s="67"/>
    </row>
    <row r="47" spans="1:18" ht="15" customHeight="1">
      <c r="A47" s="1" t="str">
        <f>SCALARS!A48</f>
        <v>Saturday</v>
      </c>
      <c r="B47" s="28">
        <f>SCALARS!B48</f>
        <v>46123</v>
      </c>
      <c r="C47" s="61">
        <f>SCALARS!D48</f>
        <v>1841.3832</v>
      </c>
      <c r="D47" s="61"/>
      <c r="E47" s="61"/>
      <c r="F47" s="71"/>
      <c r="G47" s="19"/>
      <c r="H47" s="8"/>
      <c r="J47" s="47"/>
      <c r="K47" s="8"/>
      <c r="N47" s="46"/>
      <c r="O47" s="46"/>
      <c r="P47" s="58"/>
      <c r="Q47" s="1"/>
      <c r="R47" s="67"/>
    </row>
    <row r="48" spans="1:18" ht="15" customHeight="1">
      <c r="A48" s="1" t="str">
        <f>SCALARS!A49</f>
        <v>Sunday</v>
      </c>
      <c r="B48" s="28">
        <f>SCALARS!B49</f>
        <v>46124</v>
      </c>
      <c r="C48" s="61">
        <f>SCALARS!D49</f>
        <v>1841.3933</v>
      </c>
      <c r="D48" s="61"/>
      <c r="E48" s="61"/>
      <c r="F48" s="71"/>
      <c r="G48" s="19"/>
      <c r="H48" s="8"/>
      <c r="J48" s="47"/>
      <c r="K48" s="8"/>
      <c r="N48" s="46"/>
      <c r="O48" s="46"/>
      <c r="P48" s="58"/>
      <c r="Q48" s="1"/>
      <c r="R48" s="67"/>
    </row>
    <row r="49" spans="1:18" ht="15" customHeight="1">
      <c r="A49" s="1" t="str">
        <f>SCALARS!A50</f>
        <v>Monday</v>
      </c>
      <c r="B49" s="28">
        <f>SCALARS!B50</f>
        <v>46125</v>
      </c>
      <c r="C49" s="61">
        <f>SCALARS!D50</f>
        <v>1841.4033999999999</v>
      </c>
      <c r="D49" s="61">
        <f t="shared" si="45"/>
        <v>1841.3890160166238</v>
      </c>
      <c r="E49" s="61">
        <f>C49-D49</f>
        <v>1.4383983376092147E-2</v>
      </c>
      <c r="F49" s="71">
        <v>2771390174</v>
      </c>
      <c r="G49" s="19">
        <v>70010000</v>
      </c>
      <c r="H49" s="8">
        <v>38022.99</v>
      </c>
      <c r="I49" s="1">
        <v>5.4299999999999997E-4</v>
      </c>
      <c r="J49" s="47">
        <f>ARKB!H49</f>
        <v>72892.55</v>
      </c>
      <c r="K49" s="8">
        <f t="shared" si="46"/>
        <v>38020.211585408935</v>
      </c>
      <c r="L49" s="1">
        <f t="shared" si="47"/>
        <v>5.4250000000000001E-4</v>
      </c>
      <c r="M49" s="1">
        <f t="shared" si="48"/>
        <v>5.4349999999999993E-4</v>
      </c>
      <c r="N49" s="46">
        <f t="shared" si="49"/>
        <v>1843.3179723502303</v>
      </c>
      <c r="O49" s="46">
        <f t="shared" si="50"/>
        <v>1839.9264029438825</v>
      </c>
      <c r="P49" s="58">
        <f t="shared" si="51"/>
        <v>1841.6206261510131</v>
      </c>
      <c r="Q49" s="1"/>
      <c r="R49" s="67"/>
    </row>
    <row r="50" spans="1:18" ht="15" customHeight="1">
      <c r="A50" s="1" t="str">
        <f>SCALARS!A51</f>
        <v>Tuesday</v>
      </c>
      <c r="B50" s="28">
        <f>SCALARS!B51</f>
        <v>46126</v>
      </c>
      <c r="C50" s="61">
        <f>SCALARS!D51</f>
        <v>1841.4135000000001</v>
      </c>
      <c r="D50" s="61">
        <f t="shared" si="45"/>
        <v>1841.3968054341374</v>
      </c>
      <c r="E50" s="61">
        <f>C50-D50</f>
        <v>1.6694565862735544E-2</v>
      </c>
      <c r="F50" s="71">
        <v>2836256377</v>
      </c>
      <c r="G50" s="19">
        <v>70320000</v>
      </c>
      <c r="H50" s="8">
        <v>38191.339999999997</v>
      </c>
      <c r="I50" s="1">
        <v>5.4299999999999997E-4</v>
      </c>
      <c r="J50" s="47">
        <f>ARKB!H50</f>
        <v>74270.100000000006</v>
      </c>
      <c r="K50" s="8">
        <f t="shared" si="46"/>
        <v>38188.401213947465</v>
      </c>
      <c r="L50" s="1">
        <f t="shared" si="47"/>
        <v>5.4250000000000001E-4</v>
      </c>
      <c r="M50" s="1">
        <f t="shared" si="48"/>
        <v>5.4349999999999993E-4</v>
      </c>
      <c r="N50" s="46">
        <f t="shared" si="49"/>
        <v>1843.3179723502303</v>
      </c>
      <c r="O50" s="46">
        <f t="shared" si="50"/>
        <v>1839.9264029438825</v>
      </c>
      <c r="P50" s="58">
        <f t="shared" si="51"/>
        <v>1841.6206261510131</v>
      </c>
      <c r="Q50" s="1"/>
      <c r="R50" s="67"/>
    </row>
    <row r="51" spans="1:18" ht="15" customHeight="1">
      <c r="A51" s="1" t="str">
        <f>SCALARS!A52</f>
        <v>Wednesday</v>
      </c>
      <c r="B51" s="28">
        <f>SCALARS!B52</f>
        <v>46127</v>
      </c>
      <c r="C51" s="61">
        <f>SCALARS!D52</f>
        <v>1841.4236000000001</v>
      </c>
      <c r="D51" s="61">
        <f t="shared" si="45"/>
        <v>1841.4058660576022</v>
      </c>
      <c r="E51" s="61">
        <f>C51-D51</f>
        <v>1.7733942397853752E-2</v>
      </c>
      <c r="F51" s="71">
        <v>2849986027</v>
      </c>
      <c r="G51" s="19">
        <v>70110000</v>
      </c>
      <c r="H51" s="8">
        <v>38077.300000000003</v>
      </c>
      <c r="I51" s="1">
        <v>5.4299999999999997E-4</v>
      </c>
      <c r="J51" s="47">
        <f>ARKB!H51</f>
        <v>74853.53</v>
      </c>
      <c r="K51" s="8">
        <f t="shared" si="46"/>
        <v>38074.170009083071</v>
      </c>
      <c r="L51" s="1">
        <f t="shared" si="47"/>
        <v>5.4250000000000001E-4</v>
      </c>
      <c r="M51" s="1">
        <f t="shared" si="48"/>
        <v>5.4349999999999993E-4</v>
      </c>
      <c r="N51" s="46">
        <f t="shared" si="49"/>
        <v>1843.3179723502303</v>
      </c>
      <c r="O51" s="46">
        <f t="shared" si="50"/>
        <v>1839.9264029438825</v>
      </c>
      <c r="P51" s="58">
        <f t="shared" si="51"/>
        <v>1841.6206261510131</v>
      </c>
      <c r="Q51" s="1"/>
      <c r="R51" s="67"/>
    </row>
    <row r="52" spans="1:18" ht="15" customHeight="1">
      <c r="A52" s="1" t="str">
        <f>SCALARS!A53</f>
        <v>Thursday</v>
      </c>
      <c r="B52" s="28">
        <f>SCALARS!B53</f>
        <v>46128</v>
      </c>
      <c r="C52" s="61">
        <f>SCALARS!D53</f>
        <v>1841.4337</v>
      </c>
      <c r="D52" s="61">
        <f t="shared" si="45"/>
        <v>1841.435696665704</v>
      </c>
      <c r="E52" s="61">
        <f>C52-D52</f>
        <v>-1.996665703927647E-3</v>
      </c>
      <c r="F52" s="71">
        <v>2858880290</v>
      </c>
      <c r="G52" s="19">
        <v>70110000</v>
      </c>
      <c r="H52" s="8">
        <v>38077.300000000003</v>
      </c>
      <c r="I52" s="1">
        <v>5.4299999999999997E-4</v>
      </c>
      <c r="J52" s="47">
        <f>ARKB!H52</f>
        <v>75088.350000000006</v>
      </c>
      <c r="K52" s="8">
        <f t="shared" si="46"/>
        <v>38073.553220972361</v>
      </c>
      <c r="L52" s="1">
        <f t="shared" si="47"/>
        <v>5.4250000000000001E-4</v>
      </c>
      <c r="M52" s="1">
        <f t="shared" si="48"/>
        <v>5.4349999999999993E-4</v>
      </c>
      <c r="N52" s="46">
        <f t="shared" si="49"/>
        <v>1843.3179723502303</v>
      </c>
      <c r="O52" s="46">
        <f t="shared" si="50"/>
        <v>1839.9264029438825</v>
      </c>
      <c r="P52" s="58">
        <f t="shared" si="51"/>
        <v>1841.6206261510131</v>
      </c>
      <c r="Q52" s="1"/>
      <c r="R52" s="67"/>
    </row>
    <row r="53" spans="1:18" ht="15" customHeight="1">
      <c r="A53" s="1" t="str">
        <f>SCALARS!A54</f>
        <v>Friday</v>
      </c>
      <c r="B53" s="28">
        <f>SCALARS!B54</f>
        <v>46129</v>
      </c>
      <c r="C53" s="61">
        <f>SCALARS!D54</f>
        <v>1841.4438</v>
      </c>
      <c r="D53" s="61">
        <f t="shared" si="45"/>
        <v>1841.4414650035073</v>
      </c>
      <c r="E53" s="61">
        <f>C53-D53</f>
        <v>2.3349964926637767E-3</v>
      </c>
      <c r="F53" s="71">
        <v>2982500546</v>
      </c>
      <c r="G53" s="19">
        <v>71020000</v>
      </c>
      <c r="H53" s="8">
        <v>38571.47</v>
      </c>
      <c r="I53" s="1">
        <v>5.4299999999999997E-4</v>
      </c>
      <c r="J53" s="47">
        <f>ARKB!H53</f>
        <v>77331.740000000005</v>
      </c>
      <c r="K53" s="8">
        <f t="shared" si="46"/>
        <v>38567.612030972014</v>
      </c>
      <c r="L53" s="1">
        <f t="shared" si="47"/>
        <v>5.4250000000000001E-4</v>
      </c>
      <c r="M53" s="1">
        <f t="shared" si="48"/>
        <v>5.4349999999999993E-4</v>
      </c>
      <c r="N53" s="46">
        <f t="shared" si="49"/>
        <v>1843.3179723502303</v>
      </c>
      <c r="O53" s="46">
        <f t="shared" si="50"/>
        <v>1839.9264029438825</v>
      </c>
      <c r="P53" s="58">
        <f t="shared" si="51"/>
        <v>1841.6206261510131</v>
      </c>
      <c r="Q53" s="1"/>
      <c r="R53" s="67"/>
    </row>
    <row r="54" spans="1:18" ht="15" customHeight="1">
      <c r="A54" s="1" t="str">
        <f>SCALARS!A55</f>
        <v>Saturday</v>
      </c>
      <c r="B54" s="28">
        <f>SCALARS!B55</f>
        <v>46130</v>
      </c>
      <c r="C54" s="61">
        <f>SCALARS!D55</f>
        <v>1841.4539</v>
      </c>
      <c r="D54" s="61"/>
      <c r="E54" s="61"/>
      <c r="F54" s="71"/>
      <c r="G54" s="19"/>
      <c r="H54" s="8"/>
      <c r="J54" s="47"/>
      <c r="K54" s="8"/>
      <c r="N54" s="46"/>
      <c r="O54" s="46"/>
      <c r="P54" s="58"/>
      <c r="Q54" s="1"/>
      <c r="R54" s="67"/>
    </row>
    <row r="55" spans="1:18" ht="15" customHeight="1">
      <c r="A55" s="1" t="str">
        <f>SCALARS!A56</f>
        <v>Sunday</v>
      </c>
      <c r="B55" s="28">
        <f>SCALARS!B56</f>
        <v>46131</v>
      </c>
      <c r="C55" s="61">
        <f>SCALARS!D56</f>
        <v>1841.4639999999999</v>
      </c>
      <c r="D55" s="61"/>
      <c r="E55" s="61"/>
      <c r="F55" s="71"/>
      <c r="G55" s="19"/>
      <c r="H55" s="8"/>
      <c r="J55" s="47"/>
      <c r="K55" s="8"/>
      <c r="N55" s="46"/>
      <c r="O55" s="46"/>
      <c r="P55" s="58"/>
      <c r="Q55" s="1"/>
      <c r="R55" s="67"/>
    </row>
    <row r="56" spans="1:18" ht="15" customHeight="1">
      <c r="A56" s="1" t="str">
        <f>SCALARS!A57</f>
        <v>Monday</v>
      </c>
      <c r="B56" s="28">
        <f>SCALARS!B57</f>
        <v>46132</v>
      </c>
      <c r="C56" s="61">
        <f>SCALARS!D57</f>
        <v>1841.4740999999999</v>
      </c>
      <c r="D56" s="61">
        <f t="shared" si="45"/>
        <v>1841.4538730694101</v>
      </c>
      <c r="E56" s="61">
        <f>C56-D56</f>
        <v>2.0226930589842596E-2</v>
      </c>
      <c r="F56" s="71">
        <v>2943414807</v>
      </c>
      <c r="G56" s="19">
        <v>71020000</v>
      </c>
      <c r="H56" s="8">
        <v>38571.47</v>
      </c>
      <c r="I56" s="1">
        <v>5.4299999999999997E-4</v>
      </c>
      <c r="J56" s="47">
        <f>ARKB!H56</f>
        <v>76318.820000000007</v>
      </c>
      <c r="K56" s="8">
        <f t="shared" si="46"/>
        <v>38567.352155077868</v>
      </c>
      <c r="L56" s="1">
        <f t="shared" si="47"/>
        <v>5.4250000000000001E-4</v>
      </c>
      <c r="M56" s="1">
        <f t="shared" si="48"/>
        <v>5.4349999999999993E-4</v>
      </c>
      <c r="N56" s="46">
        <f t="shared" si="49"/>
        <v>1843.3179723502303</v>
      </c>
      <c r="O56" s="46">
        <f t="shared" si="50"/>
        <v>1839.9264029438825</v>
      </c>
      <c r="P56" s="58">
        <f t="shared" si="51"/>
        <v>1841.6206261510131</v>
      </c>
      <c r="Q56" s="1"/>
      <c r="R56" s="67"/>
    </row>
    <row r="57" spans="1:18" ht="15" customHeight="1">
      <c r="A57" s="1" t="str">
        <f>SCALARS!A58</f>
        <v>Tuesday</v>
      </c>
      <c r="B57" s="28">
        <f>SCALARS!B58</f>
        <v>46133</v>
      </c>
      <c r="C57" s="61">
        <f>SCALARS!D58</f>
        <v>1841.4842000000001</v>
      </c>
      <c r="D57" s="61">
        <f t="shared" si="45"/>
        <v>1841.4660963769677</v>
      </c>
      <c r="E57" s="61">
        <f>C57-D57</f>
        <v>1.8103623032402538E-2</v>
      </c>
      <c r="F57" s="71">
        <v>2897659681</v>
      </c>
      <c r="G57" s="19">
        <v>70710000</v>
      </c>
      <c r="H57" s="8">
        <v>38403.129999999997</v>
      </c>
      <c r="I57" s="1">
        <v>5.4299999999999997E-4</v>
      </c>
      <c r="J57" s="47">
        <f>ARKB!H57</f>
        <v>75462.34</v>
      </c>
      <c r="K57" s="8">
        <f t="shared" si="46"/>
        <v>38398.752026507529</v>
      </c>
      <c r="L57" s="1">
        <f t="shared" si="47"/>
        <v>5.4250000000000001E-4</v>
      </c>
      <c r="M57" s="1">
        <f t="shared" si="48"/>
        <v>5.4349999999999993E-4</v>
      </c>
      <c r="N57" s="46">
        <f t="shared" si="49"/>
        <v>1843.3179723502303</v>
      </c>
      <c r="O57" s="46">
        <f t="shared" si="50"/>
        <v>1839.9264029438825</v>
      </c>
      <c r="P57" s="58">
        <f t="shared" si="51"/>
        <v>1841.6206261510131</v>
      </c>
      <c r="Q57" s="1"/>
      <c r="R57" s="67"/>
    </row>
    <row r="58" spans="1:18" ht="15" customHeight="1">
      <c r="A58" s="1" t="str">
        <f>SCALARS!A59</f>
        <v>Wednesday</v>
      </c>
      <c r="B58" s="28">
        <f>SCALARS!B59</f>
        <v>46134</v>
      </c>
      <c r="C58" s="61">
        <f>SCALARS!D59</f>
        <v>1841.4943000000001</v>
      </c>
      <c r="D58" s="61">
        <f t="shared" si="45"/>
        <v>1841.4674666401977</v>
      </c>
      <c r="E58" s="61">
        <f>C58-D58</f>
        <v>2.683335980236734E-2</v>
      </c>
      <c r="F58" s="71">
        <v>3045846943</v>
      </c>
      <c r="G58" s="19">
        <v>71070000</v>
      </c>
      <c r="H58" s="8">
        <v>38598.629999999997</v>
      </c>
      <c r="I58" s="1">
        <v>5.4299999999999997E-4</v>
      </c>
      <c r="J58" s="47">
        <f>ARKB!H58</f>
        <v>78919.77</v>
      </c>
      <c r="K58" s="8">
        <f t="shared" si="46"/>
        <v>38594.219711993581</v>
      </c>
      <c r="L58" s="1">
        <f t="shared" si="47"/>
        <v>5.4250000000000001E-4</v>
      </c>
      <c r="M58" s="1">
        <f t="shared" si="48"/>
        <v>5.4349999999999993E-4</v>
      </c>
      <c r="N58" s="46">
        <f t="shared" si="49"/>
        <v>1843.3179723502303</v>
      </c>
      <c r="O58" s="46">
        <f t="shared" si="50"/>
        <v>1839.9264029438825</v>
      </c>
      <c r="P58" s="58">
        <f t="shared" si="51"/>
        <v>1841.6206261510131</v>
      </c>
      <c r="Q58" s="1"/>
      <c r="R58" s="67"/>
    </row>
    <row r="59" spans="1:18" ht="15" customHeight="1">
      <c r="A59" s="1" t="str">
        <f>SCALARS!A60</f>
        <v>Thursday</v>
      </c>
      <c r="B59" s="28">
        <f>SCALARS!B60</f>
        <v>46135</v>
      </c>
      <c r="C59" s="61">
        <f>SCALARS!D60</f>
        <v>1841.5044</v>
      </c>
      <c r="D59" s="61">
        <f t="shared" si="45"/>
        <v>1841.5006990485017</v>
      </c>
      <c r="E59" s="61">
        <f>C59-D59</f>
        <v>3.700951498331051E-3</v>
      </c>
      <c r="F59" s="72">
        <v>2994003271</v>
      </c>
      <c r="G59" s="19">
        <v>70890000</v>
      </c>
      <c r="H59" s="8">
        <v>38500.879999999997</v>
      </c>
      <c r="I59" s="1">
        <v>5.4299999999999997E-4</v>
      </c>
      <c r="J59" s="47">
        <f>ARKB!H59</f>
        <v>77774.850000000006</v>
      </c>
      <c r="K59" s="8">
        <f t="shared" si="46"/>
        <v>38495.776861028979</v>
      </c>
      <c r="L59" s="1">
        <f t="shared" si="47"/>
        <v>5.4250000000000001E-4</v>
      </c>
      <c r="M59" s="1">
        <f t="shared" si="48"/>
        <v>5.4349999999999993E-4</v>
      </c>
      <c r="N59" s="46">
        <f t="shared" si="49"/>
        <v>1843.3179723502303</v>
      </c>
      <c r="O59" s="46">
        <f t="shared" si="50"/>
        <v>1839.9264029438825</v>
      </c>
      <c r="P59" s="58">
        <f t="shared" si="51"/>
        <v>1841.6206261510131</v>
      </c>
      <c r="Q59" s="1"/>
      <c r="R59" s="67"/>
    </row>
    <row r="60" spans="1:18" ht="15" customHeight="1">
      <c r="A60" s="1" t="str">
        <f>SCALARS!A61</f>
        <v>Friday</v>
      </c>
      <c r="B60" s="28">
        <f>SCALARS!B61</f>
        <v>46136</v>
      </c>
      <c r="C60" s="61">
        <f>SCALARS!D61</f>
        <v>1841.5145</v>
      </c>
      <c r="D60" s="61">
        <f t="shared" si="45"/>
        <v>1841.5111684950707</v>
      </c>
      <c r="E60" s="61">
        <f>C60-D60</f>
        <v>3.3315049292923504E-3</v>
      </c>
      <c r="F60" s="71">
        <v>2979872605</v>
      </c>
      <c r="G60" s="19">
        <v>70680000</v>
      </c>
      <c r="H60" s="8">
        <v>38386.839999999997</v>
      </c>
      <c r="I60" s="1">
        <v>5.4299999999999997E-4</v>
      </c>
      <c r="J60" s="47">
        <f>ARKB!H60</f>
        <v>77638.210000000006</v>
      </c>
      <c r="K60" s="8">
        <f t="shared" si="46"/>
        <v>38381.52122518023</v>
      </c>
      <c r="L60" s="1">
        <f t="shared" si="47"/>
        <v>5.4250000000000001E-4</v>
      </c>
      <c r="M60" s="1">
        <f t="shared" si="48"/>
        <v>5.4349999999999993E-4</v>
      </c>
      <c r="N60" s="46">
        <f t="shared" si="49"/>
        <v>1843.3179723502303</v>
      </c>
      <c r="O60" s="46">
        <f t="shared" si="50"/>
        <v>1839.9264029438825</v>
      </c>
      <c r="P60" s="58">
        <f t="shared" si="51"/>
        <v>1841.6206261510131</v>
      </c>
      <c r="Q60" s="1"/>
      <c r="R60" s="67"/>
    </row>
    <row r="61" spans="1:18" ht="15" customHeight="1">
      <c r="A61" s="1" t="str">
        <f>SCALARS!A62</f>
        <v>Saturday</v>
      </c>
      <c r="B61" s="28">
        <f>SCALARS!B62</f>
        <v>46137</v>
      </c>
      <c r="C61" s="61">
        <f>SCALARS!D62</f>
        <v>1841.5246</v>
      </c>
      <c r="D61" s="61"/>
      <c r="E61" s="61"/>
      <c r="F61" s="71"/>
      <c r="G61" s="19"/>
      <c r="H61" s="8"/>
      <c r="J61" s="47"/>
      <c r="K61" s="8"/>
      <c r="N61" s="46"/>
      <c r="O61" s="46"/>
      <c r="P61" s="58"/>
      <c r="Q61" s="1"/>
      <c r="R61" s="67"/>
    </row>
    <row r="62" spans="1:18" ht="15" customHeight="1">
      <c r="A62" s="1" t="str">
        <f>SCALARS!A63</f>
        <v>Sunday</v>
      </c>
      <c r="B62" s="28">
        <f>SCALARS!B63</f>
        <v>46138</v>
      </c>
      <c r="C62" s="61">
        <f>SCALARS!D63</f>
        <v>1841.5346999999999</v>
      </c>
      <c r="D62" s="61"/>
      <c r="E62" s="61"/>
      <c r="F62" s="71"/>
      <c r="G62" s="19"/>
      <c r="H62" s="8"/>
      <c r="J62" s="47"/>
      <c r="K62" s="8"/>
      <c r="N62" s="46"/>
      <c r="O62" s="46"/>
      <c r="P62" s="58"/>
      <c r="Q62" s="1"/>
      <c r="R62" s="67"/>
    </row>
    <row r="63" spans="1:18" ht="15" customHeight="1">
      <c r="A63" s="1" t="str">
        <f>SCALARS!A64</f>
        <v>Monday</v>
      </c>
      <c r="B63" s="28">
        <f>SCALARS!B64</f>
        <v>46139</v>
      </c>
      <c r="C63" s="61">
        <f>SCALARS!D64</f>
        <v>1841.5447999999999</v>
      </c>
      <c r="D63" s="61">
        <f t="shared" si="45"/>
        <v>1841.5240682729816</v>
      </c>
      <c r="E63" s="61">
        <f>C63-D63</f>
        <v>2.0731727018301171E-2</v>
      </c>
      <c r="F63" s="71">
        <v>2937477631</v>
      </c>
      <c r="G63" s="19">
        <v>70470000</v>
      </c>
      <c r="H63" s="8">
        <v>38272.800000000003</v>
      </c>
      <c r="I63" s="1">
        <v>5.4299999999999997E-4</v>
      </c>
      <c r="J63" s="47">
        <f>ARKB!H63</f>
        <v>76762.25</v>
      </c>
      <c r="K63" s="8">
        <f t="shared" si="46"/>
        <v>38267.216385658314</v>
      </c>
      <c r="L63" s="1">
        <f t="shared" si="47"/>
        <v>5.4250000000000001E-4</v>
      </c>
      <c r="M63" s="1">
        <f t="shared" si="48"/>
        <v>5.4349999999999993E-4</v>
      </c>
      <c r="N63" s="46">
        <f t="shared" si="49"/>
        <v>1843.3179723502303</v>
      </c>
      <c r="O63" s="46">
        <f t="shared" si="50"/>
        <v>1839.9264029438825</v>
      </c>
      <c r="P63" s="58">
        <f t="shared" si="51"/>
        <v>1841.6206261510131</v>
      </c>
      <c r="Q63" s="1"/>
      <c r="R63" s="67"/>
    </row>
    <row r="64" spans="1:18" ht="15" customHeight="1">
      <c r="A64" s="1" t="str">
        <f>SCALARS!A65</f>
        <v>Tuesday</v>
      </c>
      <c r="B64" s="28">
        <f>SCALARS!B65</f>
        <v>46140</v>
      </c>
      <c r="C64" s="61">
        <f>SCALARS!D65</f>
        <v>1841.5549000000001</v>
      </c>
      <c r="D64" s="61">
        <f t="shared" si="45"/>
        <v>1841.5361329870129</v>
      </c>
      <c r="E64" s="61">
        <f>C64-D64</f>
        <v>1.8767012987154885E-2</v>
      </c>
      <c r="F64" s="71">
        <v>2901703614</v>
      </c>
      <c r="G64" s="19">
        <v>70140000</v>
      </c>
      <c r="H64" s="8">
        <v>38093.599999999999</v>
      </c>
      <c r="I64" s="1">
        <v>5.4299999999999997E-4</v>
      </c>
      <c r="J64" s="47">
        <f>ARKB!H64</f>
        <v>76184.66</v>
      </c>
      <c r="K64" s="8">
        <f t="shared" si="46"/>
        <v>38087.767458698378</v>
      </c>
      <c r="L64" s="1">
        <f t="shared" si="47"/>
        <v>5.4250000000000001E-4</v>
      </c>
      <c r="M64" s="1">
        <f t="shared" si="48"/>
        <v>5.4349999999999993E-4</v>
      </c>
      <c r="N64" s="46">
        <f t="shared" si="49"/>
        <v>1843.3179723502303</v>
      </c>
      <c r="O64" s="46">
        <f t="shared" si="50"/>
        <v>1839.9264029438825</v>
      </c>
      <c r="P64" s="58">
        <f t="shared" si="51"/>
        <v>1841.6206261510131</v>
      </c>
      <c r="Q64" s="1"/>
      <c r="R64" s="67"/>
    </row>
    <row r="65" spans="1:18" ht="15" customHeight="1">
      <c r="A65" s="1" t="str">
        <f>SCALARS!A66</f>
        <v>Wednesday</v>
      </c>
      <c r="B65" s="28">
        <f>SCALARS!B66</f>
        <v>46141</v>
      </c>
      <c r="C65" s="61">
        <f>SCALARS!D66</f>
        <v>1841.5650000000001</v>
      </c>
      <c r="D65" s="61">
        <f t="shared" si="45"/>
        <v>1841.5488910609583</v>
      </c>
      <c r="E65" s="61">
        <f>C65-D65</f>
        <v>1.6108939041714621E-2</v>
      </c>
      <c r="F65" s="71">
        <v>2873561603</v>
      </c>
      <c r="G65" s="19">
        <v>70140000</v>
      </c>
      <c r="H65" s="8">
        <v>38093.599999999999</v>
      </c>
      <c r="I65" s="1">
        <v>5.4299999999999997E-4</v>
      </c>
      <c r="J65" s="47">
        <f>ARKB!H65</f>
        <v>75446.31</v>
      </c>
      <c r="K65" s="8">
        <f t="shared" si="46"/>
        <v>38087.503590301501</v>
      </c>
      <c r="L65" s="1">
        <f t="shared" si="47"/>
        <v>5.4250000000000001E-4</v>
      </c>
      <c r="M65" s="1">
        <f t="shared" si="48"/>
        <v>5.4349999999999993E-4</v>
      </c>
      <c r="N65" s="46">
        <f t="shared" si="49"/>
        <v>1843.3179723502303</v>
      </c>
      <c r="O65" s="46">
        <f t="shared" si="50"/>
        <v>1839.9264029438825</v>
      </c>
      <c r="P65" s="58">
        <f t="shared" si="51"/>
        <v>1841.6206261510131</v>
      </c>
      <c r="Q65" s="1"/>
      <c r="R65" s="67"/>
    </row>
    <row r="66" spans="1:18" ht="15" customHeight="1">
      <c r="A66" s="1" t="str">
        <f>SCALARS!A67</f>
        <v>Thursday</v>
      </c>
      <c r="B66" s="28">
        <f>SCALARS!B67</f>
        <v>46142</v>
      </c>
      <c r="C66" s="61">
        <f>SCALARS!D67</f>
        <v>1841.5751</v>
      </c>
      <c r="D66" s="61">
        <f t="shared" si="45"/>
        <v>1841.575538225339</v>
      </c>
      <c r="E66" s="61">
        <f>C66-D66</f>
        <v>-4.3822533893944637E-4</v>
      </c>
      <c r="F66" s="71">
        <v>2907580639</v>
      </c>
      <c r="G66" s="19">
        <v>70070000</v>
      </c>
      <c r="H66" s="8">
        <v>38049.56</v>
      </c>
      <c r="I66" s="1">
        <v>5.4299999999999997E-4</v>
      </c>
      <c r="J66" s="47">
        <f>ARKB!H66</f>
        <v>76416.86</v>
      </c>
      <c r="K66" s="8">
        <f t="shared" si="46"/>
        <v>38048.941542481596</v>
      </c>
      <c r="L66" s="1">
        <f t="shared" si="47"/>
        <v>5.4250000000000001E-4</v>
      </c>
      <c r="M66" s="1">
        <f t="shared" si="48"/>
        <v>5.4349999999999993E-4</v>
      </c>
      <c r="N66" s="46">
        <f t="shared" si="49"/>
        <v>1843.3179723502303</v>
      </c>
      <c r="O66" s="46">
        <f t="shared" si="50"/>
        <v>1839.9264029438825</v>
      </c>
      <c r="P66" s="58">
        <f t="shared" si="51"/>
        <v>1841.6206261510131</v>
      </c>
      <c r="Q66" s="1"/>
      <c r="R66" s="67"/>
    </row>
    <row r="67" spans="1:18" ht="15" customHeight="1">
      <c r="A67" s="1" t="str">
        <f>SCALARS!A68</f>
        <v>Friday</v>
      </c>
      <c r="B67" s="28">
        <f>SCALARS!B68</f>
        <v>46143</v>
      </c>
      <c r="C67" s="61">
        <f>SCALARS!D68</f>
        <v>1841.5852</v>
      </c>
      <c r="D67" s="61">
        <f t="shared" si="45"/>
        <v>1841.5856298473038</v>
      </c>
      <c r="E67" s="61">
        <f>C67-D67</f>
        <v>-4.2984730384887371E-4</v>
      </c>
      <c r="F67" s="71">
        <v>3010852683</v>
      </c>
      <c r="G67" s="19">
        <v>70710000</v>
      </c>
      <c r="H67" s="8">
        <v>38397.089999999997</v>
      </c>
      <c r="I67" s="1">
        <v>5.4299999999999997E-4</v>
      </c>
      <c r="J67" s="47">
        <f>ARKB!H67</f>
        <v>78415.259999999995</v>
      </c>
      <c r="K67" s="8">
        <f t="shared" si="46"/>
        <v>38396.259643849939</v>
      </c>
      <c r="L67" s="1">
        <f t="shared" si="47"/>
        <v>5.4250000000000001E-4</v>
      </c>
      <c r="M67" s="1">
        <f t="shared" si="48"/>
        <v>5.4349999999999993E-4</v>
      </c>
      <c r="N67" s="46">
        <f t="shared" si="49"/>
        <v>1843.3179723502303</v>
      </c>
      <c r="O67" s="46">
        <f t="shared" si="50"/>
        <v>1839.9264029438825</v>
      </c>
      <c r="P67" s="58">
        <f t="shared" si="51"/>
        <v>1841.6206261510131</v>
      </c>
      <c r="Q67" s="1"/>
      <c r="R67" s="67"/>
    </row>
    <row r="68" spans="1:18" ht="15" customHeight="1">
      <c r="A68" s="1" t="str">
        <f>SCALARS!A69</f>
        <v>Saturday</v>
      </c>
      <c r="B68" s="28">
        <f>SCALARS!B69</f>
        <v>46144</v>
      </c>
      <c r="C68" s="61">
        <f>SCALARS!D69</f>
        <v>1841.5953</v>
      </c>
      <c r="D68" s="61"/>
      <c r="E68" s="61"/>
      <c r="F68" s="71"/>
      <c r="G68" s="19"/>
      <c r="H68" s="8"/>
      <c r="J68" s="47"/>
      <c r="K68" s="8"/>
      <c r="N68" s="46"/>
      <c r="O68" s="46"/>
      <c r="P68" s="58"/>
    </row>
    <row r="69" spans="1:18" ht="15" customHeight="1">
      <c r="A69" s="1" t="str">
        <f>SCALARS!A70</f>
        <v>Sunday</v>
      </c>
      <c r="B69" s="28">
        <f>SCALARS!B70</f>
        <v>46145</v>
      </c>
      <c r="C69" s="61">
        <f>SCALARS!D70</f>
        <v>1841.6053999999999</v>
      </c>
      <c r="D69" s="61"/>
      <c r="E69" s="61"/>
      <c r="F69" s="71"/>
      <c r="G69" s="19"/>
      <c r="H69" s="8"/>
      <c r="J69" s="47"/>
      <c r="K69" s="8"/>
      <c r="N69" s="46"/>
      <c r="O69" s="46"/>
      <c r="P69" s="58"/>
    </row>
    <row r="70" spans="1:18" ht="15" customHeight="1">
      <c r="A70" s="1" t="str">
        <f>SCALARS!A71</f>
        <v>Monday</v>
      </c>
      <c r="B70" s="28">
        <f>SCALARS!B71</f>
        <v>46146</v>
      </c>
      <c r="C70" s="61">
        <f>SCALARS!D71</f>
        <v>1841.6155000000001</v>
      </c>
      <c r="D70" s="61">
        <f>G70/K70</f>
        <v>1841.5951244991911</v>
      </c>
      <c r="E70" s="61">
        <f>C70-D70</f>
        <v>2.0375500808995639E-2</v>
      </c>
      <c r="F70" s="71">
        <v>3071858869</v>
      </c>
      <c r="G70" s="19">
        <v>70710000</v>
      </c>
      <c r="H70" s="8">
        <v>38397.089999999997</v>
      </c>
      <c r="I70" s="1">
        <v>5.4299999999999997E-4</v>
      </c>
      <c r="J70" s="47">
        <f>ARKB!H70</f>
        <v>80004.53</v>
      </c>
      <c r="K70" s="8">
        <f t="shared" ref="K70:K95" si="52">F70/J70</f>
        <v>38396.061685507062</v>
      </c>
      <c r="L70" s="1">
        <f t="shared" ref="L70:L95" si="53">I70-0.0000005</f>
        <v>5.4250000000000001E-4</v>
      </c>
      <c r="M70" s="1">
        <f t="shared" ref="M70:M95" si="54">I70+0.0000005</f>
        <v>5.4349999999999993E-4</v>
      </c>
      <c r="N70" s="46">
        <f t="shared" ref="N70:N95" si="55">1/L70</f>
        <v>1843.3179723502303</v>
      </c>
      <c r="O70" s="46">
        <f t="shared" ref="O70:O95" si="56">1/M70</f>
        <v>1839.9264029438825</v>
      </c>
      <c r="P70" s="58">
        <f t="shared" ref="P70:P95" si="57">1/I70</f>
        <v>1841.6206261510131</v>
      </c>
    </row>
    <row r="71" spans="1:18" ht="15" customHeight="1">
      <c r="A71" s="1" t="str">
        <f>SCALARS!A72</f>
        <v>Tuesday</v>
      </c>
      <c r="B71" s="28">
        <f>SCALARS!B72</f>
        <v>46147</v>
      </c>
      <c r="C71" s="61">
        <f>SCALARS!D72</f>
        <v>1841.6256000000001</v>
      </c>
      <c r="D71" s="61">
        <f>G71/K71</f>
        <v>1841.6044656442132</v>
      </c>
      <c r="E71" s="61">
        <f>C71-D71</f>
        <v>2.1134355786898595E-2</v>
      </c>
      <c r="F71" s="72">
        <v>3146225747</v>
      </c>
      <c r="G71" s="19">
        <v>71040000</v>
      </c>
      <c r="H71" s="8">
        <v>38576.28</v>
      </c>
      <c r="I71" s="1">
        <v>5.4299999999999997E-4</v>
      </c>
      <c r="J71" s="47">
        <f>ARKB!H71</f>
        <v>81561.14</v>
      </c>
      <c r="K71" s="8">
        <f t="shared" si="52"/>
        <v>38575.058502124906</v>
      </c>
      <c r="L71" s="1">
        <f t="shared" si="53"/>
        <v>5.4250000000000001E-4</v>
      </c>
      <c r="M71" s="1">
        <f t="shared" si="54"/>
        <v>5.4349999999999993E-4</v>
      </c>
      <c r="N71" s="46">
        <f t="shared" si="55"/>
        <v>1843.3179723502303</v>
      </c>
      <c r="O71" s="46">
        <f t="shared" si="56"/>
        <v>1839.9264029438825</v>
      </c>
      <c r="P71" s="58">
        <f t="shared" si="57"/>
        <v>1841.6206261510131</v>
      </c>
    </row>
    <row r="72" spans="1:18" ht="15" customHeight="1">
      <c r="A72" s="1" t="str">
        <f>SCALARS!A73</f>
        <v>Wednesday</v>
      </c>
      <c r="B72" s="28">
        <f>SCALARS!B73</f>
        <v>46148</v>
      </c>
      <c r="C72" s="61">
        <f>SCALARS!D73</f>
        <v>1841.6357</v>
      </c>
      <c r="D72" s="61">
        <f>G72/K72</f>
        <v>1841.6146811235385</v>
      </c>
      <c r="E72" s="61">
        <f>C72-D72</f>
        <v>2.1018876461539548E-2</v>
      </c>
      <c r="F72" s="71">
        <v>3113067408</v>
      </c>
      <c r="G72" s="19">
        <v>70470000</v>
      </c>
      <c r="H72" s="8">
        <v>38266.769999999997</v>
      </c>
      <c r="I72" s="1">
        <v>5.4299999999999997E-4</v>
      </c>
      <c r="J72" s="47">
        <f>ARKB!H72</f>
        <v>81354.77</v>
      </c>
      <c r="K72" s="8">
        <f t="shared" si="52"/>
        <v>38265.333526233306</v>
      </c>
      <c r="L72" s="1">
        <f t="shared" si="53"/>
        <v>5.4250000000000001E-4</v>
      </c>
      <c r="M72" s="1">
        <f t="shared" si="54"/>
        <v>5.4349999999999993E-4</v>
      </c>
      <c r="N72" s="46">
        <f t="shared" si="55"/>
        <v>1843.3179723502303</v>
      </c>
      <c r="O72" s="46">
        <f t="shared" si="56"/>
        <v>1839.9264029438825</v>
      </c>
      <c r="P72" s="58">
        <f t="shared" si="57"/>
        <v>1841.6206261510131</v>
      </c>
    </row>
    <row r="73" spans="1:18" ht="15" customHeight="1">
      <c r="A73" s="1" t="str">
        <f>SCALARS!A74</f>
        <v>Thursday</v>
      </c>
      <c r="B73" s="28">
        <f>SCALARS!B74</f>
        <v>46149</v>
      </c>
      <c r="C73" s="61">
        <f>SCALARS!D74</f>
        <v>1841.6458</v>
      </c>
      <c r="D73" s="61">
        <f>G73/K73</f>
        <v>1841.6458992359467</v>
      </c>
      <c r="E73" s="61">
        <f>C73-D73</f>
        <v>-9.9235946663611685E-5</v>
      </c>
      <c r="F73" s="71">
        <v>3064244001</v>
      </c>
      <c r="G73" s="19">
        <v>70470000</v>
      </c>
      <c r="H73" s="8">
        <v>38266.769999999997</v>
      </c>
      <c r="I73" s="1">
        <f>I72</f>
        <v>5.4299999999999997E-4</v>
      </c>
      <c r="J73" s="47">
        <f>ARKB!H73</f>
        <v>80080.210000000006</v>
      </c>
      <c r="K73" s="8">
        <f t="shared" si="52"/>
        <v>38264.684882819362</v>
      </c>
      <c r="L73" s="1">
        <f t="shared" si="53"/>
        <v>5.4250000000000001E-4</v>
      </c>
      <c r="M73" s="1">
        <f t="shared" si="54"/>
        <v>5.4349999999999993E-4</v>
      </c>
      <c r="N73" s="46">
        <f t="shared" si="55"/>
        <v>1843.3179723502303</v>
      </c>
      <c r="O73" s="46">
        <f t="shared" si="56"/>
        <v>1839.9264029438825</v>
      </c>
      <c r="P73" s="58">
        <f t="shared" si="57"/>
        <v>1841.6206261510131</v>
      </c>
    </row>
    <row r="74" spans="1:18" ht="15" customHeight="1">
      <c r="A74" s="1" t="str">
        <f>SCALARS!A75</f>
        <v>Friday</v>
      </c>
      <c r="B74" s="28">
        <f>SCALARS!B75</f>
        <v>46150</v>
      </c>
      <c r="C74" s="61">
        <f>SCALARS!D75</f>
        <v>1841.6559</v>
      </c>
      <c r="D74" s="61">
        <f>G74/K74</f>
        <v>1841.6560033360299</v>
      </c>
      <c r="E74" s="61">
        <f>C74-D74</f>
        <v>-1.0333602995160618E-4</v>
      </c>
      <c r="F74" s="71">
        <v>3063696461</v>
      </c>
      <c r="G74" s="19">
        <v>70470000</v>
      </c>
      <c r="H74" s="8">
        <v>38266.769999999997</v>
      </c>
      <c r="I74" s="1">
        <f>I73</f>
        <v>5.4299999999999997E-4</v>
      </c>
      <c r="J74" s="47">
        <f>ARKB!H74</f>
        <v>80066.34</v>
      </c>
      <c r="K74" s="8">
        <f t="shared" si="52"/>
        <v>38264.474946650495</v>
      </c>
      <c r="L74" s="1">
        <f t="shared" si="53"/>
        <v>5.4250000000000001E-4</v>
      </c>
      <c r="M74" s="1">
        <f t="shared" si="54"/>
        <v>5.4349999999999993E-4</v>
      </c>
      <c r="N74" s="46">
        <f t="shared" si="55"/>
        <v>1843.3179723502303</v>
      </c>
      <c r="O74" s="46">
        <f t="shared" si="56"/>
        <v>1839.9264029438825</v>
      </c>
      <c r="P74" s="58">
        <f t="shared" si="57"/>
        <v>1841.6206261510131</v>
      </c>
    </row>
    <row r="75" spans="1:18" ht="15" customHeight="1">
      <c r="A75" s="1" t="str">
        <f>SCALARS!A76</f>
        <v>Saturday</v>
      </c>
      <c r="B75" s="28">
        <f>SCALARS!B76</f>
        <v>46151</v>
      </c>
      <c r="C75" s="61">
        <f>SCALARS!D76</f>
        <v>1841.6659999999999</v>
      </c>
      <c r="D75" s="61"/>
      <c r="E75" s="61"/>
      <c r="F75" s="71"/>
      <c r="G75" s="19"/>
      <c r="H75" s="8"/>
      <c r="J75" s="47"/>
      <c r="K75" s="8"/>
      <c r="N75" s="46"/>
      <c r="O75" s="46"/>
      <c r="P75" s="58"/>
    </row>
    <row r="76" spans="1:18" ht="15" customHeight="1">
      <c r="A76" s="1" t="str">
        <f>SCALARS!A77</f>
        <v>Sunday</v>
      </c>
      <c r="B76" s="28">
        <f>SCALARS!B77</f>
        <v>46152</v>
      </c>
      <c r="C76" s="61">
        <f>SCALARS!D77</f>
        <v>1841.6760999999999</v>
      </c>
      <c r="D76" s="61"/>
      <c r="E76" s="61"/>
      <c r="F76" s="71"/>
      <c r="G76" s="19"/>
      <c r="H76" s="8"/>
      <c r="J76" s="47"/>
      <c r="K76" s="8"/>
      <c r="N76" s="46"/>
      <c r="O76" s="46"/>
      <c r="P76" s="58"/>
    </row>
    <row r="77" spans="1:18" ht="15" customHeight="1">
      <c r="A77" s="1" t="str">
        <f>SCALARS!A78</f>
        <v>Monday</v>
      </c>
      <c r="B77" s="28">
        <f>SCALARS!B78</f>
        <v>46153</v>
      </c>
      <c r="C77" s="61">
        <f>SCALARS!D78</f>
        <v>1841.6862000000001</v>
      </c>
      <c r="D77" s="61">
        <f>G77/K77</f>
        <v>1841.6638242681904</v>
      </c>
      <c r="E77" s="61">
        <f>C77-D77</f>
        <v>2.2375731809688659E-2</v>
      </c>
      <c r="F77" s="71">
        <v>3134421537</v>
      </c>
      <c r="G77" s="19">
        <v>70470000</v>
      </c>
      <c r="H77" s="8">
        <v>38266.769999999997</v>
      </c>
      <c r="I77" s="1">
        <v>5.4299999999999997E-4</v>
      </c>
      <c r="J77" s="47">
        <f>ARKB!H77</f>
        <v>81915.009999999995</v>
      </c>
      <c r="K77" s="8">
        <f t="shared" si="52"/>
        <v>38264.312450184654</v>
      </c>
      <c r="L77" s="1">
        <f t="shared" si="53"/>
        <v>5.4250000000000001E-4</v>
      </c>
      <c r="M77" s="1">
        <f t="shared" si="54"/>
        <v>5.4349999999999993E-4</v>
      </c>
      <c r="N77" s="46">
        <f t="shared" si="55"/>
        <v>1843.3179723502303</v>
      </c>
      <c r="O77" s="46">
        <f t="shared" si="56"/>
        <v>1839.9264029438825</v>
      </c>
      <c r="P77" s="58">
        <f t="shared" si="57"/>
        <v>1841.6206261510131</v>
      </c>
    </row>
    <row r="78" spans="1:18" ht="15" customHeight="1">
      <c r="A78" s="1" t="str">
        <f>SCALARS!A79</f>
        <v>Tuesday</v>
      </c>
      <c r="B78" s="28">
        <f>SCALARS!B79</f>
        <v>46154</v>
      </c>
      <c r="C78" s="61">
        <f>SCALARS!D79</f>
        <v>1841.6963000000001</v>
      </c>
      <c r="D78" s="61">
        <f>G78/K78</f>
        <v>1841.6754790812065</v>
      </c>
      <c r="E78" s="61">
        <f>C78-D78</f>
        <v>2.082091879356085E-2</v>
      </c>
      <c r="F78" s="71">
        <v>3072578260</v>
      </c>
      <c r="G78" s="19">
        <v>70070000</v>
      </c>
      <c r="H78" s="8">
        <v>38049.58</v>
      </c>
      <c r="I78" s="1">
        <v>5.4299999999999997E-4</v>
      </c>
      <c r="J78" s="47">
        <f>ARKB!H78</f>
        <v>80757.7</v>
      </c>
      <c r="K78" s="8">
        <f t="shared" si="52"/>
        <v>38046.876768407223</v>
      </c>
      <c r="L78" s="1">
        <f t="shared" si="53"/>
        <v>5.4250000000000001E-4</v>
      </c>
      <c r="M78" s="1">
        <f t="shared" si="54"/>
        <v>5.4349999999999993E-4</v>
      </c>
      <c r="N78" s="46">
        <f t="shared" si="55"/>
        <v>1843.3179723502303</v>
      </c>
      <c r="O78" s="46">
        <f t="shared" si="56"/>
        <v>1839.9264029438825</v>
      </c>
      <c r="P78" s="58">
        <f t="shared" si="57"/>
        <v>1841.6206261510131</v>
      </c>
    </row>
    <row r="79" spans="1:18" ht="15" customHeight="1">
      <c r="A79" s="1" t="str">
        <f>SCALARS!A80</f>
        <v>Wednesday</v>
      </c>
      <c r="B79" s="28">
        <f>SCALARS!B80</f>
        <v>46155</v>
      </c>
      <c r="C79" s="61">
        <f>SCALARS!D80</f>
        <v>1841.7064</v>
      </c>
      <c r="D79" s="61">
        <f>G79/K79</f>
        <v>1841.6875094878426</v>
      </c>
      <c r="E79" s="61">
        <f>C79-D79</f>
        <v>1.8890512157440753E-2</v>
      </c>
      <c r="F79" s="71">
        <v>2989193872</v>
      </c>
      <c r="G79" s="19">
        <v>69250000</v>
      </c>
      <c r="H79" s="8">
        <v>37604.33</v>
      </c>
      <c r="I79" s="1">
        <v>5.4299999999999997E-4</v>
      </c>
      <c r="J79" s="47">
        <f>ARKB!H79</f>
        <v>79496.91</v>
      </c>
      <c r="K79" s="8">
        <f t="shared" si="52"/>
        <v>37601.384406010242</v>
      </c>
      <c r="L79" s="1">
        <f t="shared" si="53"/>
        <v>5.4250000000000001E-4</v>
      </c>
      <c r="M79" s="1">
        <f t="shared" si="54"/>
        <v>5.4349999999999993E-4</v>
      </c>
      <c r="N79" s="46">
        <f t="shared" si="55"/>
        <v>1843.3179723502303</v>
      </c>
      <c r="O79" s="46">
        <f t="shared" si="56"/>
        <v>1839.9264029438825</v>
      </c>
      <c r="P79" s="58">
        <f t="shared" si="57"/>
        <v>1841.6206261510131</v>
      </c>
    </row>
    <row r="80" spans="1:18" ht="15" customHeight="1">
      <c r="A80" s="1" t="str">
        <f>SCALARS!A81</f>
        <v>Thursday</v>
      </c>
      <c r="B80" s="28">
        <f>SCALARS!B81</f>
        <v>46156</v>
      </c>
      <c r="C80" s="61">
        <f>SCALARS!D81</f>
        <v>1841.7165</v>
      </c>
      <c r="D80" s="61">
        <f>G80/K80</f>
        <v>1841.7144841768077</v>
      </c>
      <c r="E80" s="61">
        <f>C80-D80</f>
        <v>2.0158231923232961E-3</v>
      </c>
      <c r="F80" s="71">
        <v>3082623037</v>
      </c>
      <c r="G80" s="19">
        <v>69650000</v>
      </c>
      <c r="H80" s="8">
        <v>37821.519999999997</v>
      </c>
      <c r="I80" s="1">
        <v>5.4299999999999997E-4</v>
      </c>
      <c r="J80" s="47">
        <f>ARKB!H80</f>
        <v>81512.009999999995</v>
      </c>
      <c r="K80" s="8">
        <f t="shared" si="52"/>
        <v>37818.022607956795</v>
      </c>
      <c r="L80" s="1">
        <f t="shared" si="53"/>
        <v>5.4250000000000001E-4</v>
      </c>
      <c r="M80" s="1">
        <f t="shared" si="54"/>
        <v>5.4349999999999993E-4</v>
      </c>
      <c r="N80" s="46">
        <f t="shared" si="55"/>
        <v>1843.3179723502303</v>
      </c>
      <c r="O80" s="46">
        <f t="shared" si="56"/>
        <v>1839.9264029438825</v>
      </c>
      <c r="P80" s="58">
        <f t="shared" si="57"/>
        <v>1841.6206261510131</v>
      </c>
    </row>
    <row r="81" spans="1:16" ht="15" customHeight="1">
      <c r="A81" s="1" t="str">
        <f>SCALARS!A82</f>
        <v>Friday</v>
      </c>
      <c r="B81" s="28">
        <f>SCALARS!B82</f>
        <v>46157</v>
      </c>
      <c r="C81" s="61">
        <f>SCALARS!D82</f>
        <v>1841.7266</v>
      </c>
      <c r="D81" s="61">
        <f>G81/K81</f>
        <v>1841.7288609391862</v>
      </c>
      <c r="E81" s="61">
        <f>C81-D81</f>
        <v>-2.2609391862715711E-3</v>
      </c>
      <c r="F81" s="71">
        <v>2979674561</v>
      </c>
      <c r="G81" s="19">
        <v>69380000</v>
      </c>
      <c r="H81" s="8">
        <v>37674.92</v>
      </c>
      <c r="I81" s="1">
        <v>5.4299999999999997E-4</v>
      </c>
      <c r="J81" s="47">
        <f>ARKB!H81</f>
        <v>79097.039999999994</v>
      </c>
      <c r="K81" s="8">
        <f t="shared" si="52"/>
        <v>37671.126011795131</v>
      </c>
      <c r="L81" s="1">
        <f t="shared" si="53"/>
        <v>5.4250000000000001E-4</v>
      </c>
      <c r="M81" s="1">
        <f t="shared" si="54"/>
        <v>5.4349999999999993E-4</v>
      </c>
      <c r="N81" s="46">
        <f t="shared" si="55"/>
        <v>1843.3179723502303</v>
      </c>
      <c r="O81" s="46">
        <f t="shared" si="56"/>
        <v>1839.9264029438825</v>
      </c>
      <c r="P81" s="58">
        <f t="shared" si="57"/>
        <v>1841.6206261510131</v>
      </c>
    </row>
    <row r="82" spans="1:16" ht="15" customHeight="1">
      <c r="A82" s="1" t="str">
        <f>SCALARS!A83</f>
        <v>Saturday</v>
      </c>
      <c r="B82" s="28">
        <f>SCALARS!B83</f>
        <v>46158</v>
      </c>
      <c r="C82" s="61">
        <f>SCALARS!D83</f>
        <v>1841.7366999999999</v>
      </c>
      <c r="D82" s="61"/>
      <c r="E82" s="61"/>
      <c r="F82" s="71"/>
      <c r="G82" s="19"/>
      <c r="H82" s="8"/>
      <c r="J82" s="47"/>
      <c r="K82" s="8"/>
      <c r="N82" s="46"/>
      <c r="O82" s="46"/>
      <c r="P82" s="58"/>
    </row>
    <row r="83" spans="1:16" ht="15" customHeight="1">
      <c r="A83" s="1" t="str">
        <f>SCALARS!A84</f>
        <v>Sunday</v>
      </c>
      <c r="B83" s="28">
        <f>SCALARS!B84</f>
        <v>46159</v>
      </c>
      <c r="C83" s="61">
        <f>SCALARS!D84</f>
        <v>1841.7467999999999</v>
      </c>
      <c r="D83" s="61"/>
      <c r="E83" s="61"/>
      <c r="F83" s="71"/>
      <c r="G83" s="19"/>
      <c r="H83" s="8"/>
      <c r="J83" s="47"/>
      <c r="K83" s="8"/>
      <c r="N83" s="46"/>
      <c r="O83" s="46"/>
      <c r="P83" s="58"/>
    </row>
    <row r="84" spans="1:16" ht="15" customHeight="1">
      <c r="A84" s="1" t="str">
        <f>SCALARS!A85</f>
        <v>Monday</v>
      </c>
      <c r="B84" s="28">
        <f>SCALARS!B85</f>
        <v>46160</v>
      </c>
      <c r="C84" s="61">
        <f>SCALARS!D85</f>
        <v>1841.7569000000001</v>
      </c>
      <c r="D84" s="61">
        <f>G84/K84</f>
        <v>1841.7445319984108</v>
      </c>
      <c r="E84" s="61">
        <f>C84-D84</f>
        <v>1.2368001589265987E-2</v>
      </c>
      <c r="F84" s="71">
        <v>2879290586</v>
      </c>
      <c r="G84" s="19">
        <v>69160000</v>
      </c>
      <c r="H84" s="8">
        <v>37555.47</v>
      </c>
      <c r="I84" s="1">
        <v>5.4299999999999997E-4</v>
      </c>
      <c r="J84" s="47">
        <f>ARKB!H84</f>
        <v>76676.08</v>
      </c>
      <c r="K84" s="8">
        <f t="shared" si="52"/>
        <v>37551.353512073125</v>
      </c>
      <c r="L84" s="1">
        <f t="shared" si="53"/>
        <v>5.4250000000000001E-4</v>
      </c>
      <c r="M84" s="1">
        <f t="shared" si="54"/>
        <v>5.4349999999999993E-4</v>
      </c>
      <c r="N84" s="46">
        <f t="shared" si="55"/>
        <v>1843.3179723502303</v>
      </c>
      <c r="O84" s="46">
        <f t="shared" si="56"/>
        <v>1839.9264029438825</v>
      </c>
      <c r="P84" s="58">
        <f t="shared" si="57"/>
        <v>1841.6206261510131</v>
      </c>
    </row>
    <row r="85" spans="1:16" ht="15" customHeight="1">
      <c r="A85" s="1" t="str">
        <f>SCALARS!A86</f>
        <v>Tuesday</v>
      </c>
      <c r="B85" s="28">
        <f>SCALARS!B86</f>
        <v>46161</v>
      </c>
      <c r="C85" s="61">
        <f>SCALARS!D86</f>
        <v>1841.7670000000001</v>
      </c>
      <c r="D85" s="61">
        <f>G85/K85</f>
        <v>1841.7542634822946</v>
      </c>
      <c r="E85" s="61">
        <f>C85-D85</f>
        <v>1.273651770543438E-2</v>
      </c>
      <c r="F85" s="71">
        <v>2884708649</v>
      </c>
      <c r="G85" s="19">
        <v>69160000</v>
      </c>
      <c r="H85" s="8">
        <v>37555.47</v>
      </c>
      <c r="I85" s="1">
        <v>5.4299999999999997E-4</v>
      </c>
      <c r="J85" s="47">
        <f>ARKB!H85</f>
        <v>76820.77</v>
      </c>
      <c r="K85" s="8">
        <f t="shared" si="52"/>
        <v>37551.155097768482</v>
      </c>
      <c r="L85" s="1">
        <f t="shared" si="53"/>
        <v>5.4250000000000001E-4</v>
      </c>
      <c r="M85" s="1">
        <f t="shared" si="54"/>
        <v>5.4349999999999993E-4</v>
      </c>
      <c r="N85" s="46">
        <f t="shared" si="55"/>
        <v>1843.3179723502303</v>
      </c>
      <c r="O85" s="46">
        <f t="shared" si="56"/>
        <v>1839.9264029438825</v>
      </c>
      <c r="P85" s="58">
        <f t="shared" si="57"/>
        <v>1841.6206261510131</v>
      </c>
    </row>
    <row r="86" spans="1:16" ht="15" customHeight="1">
      <c r="A86" s="1" t="str">
        <f>SCALARS!A87</f>
        <v>Wednesday</v>
      </c>
      <c r="B86" s="28">
        <f>SCALARS!B87</f>
        <v>46162</v>
      </c>
      <c r="C86" s="61">
        <f>SCALARS!D87</f>
        <v>1841.7771</v>
      </c>
      <c r="D86" s="61">
        <f>G86/K86</f>
        <v>1841.7626736102898</v>
      </c>
      <c r="E86" s="61">
        <f>C86-D86</f>
        <v>1.4426389710251897E-2</v>
      </c>
      <c r="F86" s="71">
        <v>2908978571</v>
      </c>
      <c r="G86" s="19">
        <v>69160000</v>
      </c>
      <c r="H86" s="8">
        <v>37555.47</v>
      </c>
      <c r="I86" s="1">
        <v>5.4299999999999997E-4</v>
      </c>
      <c r="J86" s="47">
        <f>ARKB!H86</f>
        <v>77467.44</v>
      </c>
      <c r="K86" s="8">
        <f t="shared" si="52"/>
        <v>37550.983626153131</v>
      </c>
      <c r="L86" s="1">
        <f t="shared" si="53"/>
        <v>5.4250000000000001E-4</v>
      </c>
      <c r="M86" s="1">
        <f t="shared" si="54"/>
        <v>5.4349999999999993E-4</v>
      </c>
      <c r="N86" s="46">
        <f t="shared" si="55"/>
        <v>1843.3179723502303</v>
      </c>
      <c r="O86" s="46">
        <f t="shared" si="56"/>
        <v>1839.9264029438825</v>
      </c>
      <c r="P86" s="58">
        <f t="shared" si="57"/>
        <v>1841.6206261510131</v>
      </c>
    </row>
    <row r="87" spans="1:16" ht="15" customHeight="1">
      <c r="A87" s="1" t="str">
        <f>SCALARS!A88</f>
        <v>Thursday</v>
      </c>
      <c r="B87" s="28">
        <f>SCALARS!B88</f>
        <v>46163</v>
      </c>
      <c r="C87" s="61">
        <f>SCALARS!D88</f>
        <v>1841.7872</v>
      </c>
      <c r="D87" s="61">
        <f>G87/K87</f>
        <v>1841.8029161820739</v>
      </c>
      <c r="E87" s="61">
        <f>C87-D87</f>
        <v>-1.5716182073902019E-2</v>
      </c>
      <c r="F87" s="71">
        <v>2910729435</v>
      </c>
      <c r="G87" s="19">
        <v>69160000</v>
      </c>
      <c r="H87" s="8">
        <v>37555.47</v>
      </c>
      <c r="I87" s="1">
        <v>5.4299999999999997E-4</v>
      </c>
      <c r="J87" s="47">
        <f>ARKB!H87</f>
        <v>77515.759999999995</v>
      </c>
      <c r="K87" s="8">
        <f t="shared" si="52"/>
        <v>37550.163153918635</v>
      </c>
      <c r="L87" s="1">
        <f t="shared" si="53"/>
        <v>5.4250000000000001E-4</v>
      </c>
      <c r="M87" s="1">
        <f t="shared" si="54"/>
        <v>5.4349999999999993E-4</v>
      </c>
      <c r="N87" s="46">
        <f t="shared" si="55"/>
        <v>1843.3179723502303</v>
      </c>
      <c r="O87" s="46">
        <f t="shared" si="56"/>
        <v>1839.9264029438825</v>
      </c>
      <c r="P87" s="58">
        <f t="shared" si="57"/>
        <v>1841.6206261510131</v>
      </c>
    </row>
    <row r="88" spans="1:16" ht="15" customHeight="1">
      <c r="A88" s="1" t="str">
        <f>SCALARS!A89</f>
        <v>Friday</v>
      </c>
      <c r="B88" s="28">
        <f>SCALARS!B89</f>
        <v>46164</v>
      </c>
      <c r="C88" s="61">
        <f>SCALARS!D89</f>
        <v>1841.7973</v>
      </c>
      <c r="D88" s="61">
        <f>G88/K88</f>
        <v>1841.8174062122791</v>
      </c>
      <c r="E88" s="61">
        <f>C88-D88</f>
        <v>-2.0106212279188185E-2</v>
      </c>
      <c r="F88" s="71">
        <v>2853663405</v>
      </c>
      <c r="G88" s="19">
        <v>69160000</v>
      </c>
      <c r="H88" s="8">
        <v>37555.47</v>
      </c>
      <c r="I88" s="1">
        <v>5.4299999999999997E-4</v>
      </c>
      <c r="J88" s="47">
        <f>ARKB!H88</f>
        <v>75996.63</v>
      </c>
      <c r="K88" s="8">
        <f t="shared" si="52"/>
        <v>37549.867737556255</v>
      </c>
      <c r="L88" s="1">
        <f t="shared" si="53"/>
        <v>5.4250000000000001E-4</v>
      </c>
      <c r="M88" s="1">
        <f t="shared" si="54"/>
        <v>5.4349999999999993E-4</v>
      </c>
      <c r="N88" s="46">
        <f t="shared" si="55"/>
        <v>1843.3179723502303</v>
      </c>
      <c r="O88" s="46">
        <f t="shared" si="56"/>
        <v>1839.9264029438825</v>
      </c>
      <c r="P88" s="58">
        <f t="shared" si="57"/>
        <v>1841.6206261510131</v>
      </c>
    </row>
    <row r="89" spans="1:16" ht="15" customHeight="1">
      <c r="A89" s="1" t="str">
        <f>SCALARS!A90</f>
        <v>Saturday</v>
      </c>
      <c r="B89" s="28">
        <f>SCALARS!B90</f>
        <v>46165</v>
      </c>
      <c r="C89" s="61">
        <f>SCALARS!D90</f>
        <v>1841.8073999999999</v>
      </c>
      <c r="D89" s="61"/>
      <c r="E89" s="61"/>
      <c r="F89" s="71"/>
      <c r="G89" s="19"/>
      <c r="H89" s="8"/>
      <c r="J89" s="47"/>
      <c r="K89" s="8"/>
      <c r="N89" s="46"/>
      <c r="O89" s="46"/>
      <c r="P89" s="58"/>
    </row>
    <row r="90" spans="1:16" ht="15" customHeight="1">
      <c r="A90" s="1" t="str">
        <f>SCALARS!A91</f>
        <v>Sunday</v>
      </c>
      <c r="B90" s="28">
        <f>SCALARS!B91</f>
        <v>46166</v>
      </c>
      <c r="C90" s="61">
        <f>SCALARS!D91</f>
        <v>1841.8175000000001</v>
      </c>
      <c r="D90" s="61"/>
      <c r="E90" s="61"/>
      <c r="F90" s="71"/>
      <c r="G90" s="19"/>
      <c r="H90" s="8"/>
      <c r="J90" s="47"/>
      <c r="K90" s="8"/>
      <c r="N90" s="46"/>
      <c r="O90" s="46"/>
      <c r="P90" s="58"/>
    </row>
    <row r="91" spans="1:16" ht="15" customHeight="1">
      <c r="A91" s="1" t="str">
        <f>SCALARS!A92</f>
        <v>Monday</v>
      </c>
      <c r="B91" s="28">
        <f>SCALARS!B92</f>
        <v>46167</v>
      </c>
      <c r="C91" s="61">
        <f>SCALARS!D92</f>
        <v>1841.8276000000001</v>
      </c>
      <c r="D91" s="61"/>
      <c r="E91" s="61"/>
      <c r="F91" s="71"/>
      <c r="G91" s="19"/>
      <c r="H91" s="8"/>
      <c r="J91" s="47"/>
      <c r="K91" s="8"/>
      <c r="N91" s="46"/>
      <c r="O91" s="46"/>
      <c r="P91" s="58"/>
    </row>
    <row r="92" spans="1:16" ht="15" customHeight="1">
      <c r="A92" s="1" t="str">
        <f>SCALARS!A93</f>
        <v>Tuesday</v>
      </c>
      <c r="B92" s="28">
        <f>SCALARS!B93</f>
        <v>46168</v>
      </c>
      <c r="C92" s="61">
        <f>SCALARS!D93</f>
        <v>1841.8377</v>
      </c>
      <c r="D92" s="61">
        <f t="shared" ref="D92:D95" si="58">G92/K92</f>
        <v>1841.8281424240306</v>
      </c>
      <c r="E92" s="61">
        <f t="shared" ref="E92:E95" si="59">C92-D92</f>
        <v>9.5575759694384033E-3</v>
      </c>
      <c r="F92" s="71">
        <v>2817992150</v>
      </c>
      <c r="G92" s="19">
        <v>68460000</v>
      </c>
      <c r="H92" s="8">
        <v>37175.410000000003</v>
      </c>
      <c r="I92" s="1">
        <v>5.4299999999999997E-4</v>
      </c>
      <c r="J92" s="47">
        <f>ARKB!H92</f>
        <v>75814.45</v>
      </c>
      <c r="K92" s="8">
        <f t="shared" si="52"/>
        <v>37169.5916807416</v>
      </c>
      <c r="L92" s="1">
        <f t="shared" si="53"/>
        <v>5.4250000000000001E-4</v>
      </c>
      <c r="M92" s="1">
        <f t="shared" si="54"/>
        <v>5.4349999999999993E-4</v>
      </c>
      <c r="N92" s="46">
        <f t="shared" si="55"/>
        <v>1843.3179723502303</v>
      </c>
      <c r="O92" s="46">
        <f t="shared" si="56"/>
        <v>1839.9264029438825</v>
      </c>
      <c r="P92" s="58">
        <f t="shared" si="57"/>
        <v>1841.6206261510131</v>
      </c>
    </row>
    <row r="93" spans="1:16" ht="15" customHeight="1">
      <c r="A93" s="1" t="str">
        <f>SCALARS!A94</f>
        <v>Wednesday</v>
      </c>
      <c r="B93" s="28">
        <f>SCALARS!B94</f>
        <v>46169</v>
      </c>
      <c r="C93" s="61">
        <f>SCALARS!D94</f>
        <v>1841.8478</v>
      </c>
      <c r="D93" s="61">
        <f t="shared" si="58"/>
        <v>1841.8416933356555</v>
      </c>
      <c r="E93" s="61">
        <f t="shared" si="59"/>
        <v>6.1066643445428781E-3</v>
      </c>
      <c r="F93" s="71">
        <v>2766120364</v>
      </c>
      <c r="G93" s="19">
        <v>68030000</v>
      </c>
      <c r="H93" s="8">
        <v>36941.94</v>
      </c>
      <c r="I93" s="1">
        <v>5.4299999999999997E-4</v>
      </c>
      <c r="J93" s="47">
        <f>ARKB!H93</f>
        <v>74889.84</v>
      </c>
      <c r="K93" s="8">
        <f t="shared" si="52"/>
        <v>36935.856238977147</v>
      </c>
      <c r="L93" s="1">
        <f t="shared" si="53"/>
        <v>5.4250000000000001E-4</v>
      </c>
      <c r="M93" s="1">
        <f t="shared" si="54"/>
        <v>5.4349999999999993E-4</v>
      </c>
      <c r="N93" s="46">
        <f t="shared" si="55"/>
        <v>1843.3179723502303</v>
      </c>
      <c r="O93" s="46">
        <f t="shared" si="56"/>
        <v>1839.9264029438825</v>
      </c>
      <c r="P93" s="58">
        <f t="shared" si="57"/>
        <v>1841.6206261510131</v>
      </c>
    </row>
    <row r="94" spans="1:16" ht="15" customHeight="1">
      <c r="A94" s="1" t="str">
        <f>SCALARS!A95</f>
        <v>Thursday</v>
      </c>
      <c r="B94" s="28">
        <f>SCALARS!B95</f>
        <v>46170</v>
      </c>
      <c r="C94" s="61">
        <f>SCALARS!D95</f>
        <v>1841.8579</v>
      </c>
      <c r="D94" s="61">
        <f t="shared" si="58"/>
        <v>1841.8780157945753</v>
      </c>
      <c r="E94" s="61">
        <f t="shared" si="59"/>
        <v>-2.011579457530388E-2</v>
      </c>
      <c r="F94" s="71">
        <v>2710318888</v>
      </c>
      <c r="G94" s="19">
        <v>68030000</v>
      </c>
      <c r="H94" s="8">
        <v>36941.94</v>
      </c>
      <c r="I94" s="1">
        <v>5.4299999999999997E-4</v>
      </c>
      <c r="J94" s="47">
        <f>ARKB!H94</f>
        <v>73380.52</v>
      </c>
      <c r="K94" s="8">
        <f t="shared" si="52"/>
        <v>36935.12785136982</v>
      </c>
      <c r="L94" s="1">
        <f t="shared" si="53"/>
        <v>5.4250000000000001E-4</v>
      </c>
      <c r="M94" s="1">
        <f t="shared" si="54"/>
        <v>5.4349999999999993E-4</v>
      </c>
      <c r="N94" s="46">
        <f t="shared" si="55"/>
        <v>1843.3179723502303</v>
      </c>
      <c r="O94" s="46">
        <f t="shared" si="56"/>
        <v>1839.9264029438825</v>
      </c>
      <c r="P94" s="58">
        <f t="shared" si="57"/>
        <v>1841.6206261510131</v>
      </c>
    </row>
    <row r="95" spans="1:16" ht="15" customHeight="1">
      <c r="A95" s="1" t="str">
        <f>SCALARS!A96</f>
        <v>Friday</v>
      </c>
      <c r="B95" s="28">
        <f>SCALARS!B96</f>
        <v>46171</v>
      </c>
      <c r="C95" s="61">
        <f>SCALARS!D96</f>
        <v>1841.8679999999999</v>
      </c>
      <c r="D95" s="61">
        <f t="shared" si="58"/>
        <v>1841.8880337833803</v>
      </c>
      <c r="E95" s="61">
        <f t="shared" si="59"/>
        <v>-2.0033783380313253E-2</v>
      </c>
      <c r="F95" s="71">
        <v>2710953832</v>
      </c>
      <c r="G95" s="19">
        <v>68030000</v>
      </c>
      <c r="H95" s="8">
        <v>36935.120000000003</v>
      </c>
      <c r="I95" s="1">
        <v>5.4299999999999997E-4</v>
      </c>
      <c r="J95" s="47">
        <f>ARKB!H95</f>
        <v>73398.11</v>
      </c>
      <c r="K95" s="8">
        <f t="shared" si="52"/>
        <v>36934.926962015779</v>
      </c>
      <c r="L95" s="1">
        <f t="shared" si="53"/>
        <v>5.4250000000000001E-4</v>
      </c>
      <c r="M95" s="1">
        <f t="shared" si="54"/>
        <v>5.4349999999999993E-4</v>
      </c>
      <c r="N95" s="46">
        <f t="shared" si="55"/>
        <v>1843.3179723502303</v>
      </c>
      <c r="O95" s="46">
        <f t="shared" si="56"/>
        <v>1839.9264029438825</v>
      </c>
      <c r="P95" s="58">
        <f t="shared" si="57"/>
        <v>1841.6206261510131</v>
      </c>
    </row>
    <row r="96" spans="1:16" ht="15" customHeight="1">
      <c r="A96" s="1" t="str">
        <f>SCALARS!A97</f>
        <v>Saturday</v>
      </c>
      <c r="B96" s="28">
        <f>SCALARS!B97</f>
        <v>46172</v>
      </c>
      <c r="C96" s="61">
        <f>SCALARS!D97</f>
        <v>1841.8780999999999</v>
      </c>
      <c r="D96" s="61"/>
      <c r="E96" s="61"/>
      <c r="F96" s="71"/>
      <c r="G96" s="19"/>
      <c r="H96" s="8"/>
      <c r="J96" s="47"/>
      <c r="K96" s="8"/>
      <c r="N96" s="46"/>
      <c r="O96" s="46"/>
      <c r="P96" s="58"/>
    </row>
    <row r="97" spans="1:16" ht="15" customHeight="1">
      <c r="A97" s="1" t="str">
        <f>SCALARS!A98</f>
        <v>Sunday</v>
      </c>
      <c r="B97" s="28">
        <f>SCALARS!B98</f>
        <v>46173</v>
      </c>
      <c r="C97" s="61">
        <f>SCALARS!D98</f>
        <v>1841.8882000000001</v>
      </c>
      <c r="D97" s="61"/>
      <c r="E97" s="61"/>
      <c r="F97" s="71"/>
      <c r="G97" s="19"/>
      <c r="H97" s="8"/>
      <c r="J97" s="47"/>
      <c r="K97" s="8"/>
      <c r="N97" s="46"/>
      <c r="O97" s="46"/>
      <c r="P97" s="58"/>
    </row>
    <row r="98" spans="1:16" ht="15" customHeight="1">
      <c r="A98" s="1" t="str">
        <f>SCALARS!A99</f>
        <v>Monday</v>
      </c>
      <c r="B98" s="28">
        <f>SCALARS!B99</f>
        <v>46174</v>
      </c>
      <c r="C98" s="61">
        <f>SCALARS!D99</f>
        <v>1841.8983000000001</v>
      </c>
      <c r="D98" s="61">
        <f>G98/K98</f>
        <v>1841.8981270143925</v>
      </c>
      <c r="E98" s="61">
        <f>C98-D98</f>
        <v>1.729856076053693E-4</v>
      </c>
      <c r="F98" s="71">
        <v>2638200838</v>
      </c>
      <c r="G98" s="19">
        <v>68030000</v>
      </c>
      <c r="H98" s="8">
        <v>36935.120000000003</v>
      </c>
      <c r="I98" s="1">
        <v>5.4299999999999997E-4</v>
      </c>
      <c r="J98" s="47">
        <f>ARKB!H98</f>
        <v>71428.740000000005</v>
      </c>
      <c r="K98" s="8">
        <f t="shared" ref="K98:K102" si="60">F98/J98</f>
        <v>36934.724566050019</v>
      </c>
      <c r="L98" s="1">
        <f t="shared" ref="L98:L102" si="61">I98-0.0000005</f>
        <v>5.4250000000000001E-4</v>
      </c>
      <c r="M98" s="1">
        <f t="shared" ref="M98:M102" si="62">I98+0.0000005</f>
        <v>5.4349999999999993E-4</v>
      </c>
      <c r="N98" s="46">
        <f t="shared" ref="N98:N102" si="63">1/L98</f>
        <v>1843.3179723502303</v>
      </c>
      <c r="O98" s="46">
        <f t="shared" ref="O98:O102" si="64">1/M98</f>
        <v>1839.9264029438825</v>
      </c>
      <c r="P98" s="58">
        <f t="shared" ref="P98:P102" si="65">1/I98</f>
        <v>1841.6206261510131</v>
      </c>
    </row>
    <row r="99" spans="1:16" ht="15" customHeight="1">
      <c r="A99" s="1" t="str">
        <f>SCALARS!A100</f>
        <v>Tuesday</v>
      </c>
      <c r="B99" s="28">
        <f>SCALARS!B100</f>
        <v>46175</v>
      </c>
      <c r="C99" s="61">
        <f>SCALARS!D100</f>
        <v>1841.9084</v>
      </c>
      <c r="D99" s="61">
        <f>G99/K99</f>
        <v>1841.9088878294531</v>
      </c>
      <c r="E99" s="61">
        <f>C99-D99</f>
        <v>-4.8782945304992609E-4</v>
      </c>
      <c r="F99" s="71">
        <v>2474288173</v>
      </c>
      <c r="G99" s="19">
        <v>68030000</v>
      </c>
      <c r="H99" s="8">
        <v>36935.120000000003</v>
      </c>
      <c r="I99" s="1">
        <v>5.4299999999999997E-4</v>
      </c>
      <c r="J99" s="47">
        <f>ARKB!H99</f>
        <v>66991.23</v>
      </c>
      <c r="K99" s="8">
        <f t="shared" si="60"/>
        <v>36934.508785702252</v>
      </c>
      <c r="L99" s="1">
        <f t="shared" si="61"/>
        <v>5.4250000000000001E-4</v>
      </c>
      <c r="M99" s="1">
        <f t="shared" si="62"/>
        <v>5.4349999999999993E-4</v>
      </c>
      <c r="N99" s="46">
        <f t="shared" si="63"/>
        <v>1843.3179723502303</v>
      </c>
      <c r="O99" s="46">
        <f t="shared" si="64"/>
        <v>1839.9264029438825</v>
      </c>
      <c r="P99" s="58">
        <f t="shared" si="65"/>
        <v>1841.6206261510131</v>
      </c>
    </row>
    <row r="100" spans="1:16" ht="15" customHeight="1">
      <c r="A100" s="1" t="str">
        <f>SCALARS!A101</f>
        <v>Wednesday</v>
      </c>
      <c r="B100" s="28">
        <f>SCALARS!B101</f>
        <v>46176</v>
      </c>
      <c r="C100" s="61">
        <f>SCALARS!D101</f>
        <v>1841.9185</v>
      </c>
      <c r="D100" s="61">
        <f>G100/K100</f>
        <v>1841.9193963956288</v>
      </c>
      <c r="E100" s="61">
        <f>C100-D100</f>
        <v>-8.9639562884258339E-4</v>
      </c>
      <c r="F100" s="71">
        <v>2425922259</v>
      </c>
      <c r="G100" s="19">
        <v>68030000</v>
      </c>
      <c r="H100" s="8">
        <v>36935.120000000003</v>
      </c>
      <c r="I100" s="1">
        <v>5.4299999999999997E-4</v>
      </c>
      <c r="J100" s="47">
        <f>ARKB!H100</f>
        <v>65682.100000000006</v>
      </c>
      <c r="K100" s="8">
        <f t="shared" si="60"/>
        <v>36934.298065987532</v>
      </c>
      <c r="L100" s="1">
        <f t="shared" si="61"/>
        <v>5.4250000000000001E-4</v>
      </c>
      <c r="M100" s="1">
        <f t="shared" si="62"/>
        <v>5.4349999999999993E-4</v>
      </c>
      <c r="N100" s="46">
        <f t="shared" si="63"/>
        <v>1843.3179723502303</v>
      </c>
      <c r="O100" s="46">
        <f t="shared" si="64"/>
        <v>1839.9264029438825</v>
      </c>
      <c r="P100" s="58">
        <f t="shared" si="65"/>
        <v>1841.6206261510131</v>
      </c>
    </row>
    <row r="101" spans="1:16" ht="15" customHeight="1">
      <c r="A101" s="1" t="str">
        <f>SCALARS!A102</f>
        <v>Thursday</v>
      </c>
      <c r="B101" s="28">
        <f>SCALARS!B102</f>
        <v>46177</v>
      </c>
      <c r="C101" s="61">
        <f>SCALARS!D102</f>
        <v>1841.9286</v>
      </c>
      <c r="D101" s="61">
        <f>G101/K101</f>
        <v>1841.9506414093391</v>
      </c>
      <c r="E101" s="61">
        <f>C101-D101</f>
        <v>-2.2041409339180973E-2</v>
      </c>
      <c r="F101" s="71">
        <v>2338311213</v>
      </c>
      <c r="G101" s="19">
        <v>67580000</v>
      </c>
      <c r="H101" s="8">
        <v>36690.81</v>
      </c>
      <c r="I101" s="1">
        <v>5.4299999999999997E-4</v>
      </c>
      <c r="J101" s="47">
        <f>ARKB!H101</f>
        <v>63732.67</v>
      </c>
      <c r="K101" s="8">
        <f t="shared" si="60"/>
        <v>36689.365328645421</v>
      </c>
      <c r="L101" s="1">
        <f t="shared" si="61"/>
        <v>5.4250000000000001E-4</v>
      </c>
      <c r="M101" s="1">
        <f t="shared" si="62"/>
        <v>5.4349999999999993E-4</v>
      </c>
      <c r="N101" s="46">
        <f t="shared" si="63"/>
        <v>1843.3179723502303</v>
      </c>
      <c r="O101" s="46">
        <f t="shared" si="64"/>
        <v>1839.9264029438825</v>
      </c>
      <c r="P101" s="58">
        <f t="shared" si="65"/>
        <v>1841.6206261510131</v>
      </c>
    </row>
    <row r="102" spans="1:16" ht="15" customHeight="1">
      <c r="A102" s="1" t="str">
        <f>SCALARS!A103</f>
        <v>Friday</v>
      </c>
      <c r="B102" s="28">
        <f>SCALARS!B103</f>
        <v>46178</v>
      </c>
      <c r="C102" s="61">
        <f>SCALARS!D103</f>
        <v>1841.9386999999999</v>
      </c>
      <c r="D102" s="61">
        <f>G102/K102</f>
        <v>1841.9636393129008</v>
      </c>
      <c r="E102" s="61">
        <f>C102-D102</f>
        <v>-2.4939312900869481E-2</v>
      </c>
      <c r="F102" s="71">
        <v>2189365558</v>
      </c>
      <c r="G102" s="19">
        <v>67580000</v>
      </c>
      <c r="H102" s="8">
        <v>36690.81</v>
      </c>
      <c r="I102" s="1">
        <v>5.4299999999999997E-4</v>
      </c>
      <c r="J102" s="47">
        <f>ARKB!H102</f>
        <v>59673.45</v>
      </c>
      <c r="K102" s="8">
        <f t="shared" si="60"/>
        <v>36689.106428403255</v>
      </c>
      <c r="L102" s="1">
        <f t="shared" si="61"/>
        <v>5.4250000000000001E-4</v>
      </c>
      <c r="M102" s="1">
        <f t="shared" si="62"/>
        <v>5.4349999999999993E-4</v>
      </c>
      <c r="N102" s="46">
        <f t="shared" si="63"/>
        <v>1843.3179723502303</v>
      </c>
      <c r="O102" s="46">
        <f t="shared" si="64"/>
        <v>1839.9264029438825</v>
      </c>
      <c r="P102" s="58">
        <f t="shared" si="65"/>
        <v>1841.6206261510131</v>
      </c>
    </row>
    <row r="103" spans="1:16" ht="15" customHeight="1">
      <c r="A103" s="1" t="str">
        <f>SCALARS!A104</f>
        <v>Saturday</v>
      </c>
      <c r="B103" s="28">
        <f>SCALARS!B104</f>
        <v>46179</v>
      </c>
      <c r="C103" s="61">
        <f>SCALARS!D104</f>
        <v>1841.9487999999999</v>
      </c>
    </row>
    <row r="104" spans="1:16" ht="15" customHeight="1">
      <c r="A104" s="1" t="str">
        <f>SCALARS!A105</f>
        <v>Sunday</v>
      </c>
      <c r="B104" s="28">
        <f>SCALARS!B105</f>
        <v>46180</v>
      </c>
      <c r="C104" s="61">
        <f>SCALARS!D105</f>
        <v>1841.9589000000001</v>
      </c>
    </row>
    <row r="105" spans="1:16" ht="15" customHeight="1">
      <c r="A105" s="1" t="str">
        <f>SCALARS!A106</f>
        <v>Monday</v>
      </c>
      <c r="B105" s="28">
        <f>SCALARS!B106</f>
        <v>46181</v>
      </c>
      <c r="C105" s="61">
        <f>SCALARS!D106</f>
        <v>1841.9690000000001</v>
      </c>
      <c r="D105" s="61">
        <f>G105/K105</f>
        <v>1841.969243623666</v>
      </c>
      <c r="E105" s="61">
        <f>C105-D105</f>
        <v>-2.4362366593777551E-4</v>
      </c>
      <c r="F105" s="71">
        <v>2342030323</v>
      </c>
      <c r="G105" s="19">
        <v>67990000</v>
      </c>
      <c r="H105" s="8">
        <v>36913.4</v>
      </c>
      <c r="I105" s="1">
        <v>5.4299999999999997E-4</v>
      </c>
      <c r="J105" s="47">
        <f>ARKB!H105</f>
        <v>63449.74</v>
      </c>
      <c r="K105" s="8">
        <f t="shared" ref="K105:K109" si="66">F105/J105</f>
        <v>36911.582663695706</v>
      </c>
      <c r="L105" s="1">
        <f t="shared" ref="L105:L109" si="67">I105-0.0000005</f>
        <v>5.4250000000000001E-4</v>
      </c>
      <c r="M105" s="1">
        <f t="shared" ref="M105:M109" si="68">I105+0.0000005</f>
        <v>5.4349999999999993E-4</v>
      </c>
      <c r="N105" s="46">
        <f t="shared" ref="N105:N109" si="69">1/L105</f>
        <v>1843.3179723502303</v>
      </c>
      <c r="O105" s="46">
        <f t="shared" ref="O105:O109" si="70">1/M105</f>
        <v>1839.9264029438825</v>
      </c>
      <c r="P105" s="58">
        <f t="shared" ref="P105:P109" si="71">1/I105</f>
        <v>1841.6206261510131</v>
      </c>
    </row>
    <row r="106" spans="1:16" ht="15" customHeight="1">
      <c r="A106" s="1" t="str">
        <f>SCALARS!A107</f>
        <v>Tuesday</v>
      </c>
      <c r="B106" s="28">
        <f>SCALARS!B107</f>
        <v>46182</v>
      </c>
      <c r="C106" s="61">
        <f>SCALARS!D107</f>
        <v>1841.9791</v>
      </c>
      <c r="D106" s="61">
        <f>G106/K106</f>
        <v>1841.9814651054346</v>
      </c>
      <c r="E106" s="61">
        <f>C106-D106</f>
        <v>-2.3651054345918965E-3</v>
      </c>
      <c r="F106" s="71">
        <v>2282057114</v>
      </c>
      <c r="G106" s="19">
        <v>67990000</v>
      </c>
      <c r="H106" s="8">
        <v>36913.4</v>
      </c>
      <c r="I106" s="1">
        <v>5.4299999999999997E-4</v>
      </c>
      <c r="J106" s="47">
        <f>ARKB!H106</f>
        <v>61825.37</v>
      </c>
      <c r="K106" s="8">
        <f t="shared" si="66"/>
        <v>36911.337756652327</v>
      </c>
      <c r="L106" s="1">
        <f t="shared" si="67"/>
        <v>5.4250000000000001E-4</v>
      </c>
      <c r="M106" s="1">
        <f t="shared" si="68"/>
        <v>5.4349999999999993E-4</v>
      </c>
      <c r="N106" s="46">
        <f t="shared" si="69"/>
        <v>1843.3179723502303</v>
      </c>
      <c r="O106" s="46">
        <f t="shared" si="70"/>
        <v>1839.9264029438825</v>
      </c>
      <c r="P106" s="58">
        <f t="shared" si="71"/>
        <v>1841.6206261510131</v>
      </c>
    </row>
    <row r="107" spans="1:16" ht="15" customHeight="1">
      <c r="A107" s="1" t="str">
        <f>SCALARS!A108</f>
        <v>Wednesday</v>
      </c>
      <c r="B107" s="28">
        <f>SCALARS!B108</f>
        <v>46183</v>
      </c>
      <c r="C107" s="61">
        <f>SCALARS!D108</f>
        <v>1841.9892</v>
      </c>
      <c r="D107" s="61">
        <f>G107/K107</f>
        <v>1841.9915775359561</v>
      </c>
      <c r="E107" s="61">
        <f>C107-D107</f>
        <v>-2.3775359561568621E-3</v>
      </c>
      <c r="F107" s="71">
        <v>2281581720</v>
      </c>
      <c r="G107" s="19">
        <v>67990000</v>
      </c>
      <c r="H107" s="8">
        <v>36913.4</v>
      </c>
      <c r="I107" s="1">
        <v>5.4299999999999997E-4</v>
      </c>
      <c r="J107" s="47">
        <f>ARKB!H107</f>
        <v>61812.83</v>
      </c>
      <c r="K107" s="8">
        <f t="shared" si="66"/>
        <v>36911.135115476834</v>
      </c>
      <c r="L107" s="1">
        <f t="shared" si="67"/>
        <v>5.4250000000000001E-4</v>
      </c>
      <c r="M107" s="1">
        <f t="shared" si="68"/>
        <v>5.4349999999999993E-4</v>
      </c>
      <c r="N107" s="46">
        <f t="shared" si="69"/>
        <v>1843.3179723502303</v>
      </c>
      <c r="O107" s="46">
        <f t="shared" si="70"/>
        <v>1839.9264029438825</v>
      </c>
      <c r="P107" s="58">
        <f t="shared" si="71"/>
        <v>1841.6206261510131</v>
      </c>
    </row>
    <row r="108" spans="1:16" ht="15" customHeight="1">
      <c r="A108" s="1" t="str">
        <f>SCALARS!A109</f>
        <v>Thursday</v>
      </c>
      <c r="B108" s="28">
        <f>SCALARS!B109</f>
        <v>46184</v>
      </c>
      <c r="C108" s="61">
        <f>SCALARS!D109</f>
        <v>1841.9992999999999</v>
      </c>
      <c r="D108" s="61">
        <f>G108/K108</f>
        <v>1842.018963108454</v>
      </c>
      <c r="E108" s="61">
        <f>C108-D108</f>
        <v>-1.96631084540968E-2</v>
      </c>
      <c r="F108" s="71">
        <v>2333846379</v>
      </c>
      <c r="G108" s="19">
        <v>67610000</v>
      </c>
      <c r="H108" s="8">
        <v>36707.1</v>
      </c>
      <c r="I108" s="1">
        <v>5.4299999999999997E-4</v>
      </c>
      <c r="J108" s="47">
        <f>ARKB!H108</f>
        <v>63585.11</v>
      </c>
      <c r="K108" s="8">
        <f t="shared" si="66"/>
        <v>36704.290973153933</v>
      </c>
      <c r="L108" s="1">
        <f t="shared" si="67"/>
        <v>5.4250000000000001E-4</v>
      </c>
      <c r="M108" s="1">
        <f t="shared" si="68"/>
        <v>5.4349999999999993E-4</v>
      </c>
      <c r="N108" s="46">
        <f t="shared" si="69"/>
        <v>1843.3179723502303</v>
      </c>
      <c r="O108" s="46">
        <f t="shared" si="70"/>
        <v>1839.9264029438825</v>
      </c>
      <c r="P108" s="58">
        <f t="shared" si="71"/>
        <v>1841.6206261510131</v>
      </c>
    </row>
    <row r="109" spans="1:16" ht="15" customHeight="1">
      <c r="A109" s="1" t="str">
        <f>SCALARS!A110</f>
        <v>Friday</v>
      </c>
      <c r="B109" s="28">
        <f>SCALARS!B110</f>
        <v>46185</v>
      </c>
      <c r="C109" s="61">
        <f>SCALARS!D110</f>
        <v>1842.0093999999999</v>
      </c>
      <c r="D109" s="61">
        <f>G109/K109</f>
        <v>1842.0289368104402</v>
      </c>
      <c r="E109" s="61">
        <f>C109-D109</f>
        <v>-1.953681044028599E-2</v>
      </c>
      <c r="F109" s="71">
        <v>2341551642</v>
      </c>
      <c r="G109" s="19">
        <v>67760000</v>
      </c>
      <c r="H109" s="8">
        <v>36788.54</v>
      </c>
      <c r="I109" s="1">
        <v>5.4299999999999997E-4</v>
      </c>
      <c r="J109" s="47">
        <f>ARKB!H109</f>
        <v>63654.16</v>
      </c>
      <c r="K109" s="8">
        <f t="shared" si="66"/>
        <v>36785.52418255146</v>
      </c>
      <c r="L109" s="1">
        <f t="shared" si="67"/>
        <v>5.4250000000000001E-4</v>
      </c>
      <c r="M109" s="1">
        <f t="shared" si="68"/>
        <v>5.4349999999999993E-4</v>
      </c>
      <c r="N109" s="46">
        <f t="shared" si="69"/>
        <v>1843.3179723502303</v>
      </c>
      <c r="O109" s="46">
        <f t="shared" si="70"/>
        <v>1839.9264029438825</v>
      </c>
      <c r="P109" s="58">
        <f t="shared" si="71"/>
        <v>1841.6206261510131</v>
      </c>
    </row>
    <row r="110" spans="1:16" ht="15" customHeight="1">
      <c r="A110" s="1" t="str">
        <f>SCALARS!A111</f>
        <v>Saturday</v>
      </c>
      <c r="B110" s="28">
        <f>SCALARS!B111</f>
        <v>46186</v>
      </c>
      <c r="C110" s="61">
        <f>SCALARS!D111</f>
        <v>1842.0195000000001</v>
      </c>
    </row>
    <row r="111" spans="1:16" ht="15" customHeight="1">
      <c r="A111" s="1" t="str">
        <f>SCALARS!A112</f>
        <v>Sunday</v>
      </c>
      <c r="B111" s="28">
        <f>SCALARS!B112</f>
        <v>46187</v>
      </c>
      <c r="C111" s="61">
        <f>SCALARS!D112</f>
        <v>1842.0296000000001</v>
      </c>
    </row>
    <row r="112" spans="1:16" ht="15" customHeight="1">
      <c r="A112" s="1" t="str">
        <f>SCALARS!A113</f>
        <v>Monday</v>
      </c>
      <c r="B112" s="28">
        <f>SCALARS!B113</f>
        <v>46188</v>
      </c>
      <c r="C112" s="61">
        <f>SCALARS!D113</f>
        <v>1842.0397</v>
      </c>
      <c r="D112" s="61">
        <f>G112/K112</f>
        <v>1842.03269836749</v>
      </c>
      <c r="E112" s="61">
        <f>C112-D112</f>
        <v>7.0016325100823451E-3</v>
      </c>
      <c r="F112" s="71">
        <v>2451667045</v>
      </c>
      <c r="G112" s="19">
        <v>67760000</v>
      </c>
      <c r="H112" s="8">
        <v>36788.54</v>
      </c>
      <c r="I112" s="1">
        <v>5.4299999999999997E-4</v>
      </c>
      <c r="J112" s="47">
        <f>ARKB!H112</f>
        <v>66647.740000000005</v>
      </c>
      <c r="K112" s="8">
        <f t="shared" ref="K112:K115" si="72">F112/J112</f>
        <v>36785.449063989261</v>
      </c>
      <c r="L112" s="1">
        <f t="shared" ref="L112:L115" si="73">I112-0.0000005</f>
        <v>5.4250000000000001E-4</v>
      </c>
      <c r="M112" s="1">
        <f t="shared" ref="M112:M115" si="74">I112+0.0000005</f>
        <v>5.4349999999999993E-4</v>
      </c>
      <c r="N112" s="46">
        <f t="shared" ref="N112:N115" si="75">1/L112</f>
        <v>1843.3179723502303</v>
      </c>
      <c r="O112" s="46">
        <f t="shared" ref="O112:O115" si="76">1/M112</f>
        <v>1839.9264029438825</v>
      </c>
      <c r="P112" s="58">
        <f t="shared" ref="P112:P115" si="77">1/I112</f>
        <v>1841.6206261510131</v>
      </c>
    </row>
    <row r="113" spans="1:16" ht="15" customHeight="1">
      <c r="A113" s="1" t="str">
        <f>SCALARS!A114</f>
        <v>Tuesday</v>
      </c>
      <c r="B113" s="28">
        <f>SCALARS!B114</f>
        <v>46189</v>
      </c>
      <c r="C113" s="61">
        <f>SCALARS!D114</f>
        <v>1842.0498</v>
      </c>
      <c r="D113" s="61">
        <f>G113/K113</f>
        <v>1842.0450869529675</v>
      </c>
      <c r="E113" s="61">
        <f>C113-D113</f>
        <v>4.713047032510076E-3</v>
      </c>
      <c r="F113" s="71">
        <v>2413403143</v>
      </c>
      <c r="G113" s="19">
        <v>67760000</v>
      </c>
      <c r="H113" s="8">
        <v>36788.54</v>
      </c>
      <c r="I113" s="1">
        <v>5.4299999999999997E-4</v>
      </c>
      <c r="J113" s="47">
        <f>ARKB!H113</f>
        <v>65607.990000000005</v>
      </c>
      <c r="K113" s="8">
        <f t="shared" si="72"/>
        <v>36785.201665224005</v>
      </c>
      <c r="L113" s="1">
        <f t="shared" si="73"/>
        <v>5.4250000000000001E-4</v>
      </c>
      <c r="M113" s="1">
        <f t="shared" si="74"/>
        <v>5.4349999999999993E-4</v>
      </c>
      <c r="N113" s="46">
        <f t="shared" si="75"/>
        <v>1843.3179723502303</v>
      </c>
      <c r="O113" s="46">
        <f t="shared" si="76"/>
        <v>1839.9264029438825</v>
      </c>
      <c r="P113" s="58">
        <f t="shared" si="77"/>
        <v>1841.6206261510131</v>
      </c>
    </row>
    <row r="114" spans="1:16" ht="15" customHeight="1">
      <c r="A114" s="1" t="str">
        <f>SCALARS!A115</f>
        <v>Wednesday</v>
      </c>
      <c r="B114" s="28">
        <f>SCALARS!B115</f>
        <v>46190</v>
      </c>
      <c r="C114" s="61">
        <f>SCALARS!D115</f>
        <v>1842.0599</v>
      </c>
      <c r="D114" s="61">
        <f>G114/K114</f>
        <v>1842.0877965873749</v>
      </c>
      <c r="E114" s="61">
        <f>C114-D114</f>
        <v>-2.789658737492573E-2</v>
      </c>
      <c r="F114" s="71">
        <v>2378058490</v>
      </c>
      <c r="G114" s="19">
        <v>67760000</v>
      </c>
      <c r="H114" s="8">
        <v>36788.54</v>
      </c>
      <c r="I114" s="1">
        <v>5.4299999999999997E-4</v>
      </c>
      <c r="J114" s="47">
        <f>ARKB!H114</f>
        <v>64648.65</v>
      </c>
      <c r="K114" s="8">
        <f t="shared" si="72"/>
        <v>36784.348783771973</v>
      </c>
      <c r="L114" s="1">
        <f t="shared" si="73"/>
        <v>5.4250000000000001E-4</v>
      </c>
      <c r="M114" s="1">
        <f t="shared" si="74"/>
        <v>5.4349999999999993E-4</v>
      </c>
      <c r="N114" s="46">
        <f t="shared" si="75"/>
        <v>1843.3179723502303</v>
      </c>
      <c r="O114" s="46">
        <f t="shared" si="76"/>
        <v>1839.9264029438825</v>
      </c>
      <c r="P114" s="58">
        <f t="shared" si="77"/>
        <v>1841.6206261510131</v>
      </c>
    </row>
    <row r="115" spans="1:16" ht="15" customHeight="1">
      <c r="A115" s="1" t="str">
        <f>SCALARS!A116</f>
        <v>Thursday</v>
      </c>
      <c r="B115" s="28">
        <f>SCALARS!B116</f>
        <v>46191</v>
      </c>
      <c r="C115" s="61">
        <f>SCALARS!D116</f>
        <v>1842.07</v>
      </c>
      <c r="D115" s="61">
        <f>G115/K115</f>
        <v>1842.1030734477558</v>
      </c>
      <c r="E115" s="61">
        <f>C115-D115</f>
        <v>-3.3073447755896268E-2</v>
      </c>
      <c r="F115" s="71">
        <v>2307529642</v>
      </c>
      <c r="G115" s="19">
        <v>67760000</v>
      </c>
      <c r="H115" s="8">
        <v>36788.54</v>
      </c>
      <c r="I115" s="1">
        <v>5.4299999999999997E-4</v>
      </c>
      <c r="J115" s="47">
        <f>ARKB!H115</f>
        <v>62731.81</v>
      </c>
      <c r="K115" s="8">
        <f t="shared" si="72"/>
        <v>36784.043725185038</v>
      </c>
      <c r="L115" s="1">
        <f t="shared" si="73"/>
        <v>5.4250000000000001E-4</v>
      </c>
      <c r="M115" s="1">
        <f t="shared" si="74"/>
        <v>5.4349999999999993E-4</v>
      </c>
      <c r="N115" s="46">
        <f t="shared" si="75"/>
        <v>1843.3179723502303</v>
      </c>
      <c r="O115" s="46">
        <f t="shared" si="76"/>
        <v>1839.9264029438825</v>
      </c>
      <c r="P115" s="58">
        <f t="shared" si="77"/>
        <v>1841.6206261510131</v>
      </c>
    </row>
    <row r="116" spans="1:16" ht="15" customHeight="1">
      <c r="A116" s="1" t="str">
        <f>SCALARS!A117</f>
        <v>Friday</v>
      </c>
      <c r="B116" s="28">
        <f>SCALARS!B117</f>
        <v>46192</v>
      </c>
      <c r="C116" s="61">
        <f>SCALARS!D117</f>
        <v>1842.0800999999999</v>
      </c>
      <c r="D116" s="161" t="s">
        <v>73</v>
      </c>
      <c r="E116" s="61"/>
      <c r="F116" s="71"/>
      <c r="G116" s="19"/>
      <c r="H116" s="8"/>
      <c r="J116" s="47"/>
      <c r="K116" s="8"/>
      <c r="N116" s="46"/>
      <c r="O116" s="46"/>
      <c r="P116" s="58"/>
    </row>
    <row r="117" spans="1:16" ht="15" customHeight="1">
      <c r="A117" s="1" t="str">
        <f>SCALARS!A118</f>
        <v>Saturday</v>
      </c>
      <c r="B117" s="28">
        <f>SCALARS!B118</f>
        <v>46193</v>
      </c>
      <c r="C117" s="61">
        <f>SCALARS!D118</f>
        <v>1842.0902000000001</v>
      </c>
    </row>
    <row r="118" spans="1:16" ht="15" customHeight="1">
      <c r="A118" s="1" t="str">
        <f>SCALARS!A119</f>
        <v>Sunday</v>
      </c>
      <c r="B118" s="28">
        <f>SCALARS!B119</f>
        <v>46194</v>
      </c>
      <c r="C118" s="61">
        <f>SCALARS!D119</f>
        <v>1842.1003000000001</v>
      </c>
    </row>
    <row r="119" spans="1:16" ht="15" customHeight="1">
      <c r="A119" s="1" t="str">
        <f>SCALARS!A120</f>
        <v>Monday</v>
      </c>
      <c r="B119" s="28">
        <f>SCALARS!B120</f>
        <v>46195</v>
      </c>
      <c r="C119" s="61">
        <f>SCALARS!D120</f>
        <v>1842.1104</v>
      </c>
      <c r="D119" s="61">
        <f>G119/K119</f>
        <v>1842.1078653632264</v>
      </c>
      <c r="E119" s="61">
        <f>C119-D119</f>
        <v>2.5346367735892272E-3</v>
      </c>
      <c r="F119" s="71">
        <v>2365835393</v>
      </c>
      <c r="G119" s="19">
        <v>67760000</v>
      </c>
      <c r="H119" s="8">
        <v>36788.54</v>
      </c>
      <c r="I119" s="1">
        <v>5.4299999999999997E-4</v>
      </c>
      <c r="J119" s="47">
        <f>ARKB!H119</f>
        <v>64317.06</v>
      </c>
      <c r="K119" s="8">
        <f t="shared" ref="K119:K123" si="78">F119/J119</f>
        <v>36783.948038047762</v>
      </c>
      <c r="L119" s="1">
        <f t="shared" ref="L119:L123" si="79">I119-0.0000005</f>
        <v>5.4250000000000001E-4</v>
      </c>
      <c r="M119" s="1">
        <f t="shared" ref="M119:M123" si="80">I119+0.0000005</f>
        <v>5.4349999999999993E-4</v>
      </c>
      <c r="N119" s="46">
        <f t="shared" ref="N119:N123" si="81">1/L119</f>
        <v>1843.3179723502303</v>
      </c>
      <c r="O119" s="46">
        <f t="shared" ref="O119:O123" si="82">1/M119</f>
        <v>1839.9264029438825</v>
      </c>
      <c r="P119" s="58">
        <f t="shared" ref="P119:P123" si="83">1/I119</f>
        <v>1841.6206261510131</v>
      </c>
    </row>
    <row r="120" spans="1:16" ht="15" customHeight="1">
      <c r="A120" s="1" t="str">
        <f>SCALARS!A121</f>
        <v>Tuesday</v>
      </c>
      <c r="B120" s="28">
        <f>SCALARS!B121</f>
        <v>46196</v>
      </c>
      <c r="C120" s="61">
        <f>SCALARS!D121</f>
        <v>1842.1205</v>
      </c>
      <c r="D120" s="61">
        <f>G120/K120</f>
        <v>1842.1251961442922</v>
      </c>
      <c r="E120" s="61">
        <f>C120-D120</f>
        <v>-4.6961442922111019E-3</v>
      </c>
      <c r="F120" s="71">
        <v>2290463030</v>
      </c>
      <c r="G120" s="19">
        <v>67760000</v>
      </c>
      <c r="H120" s="8">
        <v>36788.54</v>
      </c>
      <c r="I120" s="1">
        <v>5.4299999999999997E-4</v>
      </c>
      <c r="J120" s="47">
        <f>ARKB!H120</f>
        <v>62268.59</v>
      </c>
      <c r="K120" s="8">
        <f t="shared" si="78"/>
        <v>36783.601973322344</v>
      </c>
      <c r="L120" s="1">
        <f t="shared" si="79"/>
        <v>5.4250000000000001E-4</v>
      </c>
      <c r="M120" s="1">
        <f t="shared" si="80"/>
        <v>5.4349999999999993E-4</v>
      </c>
      <c r="N120" s="46">
        <f t="shared" si="81"/>
        <v>1843.3179723502303</v>
      </c>
      <c r="O120" s="46">
        <f t="shared" si="82"/>
        <v>1839.9264029438825</v>
      </c>
      <c r="P120" s="58">
        <f t="shared" si="83"/>
        <v>1841.6206261510131</v>
      </c>
    </row>
    <row r="121" spans="1:16" ht="15" customHeight="1">
      <c r="A121" s="1" t="str">
        <f>SCALARS!A122</f>
        <v>Wednesday</v>
      </c>
      <c r="B121" s="28">
        <f>SCALARS!B122</f>
        <v>46197</v>
      </c>
      <c r="C121" s="61">
        <f>SCALARS!D122</f>
        <v>1842.1306</v>
      </c>
      <c r="D121" s="61">
        <f>G121/K121</f>
        <v>1842.1457662075602</v>
      </c>
      <c r="E121" s="61">
        <f>C121-D121</f>
        <v>-1.5166207560241673E-2</v>
      </c>
      <c r="F121" s="71">
        <v>2167232648</v>
      </c>
      <c r="G121" s="19">
        <v>66910000</v>
      </c>
      <c r="H121" s="8">
        <v>36327.11</v>
      </c>
      <c r="I121" s="1">
        <v>5.4299999999999997E-4</v>
      </c>
      <c r="J121" s="47">
        <f>ARKB!H121</f>
        <v>59667.59</v>
      </c>
      <c r="K121" s="8">
        <f t="shared" si="78"/>
        <v>36321.772808320231</v>
      </c>
      <c r="L121" s="1">
        <f t="shared" si="79"/>
        <v>5.4250000000000001E-4</v>
      </c>
      <c r="M121" s="1">
        <f t="shared" si="80"/>
        <v>5.4349999999999993E-4</v>
      </c>
      <c r="N121" s="46">
        <f t="shared" si="81"/>
        <v>1843.3179723502303</v>
      </c>
      <c r="O121" s="46">
        <f t="shared" si="82"/>
        <v>1839.9264029438825</v>
      </c>
      <c r="P121" s="58">
        <f t="shared" si="83"/>
        <v>1841.6206261510131</v>
      </c>
    </row>
    <row r="122" spans="1:16" ht="15" customHeight="1">
      <c r="A122" s="1" t="str">
        <f>SCALARS!A123</f>
        <v>Thursday</v>
      </c>
      <c r="B122" s="28">
        <f>SCALARS!B123</f>
        <v>46198</v>
      </c>
      <c r="C122" s="61">
        <f>SCALARS!D123</f>
        <v>1842.1406999999999</v>
      </c>
      <c r="D122" s="61">
        <f>G122/K122</f>
        <v>1842.1780209469155</v>
      </c>
      <c r="E122" s="61">
        <f>C122-D122</f>
        <v>-3.7320946915542663E-2</v>
      </c>
      <c r="F122" s="71">
        <v>2143959206</v>
      </c>
      <c r="G122" s="19">
        <v>66690000</v>
      </c>
      <c r="H122" s="8">
        <v>36207.69</v>
      </c>
      <c r="I122" s="1">
        <v>5.4299999999999997E-4</v>
      </c>
      <c r="J122" s="47">
        <f>ARKB!H122</f>
        <v>59222.59</v>
      </c>
      <c r="K122" s="8">
        <f t="shared" si="78"/>
        <v>36201.712994990594</v>
      </c>
      <c r="L122" s="1">
        <f t="shared" si="79"/>
        <v>5.4250000000000001E-4</v>
      </c>
      <c r="M122" s="1">
        <f t="shared" si="80"/>
        <v>5.4349999999999993E-4</v>
      </c>
      <c r="N122" s="46">
        <f t="shared" si="81"/>
        <v>1843.3179723502303</v>
      </c>
      <c r="O122" s="46">
        <f t="shared" si="82"/>
        <v>1839.9264029438825</v>
      </c>
      <c r="P122" s="58">
        <f t="shared" si="83"/>
        <v>1841.6206261510131</v>
      </c>
    </row>
    <row r="123" spans="1:16" ht="15" customHeight="1">
      <c r="A123" s="1" t="str">
        <f>SCALARS!A124</f>
        <v>Friday</v>
      </c>
      <c r="B123" s="28">
        <f>SCALARS!B124</f>
        <v>46199</v>
      </c>
      <c r="C123" s="61">
        <f>SCALARS!D124</f>
        <v>1842.1507999999999</v>
      </c>
      <c r="D123" s="61">
        <f>G123/K123</f>
        <v>1842.1854119733746</v>
      </c>
      <c r="E123" s="61">
        <f>C123-D123</f>
        <v>-3.4611973374694571E-2</v>
      </c>
      <c r="F123" s="71">
        <v>2165327992</v>
      </c>
      <c r="G123" s="19">
        <v>66690000</v>
      </c>
      <c r="H123" s="8">
        <v>36207.69</v>
      </c>
      <c r="I123" s="1">
        <v>5.4299999999999997E-4</v>
      </c>
      <c r="J123" s="47">
        <f>ARKB!H123</f>
        <v>59813.1</v>
      </c>
      <c r="K123" s="8">
        <f t="shared" si="78"/>
        <v>36201.567750208567</v>
      </c>
      <c r="L123" s="1">
        <f t="shared" si="79"/>
        <v>5.4250000000000001E-4</v>
      </c>
      <c r="M123" s="1">
        <f t="shared" si="80"/>
        <v>5.4349999999999993E-4</v>
      </c>
      <c r="N123" s="46">
        <f t="shared" si="81"/>
        <v>1843.3179723502303</v>
      </c>
      <c r="O123" s="46">
        <f t="shared" si="82"/>
        <v>1839.9264029438825</v>
      </c>
      <c r="P123" s="58">
        <f t="shared" si="83"/>
        <v>1841.6206261510131</v>
      </c>
    </row>
    <row r="124" spans="1:16" ht="15" customHeight="1">
      <c r="A124" s="1" t="str">
        <f>SCALARS!A125</f>
        <v>Saturday</v>
      </c>
      <c r="B124" s="28">
        <f>SCALARS!B125</f>
        <v>46200</v>
      </c>
      <c r="C124" s="61">
        <f>SCALARS!D125</f>
        <v>1842.1609000000001</v>
      </c>
    </row>
    <row r="125" spans="1:16" ht="15" customHeight="1">
      <c r="A125" s="1" t="str">
        <f>SCALARS!A126</f>
        <v>Sunday</v>
      </c>
      <c r="B125" s="28">
        <f>SCALARS!B126</f>
        <v>46201</v>
      </c>
      <c r="C125" s="61">
        <f>SCALARS!D126</f>
        <v>1842.171</v>
      </c>
    </row>
    <row r="126" spans="1:16" ht="15" customHeight="1">
      <c r="A126" s="1" t="str">
        <f>SCALARS!A127</f>
        <v>Monday</v>
      </c>
      <c r="B126" s="28">
        <f>SCALARS!B127</f>
        <v>46202</v>
      </c>
      <c r="C126" s="61">
        <f>SCALARS!D127</f>
        <v>1842.1811</v>
      </c>
      <c r="D126" s="61">
        <f>G126/K126</f>
        <v>1842.1932561752326</v>
      </c>
      <c r="E126" s="61">
        <f>C126-D126</f>
        <v>-1.2156175232576061E-2</v>
      </c>
      <c r="F126" s="71">
        <v>2181609770</v>
      </c>
      <c r="G126" s="19">
        <v>66690000</v>
      </c>
      <c r="H126" s="8">
        <v>36207.69</v>
      </c>
      <c r="I126" s="1">
        <v>5.4299999999999997E-4</v>
      </c>
      <c r="J126" s="47">
        <f>ARKB!H126</f>
        <v>60263.11</v>
      </c>
      <c r="K126" s="8">
        <f t="shared" ref="K126:K127" si="84">F126/J126</f>
        <v>36201.413601123473</v>
      </c>
      <c r="L126" s="1">
        <f t="shared" ref="L126:L127" si="85">I126-0.0000005</f>
        <v>5.4250000000000001E-4</v>
      </c>
      <c r="M126" s="1">
        <f t="shared" ref="M126:M127" si="86">I126+0.0000005</f>
        <v>5.4349999999999993E-4</v>
      </c>
      <c r="N126" s="46">
        <f t="shared" ref="N126:N127" si="87">1/L126</f>
        <v>1843.3179723502303</v>
      </c>
      <c r="O126" s="46">
        <f t="shared" ref="O126:O127" si="88">1/M126</f>
        <v>1839.9264029438825</v>
      </c>
      <c r="P126" s="58">
        <f t="shared" ref="P126:P127" si="89">1/I126</f>
        <v>1841.6206261510131</v>
      </c>
    </row>
    <row r="127" spans="1:16" ht="15" customHeight="1">
      <c r="A127" s="1" t="str">
        <f>SCALARS!A128</f>
        <v>Tuesday</v>
      </c>
      <c r="B127" s="28">
        <f>SCALARS!B128</f>
        <v>46203</v>
      </c>
      <c r="C127" s="61">
        <f>SCALARS!D128</f>
        <v>1842.1912</v>
      </c>
      <c r="D127" s="61">
        <f>G127/K127</f>
        <v>1842.2121017609097</v>
      </c>
      <c r="E127" s="61">
        <f>C127-D127</f>
        <v>-2.0901760909737277E-2</v>
      </c>
      <c r="F127" s="71">
        <v>2121576983</v>
      </c>
      <c r="G127" s="19">
        <v>66690000</v>
      </c>
      <c r="H127" s="8">
        <v>36201.24</v>
      </c>
      <c r="I127" s="1">
        <v>5.4299999999999997E-4</v>
      </c>
      <c r="J127" s="47">
        <f>ARKB!H127</f>
        <v>58605.41</v>
      </c>
      <c r="K127" s="8">
        <f t="shared" si="84"/>
        <v>36201.043265459622</v>
      </c>
      <c r="L127" s="1">
        <f t="shared" si="85"/>
        <v>5.4250000000000001E-4</v>
      </c>
      <c r="M127" s="1">
        <f t="shared" si="86"/>
        <v>5.4349999999999993E-4</v>
      </c>
      <c r="N127" s="46">
        <f t="shared" si="87"/>
        <v>1843.3179723502303</v>
      </c>
      <c r="O127" s="46">
        <f t="shared" si="88"/>
        <v>1839.9264029438825</v>
      </c>
      <c r="P127" s="58">
        <f t="shared" si="89"/>
        <v>1841.6206261510131</v>
      </c>
    </row>
    <row r="128" spans="1:16" ht="15" customHeight="1">
      <c r="A128" s="1" t="str">
        <f>SCALARS!A129</f>
        <v>Wednesday</v>
      </c>
      <c r="B128" s="28">
        <f>SCALARS!B129</f>
        <v>46204</v>
      </c>
      <c r="C128" s="61">
        <f>SCALARS!D129</f>
        <v>1842.2012999999999</v>
      </c>
      <c r="D128" s="61">
        <f t="shared" ref="D128:D151" si="90">G128/K128</f>
        <v>1842.2524803413266</v>
      </c>
      <c r="E128" s="61">
        <f t="shared" ref="E128:E151" si="91">C128-D128</f>
        <v>-5.1180341326698908E-2</v>
      </c>
      <c r="F128" s="71">
        <v>2177296605</v>
      </c>
      <c r="G128" s="19">
        <v>66690000</v>
      </c>
      <c r="H128" s="8">
        <v>36201.24</v>
      </c>
      <c r="I128" s="1">
        <v>5.4299999999999997E-4</v>
      </c>
      <c r="J128" s="47">
        <f>ARKB!H128</f>
        <v>60145.9</v>
      </c>
      <c r="K128" s="8">
        <f t="shared" ref="K128:K151" si="92">F128/J128</f>
        <v>36200.249809213929</v>
      </c>
      <c r="L128" s="1">
        <f t="shared" ref="L128:L154" si="93">I128-0.0000005</f>
        <v>5.4250000000000001E-4</v>
      </c>
      <c r="M128" s="1">
        <f t="shared" ref="M128:M154" si="94">I128+0.0000005</f>
        <v>5.4349999999999993E-4</v>
      </c>
      <c r="N128" s="46">
        <f t="shared" ref="N128:N154" si="95">1/L128</f>
        <v>1843.3179723502303</v>
      </c>
      <c r="O128" s="46">
        <f t="shared" ref="O128:O154" si="96">1/M128</f>
        <v>1839.9264029438825</v>
      </c>
      <c r="P128" s="58">
        <f t="shared" ref="P128:P154" si="97">1/I128</f>
        <v>1841.6206261510131</v>
      </c>
    </row>
    <row r="129" spans="1:16" ht="15" customHeight="1">
      <c r="A129" s="1" t="str">
        <f>SCALARS!A130</f>
        <v>Thursday</v>
      </c>
      <c r="B129" s="28">
        <f>SCALARS!B130</f>
        <v>46205</v>
      </c>
      <c r="C129" s="61">
        <f>SCALARS!D130</f>
        <v>1842.2113999999999</v>
      </c>
      <c r="D129" s="61">
        <f t="shared" si="90"/>
        <v>1842.2623475400389</v>
      </c>
      <c r="E129" s="61">
        <f t="shared" si="91"/>
        <v>-5.0947540039032901E-2</v>
      </c>
      <c r="F129" s="71">
        <v>2227551979</v>
      </c>
      <c r="G129" s="19">
        <v>66690000</v>
      </c>
      <c r="H129" s="8">
        <v>36201.24</v>
      </c>
      <c r="I129" s="1">
        <v>5.4299999999999997E-4</v>
      </c>
      <c r="J129" s="47">
        <f>ARKB!H129</f>
        <v>61534.49</v>
      </c>
      <c r="K129" s="8">
        <f t="shared" si="92"/>
        <v>36200.055919858933</v>
      </c>
      <c r="L129" s="1">
        <f t="shared" si="93"/>
        <v>5.4250000000000001E-4</v>
      </c>
      <c r="M129" s="1">
        <f t="shared" si="94"/>
        <v>5.4349999999999993E-4</v>
      </c>
      <c r="N129" s="46">
        <f t="shared" si="95"/>
        <v>1843.3179723502303</v>
      </c>
      <c r="O129" s="46">
        <f t="shared" si="96"/>
        <v>1839.9264029438825</v>
      </c>
      <c r="P129" s="58">
        <f t="shared" si="97"/>
        <v>1841.6206261510131</v>
      </c>
    </row>
    <row r="130" spans="1:16" ht="15" customHeight="1">
      <c r="A130" s="1" t="str">
        <f>SCALARS!A131</f>
        <v>Friday</v>
      </c>
      <c r="B130" s="28">
        <f>SCALARS!B131</f>
        <v>46206</v>
      </c>
      <c r="C130" s="61">
        <f>SCALARS!D131</f>
        <v>1842.2215000000001</v>
      </c>
      <c r="D130" s="161" t="s">
        <v>73</v>
      </c>
      <c r="E130" s="61"/>
      <c r="F130" s="71"/>
      <c r="G130" s="19"/>
      <c r="H130" s="8"/>
      <c r="J130" s="47"/>
      <c r="K130" s="8"/>
      <c r="N130" s="46"/>
      <c r="O130" s="46"/>
      <c r="P130" s="58"/>
    </row>
    <row r="131" spans="1:16" ht="15" customHeight="1">
      <c r="A131" s="1" t="str">
        <f>SCALARS!A132</f>
        <v>Saturday</v>
      </c>
      <c r="B131" s="28">
        <f>SCALARS!B132</f>
        <v>46207</v>
      </c>
      <c r="C131" s="61">
        <f>SCALARS!D132</f>
        <v>1842.2316000000001</v>
      </c>
      <c r="H131" s="8"/>
      <c r="J131" s="47"/>
      <c r="K131" s="8"/>
      <c r="N131" s="46"/>
      <c r="O131" s="46"/>
      <c r="P131" s="58"/>
    </row>
    <row r="132" spans="1:16" ht="15" customHeight="1">
      <c r="A132" s="1" t="str">
        <f>SCALARS!A133</f>
        <v>Sunday</v>
      </c>
      <c r="B132" s="28">
        <f>SCALARS!B133</f>
        <v>46208</v>
      </c>
      <c r="C132" s="61">
        <f>SCALARS!D133</f>
        <v>1842.2417</v>
      </c>
      <c r="H132" s="8"/>
      <c r="J132" s="47"/>
      <c r="K132" s="8"/>
      <c r="N132" s="46"/>
      <c r="O132" s="46"/>
      <c r="P132" s="58"/>
    </row>
    <row r="133" spans="1:16" ht="15" customHeight="1">
      <c r="A133" s="1" t="str">
        <f>SCALARS!A134</f>
        <v>Monday</v>
      </c>
      <c r="B133" s="28">
        <f>SCALARS!B134</f>
        <v>46209</v>
      </c>
      <c r="C133" s="61">
        <f>SCALARS!D134</f>
        <v>1842.2518</v>
      </c>
      <c r="D133" s="61">
        <f t="shared" si="90"/>
        <v>1842.2707061738536</v>
      </c>
      <c r="E133" s="61">
        <f t="shared" si="91"/>
        <v>-1.8906173853565633E-2</v>
      </c>
      <c r="F133" s="71">
        <v>2312272059</v>
      </c>
      <c r="G133" s="19">
        <v>66830000</v>
      </c>
      <c r="H133" s="8">
        <v>36277.230000000003</v>
      </c>
      <c r="I133" s="1">
        <v>5.4299999999999997E-4</v>
      </c>
      <c r="J133" s="47">
        <f>ARKB!H133</f>
        <v>63741.3</v>
      </c>
      <c r="K133" s="8">
        <f t="shared" si="92"/>
        <v>36275.884850167786</v>
      </c>
      <c r="L133" s="1">
        <f t="shared" si="93"/>
        <v>5.4250000000000001E-4</v>
      </c>
      <c r="M133" s="1">
        <f t="shared" si="94"/>
        <v>5.4349999999999993E-4</v>
      </c>
      <c r="N133" s="46">
        <f t="shared" si="95"/>
        <v>1843.3179723502303</v>
      </c>
      <c r="O133" s="46">
        <f t="shared" si="96"/>
        <v>1839.9264029438825</v>
      </c>
      <c r="P133" s="58">
        <f t="shared" si="97"/>
        <v>1841.6206261510131</v>
      </c>
    </row>
    <row r="134" spans="1:16" ht="15" customHeight="1">
      <c r="A134" s="1" t="str">
        <f>SCALARS!A135</f>
        <v>Tuesday</v>
      </c>
      <c r="B134" s="28">
        <f>SCALARS!B135</f>
        <v>46210</v>
      </c>
      <c r="C134" s="61">
        <f>SCALARS!D135</f>
        <v>1842.2619</v>
      </c>
      <c r="D134" s="61">
        <f t="shared" si="90"/>
        <v>1842.2808841631265</v>
      </c>
      <c r="E134" s="61">
        <f t="shared" si="91"/>
        <v>-1.8984163126560816E-2</v>
      </c>
      <c r="F134" s="71">
        <v>2308988306</v>
      </c>
      <c r="G134" s="19">
        <v>66830000</v>
      </c>
      <c r="H134" s="8">
        <v>36277.230000000003</v>
      </c>
      <c r="I134" s="1">
        <v>5.4299999999999997E-4</v>
      </c>
      <c r="J134" s="47">
        <f>ARKB!H134</f>
        <v>63651.13</v>
      </c>
      <c r="K134" s="8">
        <f t="shared" si="92"/>
        <v>36275.684437966775</v>
      </c>
      <c r="L134" s="1">
        <f t="shared" si="93"/>
        <v>5.4250000000000001E-4</v>
      </c>
      <c r="M134" s="1">
        <f t="shared" si="94"/>
        <v>5.4349999999999993E-4</v>
      </c>
      <c r="N134" s="46">
        <f t="shared" si="95"/>
        <v>1843.3179723502303</v>
      </c>
      <c r="O134" s="46">
        <f t="shared" si="96"/>
        <v>1839.9264029438825</v>
      </c>
      <c r="P134" s="58">
        <f t="shared" si="97"/>
        <v>1841.6206261510131</v>
      </c>
    </row>
    <row r="135" spans="1:16" ht="15" customHeight="1">
      <c r="A135" s="1" t="str">
        <f>SCALARS!A136</f>
        <v>Wednesday</v>
      </c>
      <c r="B135" s="28">
        <f>SCALARS!B136</f>
        <v>46211</v>
      </c>
      <c r="C135" s="61">
        <f>SCALARS!D136</f>
        <v>1842.2719999999999</v>
      </c>
      <c r="D135" s="61">
        <f t="shared" si="90"/>
        <v>1842.2926477893507</v>
      </c>
      <c r="E135" s="61">
        <f t="shared" si="91"/>
        <v>-2.0647789350732637E-2</v>
      </c>
      <c r="F135" s="71">
        <v>2254186746</v>
      </c>
      <c r="G135" s="19">
        <v>66830000</v>
      </c>
      <c r="H135" s="8">
        <v>36277.230000000003</v>
      </c>
      <c r="I135" s="1">
        <v>5.4299999999999997E-4</v>
      </c>
      <c r="J135" s="47">
        <f>ARKB!H135</f>
        <v>62140.83</v>
      </c>
      <c r="K135" s="8">
        <f t="shared" si="92"/>
        <v>36275.452806150155</v>
      </c>
      <c r="L135" s="1">
        <f t="shared" si="93"/>
        <v>5.4250000000000001E-4</v>
      </c>
      <c r="M135" s="1">
        <f t="shared" si="94"/>
        <v>5.4349999999999993E-4</v>
      </c>
      <c r="N135" s="46">
        <f t="shared" si="95"/>
        <v>1843.3179723502303</v>
      </c>
      <c r="O135" s="46">
        <f t="shared" si="96"/>
        <v>1839.9264029438825</v>
      </c>
      <c r="P135" s="58">
        <f t="shared" si="97"/>
        <v>1841.6206261510131</v>
      </c>
    </row>
    <row r="136" spans="1:16" ht="15" customHeight="1">
      <c r="A136" s="1" t="str">
        <f>SCALARS!A137</f>
        <v>Thursday</v>
      </c>
      <c r="B136" s="28">
        <f>SCALARS!B137</f>
        <v>46212</v>
      </c>
      <c r="C136" s="61">
        <f>SCALARS!D137</f>
        <v>1842.2820999999999</v>
      </c>
      <c r="D136" s="61">
        <f t="shared" si="90"/>
        <v>1842.3215885339259</v>
      </c>
      <c r="E136" s="61">
        <f t="shared" si="91"/>
        <v>-3.9488533926032687E-2</v>
      </c>
      <c r="F136" s="71">
        <v>2292852158</v>
      </c>
      <c r="G136" s="19">
        <v>66840000</v>
      </c>
      <c r="H136" s="8">
        <v>36282.660000000003</v>
      </c>
      <c r="I136" s="1">
        <v>5.4299999999999997E-4</v>
      </c>
      <c r="J136" s="47">
        <f>ARKB!H136</f>
        <v>63198.25</v>
      </c>
      <c r="K136" s="8">
        <f t="shared" si="92"/>
        <v>36280.310894684582</v>
      </c>
      <c r="L136" s="1">
        <f t="shared" si="93"/>
        <v>5.4250000000000001E-4</v>
      </c>
      <c r="M136" s="1">
        <f t="shared" si="94"/>
        <v>5.4349999999999993E-4</v>
      </c>
      <c r="N136" s="46">
        <f t="shared" si="95"/>
        <v>1843.3179723502303</v>
      </c>
      <c r="O136" s="46">
        <f t="shared" si="96"/>
        <v>1839.9264029438825</v>
      </c>
      <c r="P136" s="58">
        <f t="shared" si="97"/>
        <v>1841.6206261510131</v>
      </c>
    </row>
    <row r="137" spans="1:16" ht="15" customHeight="1">
      <c r="A137" s="1" t="str">
        <f>SCALARS!A138</f>
        <v>Friday</v>
      </c>
      <c r="B137" s="28">
        <f>SCALARS!B138</f>
        <v>46213</v>
      </c>
      <c r="C137" s="61">
        <f>SCALARS!D138</f>
        <v>1842.2922000000001</v>
      </c>
      <c r="D137" s="61">
        <f t="shared" si="90"/>
        <v>1842.3307394226713</v>
      </c>
      <c r="E137" s="61">
        <f t="shared" si="91"/>
        <v>-3.8539422671192369E-2</v>
      </c>
      <c r="F137" s="71">
        <v>2317391171</v>
      </c>
      <c r="G137" s="19">
        <v>66840000</v>
      </c>
      <c r="H137" s="8">
        <v>36282.660000000003</v>
      </c>
      <c r="I137" s="1">
        <v>5.4299999999999997E-4</v>
      </c>
      <c r="J137" s="47">
        <f>ARKB!H137</f>
        <v>63874.94</v>
      </c>
      <c r="K137" s="8">
        <f t="shared" si="92"/>
        <v>36280.130689750942</v>
      </c>
      <c r="L137" s="1">
        <f t="shared" si="93"/>
        <v>5.4250000000000001E-4</v>
      </c>
      <c r="M137" s="1">
        <f t="shared" si="94"/>
        <v>5.4349999999999993E-4</v>
      </c>
      <c r="N137" s="46">
        <f t="shared" si="95"/>
        <v>1843.3179723502303</v>
      </c>
      <c r="O137" s="46">
        <f t="shared" si="96"/>
        <v>1839.9264029438825</v>
      </c>
      <c r="P137" s="58">
        <f t="shared" si="97"/>
        <v>1841.6206261510131</v>
      </c>
    </row>
    <row r="138" spans="1:16" ht="15" customHeight="1">
      <c r="A138" s="1" t="str">
        <f>SCALARS!A139</f>
        <v>Saturday</v>
      </c>
      <c r="B138" s="28">
        <f>SCALARS!B139</f>
        <v>46214</v>
      </c>
      <c r="C138" s="61">
        <f>SCALARS!D139</f>
        <v>1842.3023000000001</v>
      </c>
      <c r="D138" s="61"/>
      <c r="E138" s="61"/>
      <c r="F138" s="71"/>
      <c r="G138" s="19"/>
      <c r="H138" s="8"/>
      <c r="J138" s="47"/>
      <c r="K138" s="8"/>
      <c r="N138" s="46"/>
      <c r="O138" s="46"/>
      <c r="P138" s="58"/>
    </row>
    <row r="139" spans="1:16" ht="15" customHeight="1">
      <c r="A139" s="1" t="str">
        <f>SCALARS!A140</f>
        <v>Sunday</v>
      </c>
      <c r="B139" s="28">
        <f>SCALARS!B140</f>
        <v>46215</v>
      </c>
      <c r="C139" s="61">
        <f>SCALARS!D140</f>
        <v>1842.3124</v>
      </c>
      <c r="D139" s="61"/>
      <c r="E139" s="61"/>
      <c r="F139" s="71"/>
      <c r="G139" s="19"/>
      <c r="H139" s="8"/>
      <c r="J139" s="47"/>
      <c r="K139" s="8"/>
      <c r="N139" s="46"/>
      <c r="O139" s="46"/>
      <c r="P139" s="58"/>
    </row>
    <row r="140" spans="1:16" ht="15" customHeight="1">
      <c r="A140" s="1" t="str">
        <f>SCALARS!A141</f>
        <v>Monday</v>
      </c>
      <c r="B140" s="28">
        <f>SCALARS!B141</f>
        <v>46216</v>
      </c>
      <c r="C140" s="61">
        <f>SCALARS!D141</f>
        <v>1842.3225</v>
      </c>
      <c r="D140" s="61">
        <f t="shared" si="90"/>
        <v>1842.3443564523125</v>
      </c>
      <c r="E140" s="61">
        <f t="shared" si="91"/>
        <v>-2.1856452312476904E-2</v>
      </c>
      <c r="F140" s="71">
        <v>2250503363</v>
      </c>
      <c r="G140" s="19">
        <v>66840000</v>
      </c>
      <c r="H140" s="8">
        <v>36282.660000000003</v>
      </c>
      <c r="I140" s="1">
        <v>5.4299999999999997E-4</v>
      </c>
      <c r="J140" s="47">
        <f>ARKB!H140</f>
        <v>62031.75</v>
      </c>
      <c r="K140" s="8">
        <f t="shared" si="92"/>
        <v>36279.862538135712</v>
      </c>
      <c r="L140" s="1">
        <f t="shared" si="93"/>
        <v>5.4250000000000001E-4</v>
      </c>
      <c r="M140" s="1">
        <f t="shared" si="94"/>
        <v>5.4349999999999993E-4</v>
      </c>
      <c r="N140" s="46">
        <f t="shared" si="95"/>
        <v>1843.3179723502303</v>
      </c>
      <c r="O140" s="46">
        <f t="shared" si="96"/>
        <v>1839.9264029438825</v>
      </c>
      <c r="P140" s="58">
        <f t="shared" si="97"/>
        <v>1841.6206261510131</v>
      </c>
    </row>
    <row r="141" spans="1:16" ht="15" customHeight="1">
      <c r="A141" s="1" t="str">
        <f>SCALARS!A142</f>
        <v>Tuesday</v>
      </c>
      <c r="B141" s="28">
        <f>SCALARS!B142</f>
        <v>46217</v>
      </c>
      <c r="C141" s="61">
        <f>SCALARS!D142</f>
        <v>1842.3326</v>
      </c>
      <c r="D141" s="61">
        <f t="shared" si="90"/>
        <v>1842.3493157128819</v>
      </c>
      <c r="E141" s="61">
        <f t="shared" si="91"/>
        <v>-1.6715712881932632E-2</v>
      </c>
      <c r="F141" s="71">
        <v>2345176108</v>
      </c>
      <c r="G141" s="19">
        <v>66940000</v>
      </c>
      <c r="H141" s="8">
        <v>36336.94</v>
      </c>
      <c r="I141" s="1">
        <v>5.4299999999999997E-4</v>
      </c>
      <c r="J141" s="47">
        <f>ARKB!H141</f>
        <v>64544.87</v>
      </c>
      <c r="K141" s="8">
        <f t="shared" si="92"/>
        <v>36334.043402674761</v>
      </c>
      <c r="L141" s="1">
        <f t="shared" si="93"/>
        <v>5.4250000000000001E-4</v>
      </c>
      <c r="M141" s="1">
        <f t="shared" si="94"/>
        <v>5.4349999999999993E-4</v>
      </c>
      <c r="N141" s="46">
        <f t="shared" si="95"/>
        <v>1843.3179723502303</v>
      </c>
      <c r="O141" s="46">
        <f t="shared" si="96"/>
        <v>1839.9264029438825</v>
      </c>
      <c r="P141" s="58">
        <f t="shared" si="97"/>
        <v>1841.6206261510131</v>
      </c>
    </row>
    <row r="142" spans="1:16" ht="15" customHeight="1">
      <c r="A142" s="1" t="str">
        <f>SCALARS!A143</f>
        <v>Wednesday</v>
      </c>
      <c r="B142" s="28">
        <f>SCALARS!B143</f>
        <v>46218</v>
      </c>
      <c r="C142" s="61">
        <f>SCALARS!D143</f>
        <v>1842.3426999999999</v>
      </c>
      <c r="D142" s="61">
        <f t="shared" si="90"/>
        <v>1842.3587420439189</v>
      </c>
      <c r="E142" s="61">
        <f t="shared" si="91"/>
        <v>-1.6042043919014759E-2</v>
      </c>
      <c r="F142" s="71">
        <v>2356691752</v>
      </c>
      <c r="G142" s="19">
        <v>66940000</v>
      </c>
      <c r="H142" s="8">
        <v>36336.94</v>
      </c>
      <c r="I142" s="1">
        <v>5.4299999999999997E-4</v>
      </c>
      <c r="J142" s="47">
        <f>ARKB!H142</f>
        <v>64862.14</v>
      </c>
      <c r="K142" s="8">
        <f t="shared" si="92"/>
        <v>36333.857501463877</v>
      </c>
      <c r="L142" s="1">
        <f t="shared" si="93"/>
        <v>5.4250000000000001E-4</v>
      </c>
      <c r="M142" s="1">
        <f t="shared" si="94"/>
        <v>5.4349999999999993E-4</v>
      </c>
      <c r="N142" s="46">
        <f t="shared" si="95"/>
        <v>1843.3179723502303</v>
      </c>
      <c r="O142" s="46">
        <f t="shared" si="96"/>
        <v>1839.9264029438825</v>
      </c>
      <c r="P142" s="58">
        <f t="shared" si="97"/>
        <v>1841.6206261510131</v>
      </c>
    </row>
    <row r="143" spans="1:16" ht="15" customHeight="1">
      <c r="A143" s="1" t="str">
        <f>SCALARS!A144</f>
        <v>Thursday</v>
      </c>
      <c r="B143" s="28">
        <f>SCALARS!B144</f>
        <v>46219</v>
      </c>
      <c r="C143" s="61">
        <f>SCALARS!D144</f>
        <v>1842.3527999999999</v>
      </c>
      <c r="D143" s="61">
        <f t="shared" si="90"/>
        <v>1842.3905629950905</v>
      </c>
      <c r="E143" s="61">
        <f t="shared" si="91"/>
        <v>-3.7762995090588447E-2</v>
      </c>
      <c r="F143" s="71">
        <v>2347044747</v>
      </c>
      <c r="G143" s="19">
        <v>67370000</v>
      </c>
      <c r="H143" s="8">
        <v>36570.33</v>
      </c>
      <c r="I143" s="1">
        <v>5.4299999999999997E-4</v>
      </c>
      <c r="J143" s="47">
        <f>ARKB!H143</f>
        <v>64185.440000000002</v>
      </c>
      <c r="K143" s="8">
        <f t="shared" si="92"/>
        <v>36566.622383518756</v>
      </c>
      <c r="L143" s="1">
        <f t="shared" si="93"/>
        <v>5.4250000000000001E-4</v>
      </c>
      <c r="M143" s="1">
        <f t="shared" si="94"/>
        <v>5.4349999999999993E-4</v>
      </c>
      <c r="N143" s="46">
        <f t="shared" si="95"/>
        <v>1843.3179723502303</v>
      </c>
      <c r="O143" s="46">
        <f t="shared" si="96"/>
        <v>1839.9264029438825</v>
      </c>
      <c r="P143" s="58">
        <f t="shared" si="97"/>
        <v>1841.6206261510131</v>
      </c>
    </row>
    <row r="144" spans="1:16" ht="15" customHeight="1">
      <c r="A144" s="1" t="str">
        <f>SCALARS!A145</f>
        <v>Friday</v>
      </c>
      <c r="B144" s="28">
        <f>SCALARS!B145</f>
        <v>46220</v>
      </c>
      <c r="C144" s="61">
        <f>SCALARS!D145</f>
        <v>1842.3629000000001</v>
      </c>
      <c r="D144" s="61">
        <f t="shared" si="90"/>
        <v>1842.4008918241598</v>
      </c>
      <c r="E144" s="61">
        <f t="shared" si="91"/>
        <v>-3.7991824159689713E-2</v>
      </c>
      <c r="F144" s="71">
        <v>2343566921</v>
      </c>
      <c r="G144" s="19">
        <v>67370000</v>
      </c>
      <c r="H144" s="8">
        <v>36570.33</v>
      </c>
      <c r="I144" s="1">
        <v>5.4299999999999997E-4</v>
      </c>
      <c r="J144" s="47">
        <f>ARKB!H144</f>
        <v>64090.69</v>
      </c>
      <c r="K144" s="8">
        <f t="shared" si="92"/>
        <v>36566.417384490633</v>
      </c>
      <c r="L144" s="1">
        <f t="shared" si="93"/>
        <v>5.4250000000000001E-4</v>
      </c>
      <c r="M144" s="1">
        <f t="shared" si="94"/>
        <v>5.4349999999999993E-4</v>
      </c>
      <c r="N144" s="46">
        <f t="shared" si="95"/>
        <v>1843.3179723502303</v>
      </c>
      <c r="O144" s="46">
        <f t="shared" si="96"/>
        <v>1839.9264029438825</v>
      </c>
      <c r="P144" s="58">
        <f t="shared" si="97"/>
        <v>1841.6206261510131</v>
      </c>
    </row>
    <row r="145" spans="1:16" ht="15" customHeight="1">
      <c r="A145" s="1" t="str">
        <f>SCALARS!A146</f>
        <v>Saturday</v>
      </c>
      <c r="B145" s="28">
        <f>SCALARS!B146</f>
        <v>46221</v>
      </c>
      <c r="C145" s="61">
        <f>SCALARS!D146</f>
        <v>1842.373</v>
      </c>
      <c r="D145" s="61"/>
      <c r="E145" s="61"/>
      <c r="F145" s="71"/>
      <c r="G145" s="19"/>
      <c r="H145" s="8"/>
      <c r="J145" s="47"/>
      <c r="K145" s="8"/>
      <c r="N145" s="46"/>
      <c r="O145" s="46"/>
      <c r="P145" s="58"/>
    </row>
    <row r="146" spans="1:16" ht="15" customHeight="1">
      <c r="A146" s="1" t="str">
        <f>SCALARS!A147</f>
        <v>Sunday</v>
      </c>
      <c r="B146" s="28">
        <f>SCALARS!B147</f>
        <v>46222</v>
      </c>
      <c r="C146" s="61">
        <f>SCALARS!D147</f>
        <v>1842.3831</v>
      </c>
      <c r="D146" s="61"/>
      <c r="E146" s="61"/>
      <c r="F146" s="71"/>
      <c r="G146" s="19"/>
      <c r="H146" s="8"/>
      <c r="J146" s="47"/>
      <c r="K146" s="8"/>
      <c r="N146" s="46"/>
      <c r="O146" s="46"/>
      <c r="P146" s="58"/>
    </row>
    <row r="147" spans="1:16" ht="15" customHeight="1">
      <c r="A147" s="1" t="str">
        <f>SCALARS!A148</f>
        <v>Monday</v>
      </c>
      <c r="B147" s="28">
        <f>SCALARS!B148</f>
        <v>46223</v>
      </c>
      <c r="C147" s="61">
        <f>SCALARS!D148</f>
        <v>1842.3932</v>
      </c>
      <c r="D147" s="61">
        <f t="shared" si="90"/>
        <v>1842.4081259893717</v>
      </c>
      <c r="E147" s="61">
        <f t="shared" si="91"/>
        <v>-1.4925989371704418E-2</v>
      </c>
      <c r="F147" s="71">
        <v>2388858650</v>
      </c>
      <c r="G147" s="19">
        <v>67620000</v>
      </c>
      <c r="H147" s="8">
        <v>36706.03</v>
      </c>
      <c r="I147" s="1">
        <v>5.4299999999999997E-4</v>
      </c>
      <c r="J147" s="47">
        <f>ARKB!H147</f>
        <v>65088.03</v>
      </c>
      <c r="K147" s="8">
        <f t="shared" si="92"/>
        <v>36701.965783877618</v>
      </c>
      <c r="L147" s="1">
        <f t="shared" si="93"/>
        <v>5.4250000000000001E-4</v>
      </c>
      <c r="M147" s="1">
        <f t="shared" si="94"/>
        <v>5.4349999999999993E-4</v>
      </c>
      <c r="N147" s="46">
        <f t="shared" si="95"/>
        <v>1843.3179723502303</v>
      </c>
      <c r="O147" s="46">
        <f t="shared" si="96"/>
        <v>1839.9264029438825</v>
      </c>
      <c r="P147" s="58">
        <f t="shared" si="97"/>
        <v>1841.6206261510131</v>
      </c>
    </row>
    <row r="148" spans="1:16" ht="15" customHeight="1">
      <c r="A148" s="1" t="str">
        <f>SCALARS!A149</f>
        <v>Tuesday</v>
      </c>
      <c r="B148" s="28">
        <f>SCALARS!B149</f>
        <v>46224</v>
      </c>
      <c r="C148" s="61">
        <f>SCALARS!D149</f>
        <v>1842.4032999999999</v>
      </c>
      <c r="D148" s="61">
        <f t="shared" si="90"/>
        <v>1842.4144656474</v>
      </c>
      <c r="E148" s="61">
        <f t="shared" si="91"/>
        <v>-1.1165647400048329E-2</v>
      </c>
      <c r="F148" s="71">
        <v>2436036150</v>
      </c>
      <c r="G148" s="19">
        <v>67620000</v>
      </c>
      <c r="H148" s="8">
        <v>36706.03</v>
      </c>
      <c r="I148" s="1">
        <v>5.4299999999999997E-4</v>
      </c>
      <c r="J148" s="47">
        <f>ARKB!H148</f>
        <v>66373.679999999993</v>
      </c>
      <c r="K148" s="8">
        <f t="shared" si="92"/>
        <v>36701.839494209155</v>
      </c>
      <c r="L148" s="1">
        <f t="shared" si="93"/>
        <v>5.4250000000000001E-4</v>
      </c>
      <c r="M148" s="1">
        <f t="shared" si="94"/>
        <v>5.4349999999999993E-4</v>
      </c>
      <c r="N148" s="46">
        <f t="shared" si="95"/>
        <v>1843.3179723502303</v>
      </c>
      <c r="O148" s="46">
        <f t="shared" si="96"/>
        <v>1839.9264029438825</v>
      </c>
      <c r="P148" s="58">
        <f t="shared" si="97"/>
        <v>1841.6206261510131</v>
      </c>
    </row>
    <row r="149" spans="1:16" ht="15" customHeight="1">
      <c r="A149" s="1" t="str">
        <f>SCALARS!A150</f>
        <v>Wednesday</v>
      </c>
      <c r="B149" s="28">
        <f>SCALARS!B150</f>
        <v>46225</v>
      </c>
      <c r="C149" s="61">
        <f>SCALARS!D150</f>
        <v>1842.4133999999999</v>
      </c>
      <c r="D149" s="61">
        <f t="shared" si="90"/>
        <v>1842.4261832490847</v>
      </c>
      <c r="E149" s="61">
        <f t="shared" si="91"/>
        <v>-1.2783249084804993E-2</v>
      </c>
      <c r="F149" s="71">
        <v>2421788182</v>
      </c>
      <c r="G149" s="19">
        <v>67770000</v>
      </c>
      <c r="H149" s="8">
        <v>36787.440000000002</v>
      </c>
      <c r="I149" s="1">
        <v>5.4299999999999997E-4</v>
      </c>
      <c r="J149" s="47">
        <f>ARKB!H149</f>
        <v>65839.839999999997</v>
      </c>
      <c r="K149" s="8">
        <f t="shared" si="92"/>
        <v>36783.020462990193</v>
      </c>
      <c r="L149" s="1">
        <f t="shared" si="93"/>
        <v>5.4250000000000001E-4</v>
      </c>
      <c r="M149" s="1">
        <f t="shared" si="94"/>
        <v>5.4349999999999993E-4</v>
      </c>
      <c r="N149" s="46">
        <f t="shared" si="95"/>
        <v>1843.3179723502303</v>
      </c>
      <c r="O149" s="46">
        <f t="shared" si="96"/>
        <v>1839.9264029438825</v>
      </c>
      <c r="P149" s="58">
        <f t="shared" si="97"/>
        <v>1841.6206261510131</v>
      </c>
    </row>
    <row r="150" spans="1:16" ht="15" customHeight="1">
      <c r="A150" s="1" t="str">
        <f>SCALARS!A151</f>
        <v>Thursday</v>
      </c>
      <c r="B150" s="28">
        <f>SCALARS!B151</f>
        <v>46226</v>
      </c>
      <c r="C150" s="61">
        <f>SCALARS!D151</f>
        <v>1842.4235000000001</v>
      </c>
      <c r="D150" s="61">
        <f t="shared" si="90"/>
        <v>1842.4599822575951</v>
      </c>
      <c r="E150" s="61">
        <f t="shared" si="91"/>
        <v>-3.6482257595025658E-2</v>
      </c>
      <c r="F150" s="71">
        <v>2375322839</v>
      </c>
      <c r="G150" s="19">
        <v>67570000</v>
      </c>
      <c r="H150" s="8">
        <v>36678.89</v>
      </c>
      <c r="I150" s="1">
        <v>5.4299999999999997E-4</v>
      </c>
      <c r="J150" s="47">
        <f>ARKB!H150</f>
        <v>64768.94</v>
      </c>
      <c r="K150" s="8">
        <f t="shared" si="92"/>
        <v>36673.795170956939</v>
      </c>
      <c r="L150" s="1">
        <f t="shared" si="93"/>
        <v>5.4250000000000001E-4</v>
      </c>
      <c r="M150" s="1">
        <f t="shared" si="94"/>
        <v>5.4349999999999993E-4</v>
      </c>
      <c r="N150" s="46">
        <f t="shared" si="95"/>
        <v>1843.3179723502303</v>
      </c>
      <c r="O150" s="46">
        <f t="shared" si="96"/>
        <v>1839.9264029438825</v>
      </c>
      <c r="P150" s="58">
        <f t="shared" si="97"/>
        <v>1841.6206261510131</v>
      </c>
    </row>
    <row r="151" spans="1:16" ht="15" customHeight="1">
      <c r="A151" s="1" t="str">
        <f>SCALARS!A152</f>
        <v>Friday</v>
      </c>
      <c r="B151" s="28">
        <f>SCALARS!B152</f>
        <v>46227</v>
      </c>
      <c r="C151" s="61">
        <f>SCALARS!D152</f>
        <v>1842.4336000000001</v>
      </c>
      <c r="D151" s="61">
        <f t="shared" si="90"/>
        <v>1842.4722506505623</v>
      </c>
      <c r="E151" s="61">
        <f t="shared" si="91"/>
        <v>-3.8650650562203737E-2</v>
      </c>
      <c r="F151" s="71">
        <v>2352681642</v>
      </c>
      <c r="G151" s="19">
        <v>67570000</v>
      </c>
      <c r="H151" s="8">
        <v>36678.89</v>
      </c>
      <c r="I151" s="1">
        <v>5.4299999999999997E-4</v>
      </c>
      <c r="J151" s="47">
        <f>ARKB!H151</f>
        <v>64152</v>
      </c>
      <c r="K151" s="8">
        <f t="shared" si="92"/>
        <v>36673.55097268986</v>
      </c>
      <c r="L151" s="1">
        <f t="shared" si="93"/>
        <v>5.4250000000000001E-4</v>
      </c>
      <c r="M151" s="1">
        <f t="shared" si="94"/>
        <v>5.4349999999999993E-4</v>
      </c>
      <c r="N151" s="46">
        <f t="shared" si="95"/>
        <v>1843.3179723502303</v>
      </c>
      <c r="O151" s="46">
        <f t="shared" si="96"/>
        <v>1839.9264029438825</v>
      </c>
      <c r="P151" s="58">
        <f t="shared" si="97"/>
        <v>1841.6206261510131</v>
      </c>
    </row>
    <row r="152" spans="1:16" ht="15" customHeight="1">
      <c r="A152" s="1" t="str">
        <f>SCALARS!A153</f>
        <v>Saturday</v>
      </c>
      <c r="B152" s="28">
        <f>SCALARS!B153</f>
        <v>46228</v>
      </c>
      <c r="C152" s="61">
        <f>SCALARS!D153</f>
        <v>1842.4437</v>
      </c>
      <c r="D152" s="61"/>
      <c r="E152" s="61"/>
      <c r="F152" s="71"/>
      <c r="G152" s="19"/>
      <c r="H152" s="8"/>
      <c r="J152" s="47"/>
      <c r="K152" s="8"/>
      <c r="N152" s="46"/>
      <c r="O152" s="46"/>
      <c r="P152" s="58"/>
    </row>
    <row r="153" spans="1:16" ht="15" customHeight="1">
      <c r="A153" s="1" t="str">
        <f>SCALARS!A154</f>
        <v>Sunday</v>
      </c>
      <c r="B153" s="28">
        <f>SCALARS!B154</f>
        <v>46229</v>
      </c>
      <c r="C153" s="61">
        <f>SCALARS!D154</f>
        <v>1842.4538</v>
      </c>
      <c r="D153" s="61"/>
      <c r="E153" s="61"/>
      <c r="F153" s="71"/>
      <c r="G153" s="19"/>
      <c r="H153" s="8"/>
      <c r="J153" s="47"/>
      <c r="K153" s="8"/>
      <c r="N153" s="46"/>
      <c r="O153" s="46"/>
      <c r="P153" s="58"/>
    </row>
    <row r="154" spans="1:16" ht="15" customHeight="1">
      <c r="A154" s="1" t="str">
        <f>SCALARS!A155</f>
        <v>Monday</v>
      </c>
      <c r="B154" s="28">
        <f>SCALARS!B155</f>
        <v>46230</v>
      </c>
      <c r="C154" s="61">
        <f>SCALARS!D155</f>
        <v>1842.4639</v>
      </c>
      <c r="D154" s="172"/>
      <c r="E154" s="172"/>
      <c r="F154" s="172"/>
      <c r="G154" s="172"/>
      <c r="H154" s="172"/>
      <c r="I154" s="172"/>
      <c r="J154" s="47">
        <f>ARKB!H154</f>
        <v>64894.12</v>
      </c>
      <c r="K154" s="172"/>
      <c r="L154" s="1">
        <f t="shared" si="93"/>
        <v>-4.9999999999999998E-7</v>
      </c>
      <c r="M154" s="1">
        <f t="shared" si="94"/>
        <v>4.9999999999999998E-7</v>
      </c>
      <c r="N154" s="46">
        <f t="shared" si="95"/>
        <v>-2000000</v>
      </c>
      <c r="O154" s="46">
        <f t="shared" si="96"/>
        <v>2000000</v>
      </c>
      <c r="P154" s="58" t="e">
        <f t="shared" si="97"/>
        <v>#DIV/0!</v>
      </c>
    </row>
    <row r="155" spans="1:16" ht="15" customHeight="1">
      <c r="A155" s="1" t="str">
        <f>SCALARS!A156</f>
        <v>Tuesday</v>
      </c>
      <c r="B155" s="28">
        <f>SCALARS!B156</f>
        <v>46231</v>
      </c>
      <c r="C155" s="61">
        <f>SCALARS!D156</f>
        <v>1842.4739999999999</v>
      </c>
      <c r="D155" s="61">
        <f t="shared" ref="D155:D158" si="98">G155/K155</f>
        <v>1842.4944591056365</v>
      </c>
      <c r="E155" s="61">
        <f t="shared" ref="E155:E158" si="99">C155-D155</f>
        <v>-2.0459105636518871E-2</v>
      </c>
      <c r="F155" s="71">
        <v>2336150385</v>
      </c>
      <c r="G155" s="19">
        <v>67570000</v>
      </c>
      <c r="H155" s="8">
        <v>36678.89</v>
      </c>
      <c r="I155" s="1">
        <v>5.4299999999999997E-4</v>
      </c>
      <c r="J155" s="47">
        <f>ARKB!H155</f>
        <v>63702</v>
      </c>
      <c r="K155" s="8">
        <f t="shared" ref="K155:K158" si="100">F155/J155</f>
        <v>36673.108929076014</v>
      </c>
      <c r="L155" s="1">
        <f t="shared" ref="L155:L158" si="101">I155-0.0000005</f>
        <v>5.4250000000000001E-4</v>
      </c>
      <c r="M155" s="1">
        <f t="shared" ref="M155:M158" si="102">I155+0.0000005</f>
        <v>5.4349999999999993E-4</v>
      </c>
      <c r="N155" s="46">
        <f t="shared" ref="N155:N158" si="103">1/L155</f>
        <v>1843.3179723502303</v>
      </c>
      <c r="O155" s="46">
        <f t="shared" ref="O155:O158" si="104">1/M155</f>
        <v>1839.9264029438825</v>
      </c>
      <c r="P155" s="58">
        <f t="shared" ref="P155:P158" si="105">1/I155</f>
        <v>1841.6206261510131</v>
      </c>
    </row>
    <row r="156" spans="1:16" ht="15" customHeight="1">
      <c r="A156" s="1" t="str">
        <f>SCALARS!A157</f>
        <v>Wednesday</v>
      </c>
      <c r="B156" s="28">
        <f>SCALARS!B157</f>
        <v>46232</v>
      </c>
      <c r="C156" s="61">
        <f>SCALARS!D157</f>
        <v>1842.4840999999999</v>
      </c>
      <c r="D156" s="61">
        <f t="shared" si="98"/>
        <v>1842.5034228678492</v>
      </c>
      <c r="E156" s="61">
        <f t="shared" si="99"/>
        <v>-1.9322867849268732E-2</v>
      </c>
      <c r="F156" s="71">
        <v>2345617872</v>
      </c>
      <c r="G156" s="19">
        <v>67570000</v>
      </c>
      <c r="H156" s="8">
        <v>36678.89</v>
      </c>
      <c r="I156" s="1">
        <v>5.4299999999999997E-4</v>
      </c>
      <c r="J156" s="47">
        <f>ARKB!H156</f>
        <v>63960.47</v>
      </c>
      <c r="K156" s="8">
        <f t="shared" si="100"/>
        <v>36672.93051473824</v>
      </c>
      <c r="L156" s="1">
        <f t="shared" si="101"/>
        <v>5.4250000000000001E-4</v>
      </c>
      <c r="M156" s="1">
        <f t="shared" si="102"/>
        <v>5.4349999999999993E-4</v>
      </c>
      <c r="N156" s="46">
        <f t="shared" si="103"/>
        <v>1843.3179723502303</v>
      </c>
      <c r="O156" s="46">
        <f t="shared" si="104"/>
        <v>1839.9264029438825</v>
      </c>
      <c r="P156" s="58">
        <f t="shared" si="105"/>
        <v>1841.6206261510131</v>
      </c>
    </row>
    <row r="157" spans="1:16" ht="15" customHeight="1">
      <c r="A157" s="1" t="str">
        <f>SCALARS!A158</f>
        <v>Thursday</v>
      </c>
      <c r="B157" s="28">
        <f>SCALARS!B158</f>
        <v>46233</v>
      </c>
      <c r="C157" s="61">
        <f>SCALARS!D158</f>
        <v>1842.4942000000001</v>
      </c>
      <c r="D157" s="61" t="e">
        <f t="shared" si="98"/>
        <v>#DIV/0!</v>
      </c>
      <c r="E157" s="61" t="e">
        <f t="shared" si="99"/>
        <v>#DIV/0!</v>
      </c>
      <c r="F157" s="71"/>
      <c r="G157" s="19"/>
      <c r="H157" s="8"/>
      <c r="J157" s="47">
        <f>ARKB!H157</f>
        <v>0</v>
      </c>
      <c r="K157" s="8" t="e">
        <f t="shared" si="100"/>
        <v>#DIV/0!</v>
      </c>
      <c r="L157" s="1">
        <f t="shared" si="101"/>
        <v>-4.9999999999999998E-7</v>
      </c>
      <c r="M157" s="1">
        <f t="shared" si="102"/>
        <v>4.9999999999999998E-7</v>
      </c>
      <c r="N157" s="46">
        <f t="shared" si="103"/>
        <v>-2000000</v>
      </c>
      <c r="O157" s="46">
        <f t="shared" si="104"/>
        <v>2000000</v>
      </c>
      <c r="P157" s="58" t="e">
        <f t="shared" si="105"/>
        <v>#DIV/0!</v>
      </c>
    </row>
    <row r="158" spans="1:16" ht="15" customHeight="1">
      <c r="A158" s="1" t="str">
        <f>SCALARS!A159</f>
        <v>Friday</v>
      </c>
      <c r="B158" s="28">
        <f>SCALARS!B159</f>
        <v>46234</v>
      </c>
      <c r="C158" s="61">
        <f>SCALARS!D159</f>
        <v>1842.5043000000001</v>
      </c>
      <c r="D158" s="61" t="e">
        <f t="shared" si="98"/>
        <v>#DIV/0!</v>
      </c>
      <c r="E158" s="61" t="e">
        <f t="shared" si="99"/>
        <v>#DIV/0!</v>
      </c>
      <c r="F158" s="71"/>
      <c r="G158" s="19"/>
      <c r="H158" s="8"/>
      <c r="J158" s="47">
        <f>ARKB!H158</f>
        <v>0</v>
      </c>
      <c r="K158" s="8" t="e">
        <f t="shared" si="100"/>
        <v>#DIV/0!</v>
      </c>
      <c r="L158" s="1">
        <f t="shared" si="101"/>
        <v>-4.9999999999999998E-7</v>
      </c>
      <c r="M158" s="1">
        <f t="shared" si="102"/>
        <v>4.9999999999999998E-7</v>
      </c>
      <c r="N158" s="46">
        <f t="shared" si="103"/>
        <v>-2000000</v>
      </c>
      <c r="O158" s="46">
        <f t="shared" si="104"/>
        <v>2000000</v>
      </c>
      <c r="P158" s="58" t="e">
        <f t="shared" si="105"/>
        <v>#DIV/0!</v>
      </c>
    </row>
  </sheetData>
  <hyperlinks>
    <hyperlink ref="A1" r:id="rId1" xr:uid="{9269BDEA-EDBE-43A9-8647-F3ABAE200A62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D0C4-5BE5-463B-84AF-E0FD11AFB9AA}">
  <sheetPr codeName="Sheet10">
    <tabColor theme="2" tint="-9.9978637043366805E-2"/>
  </sheetPr>
  <dimension ref="A1:Q159"/>
  <sheetViews>
    <sheetView zoomScale="80" zoomScaleNormal="80" workbookViewId="0">
      <pane xSplit="5" ySplit="5" topLeftCell="F91" activePane="bottomRight" state="frozen"/>
      <selection pane="topRight" activeCell="F1" sqref="F1"/>
      <selection pane="bottomLeft" activeCell="A6" sqref="A6"/>
      <selection pane="bottomRight" activeCell="Q151" sqref="Q151"/>
    </sheetView>
  </sheetViews>
  <sheetFormatPr defaultColWidth="16.28515625" defaultRowHeight="15" customHeight="1"/>
  <cols>
    <col min="1" max="1" width="15.85546875" customWidth="1"/>
    <col min="2" max="2" width="10.28515625" bestFit="1" customWidth="1"/>
    <col min="3" max="4" width="13.7109375" bestFit="1" customWidth="1"/>
    <col min="5" max="5" width="11.85546875" style="57" bestFit="1" customWidth="1"/>
    <col min="6" max="6" width="15.140625" bestFit="1" customWidth="1"/>
    <col min="7" max="7" width="11.28515625" bestFit="1" customWidth="1"/>
    <col min="8" max="8" width="13.42578125" bestFit="1" customWidth="1"/>
    <col min="9" max="9" width="19.5703125" bestFit="1" customWidth="1"/>
    <col min="10" max="10" width="13.7109375" bestFit="1" customWidth="1"/>
    <col min="11" max="11" width="17" bestFit="1" customWidth="1"/>
    <col min="12" max="12" width="19.140625" bestFit="1" customWidth="1"/>
    <col min="13" max="13" width="10.140625" customWidth="1"/>
    <col min="14" max="14" width="16.28515625" style="81" bestFit="1" customWidth="1"/>
    <col min="15" max="15" width="11.7109375" style="67" bestFit="1" customWidth="1"/>
    <col min="16" max="16" width="11.7109375" style="67" customWidth="1"/>
    <col min="17" max="17" width="11.42578125" style="82" bestFit="1" customWidth="1"/>
  </cols>
  <sheetData>
    <row r="1" spans="1:17" ht="15" customHeight="1">
      <c r="A1" s="5" t="s">
        <v>14</v>
      </c>
      <c r="E1"/>
      <c r="M1" s="84"/>
      <c r="O1" s="81"/>
      <c r="P1" s="81"/>
      <c r="Q1" s="81"/>
    </row>
    <row r="2" spans="1:17" ht="15" customHeight="1">
      <c r="A2" s="5"/>
      <c r="E2"/>
      <c r="M2" s="84"/>
      <c r="O2" s="81"/>
      <c r="P2" s="81"/>
      <c r="Q2" s="81"/>
    </row>
    <row r="3" spans="1:17" ht="15" customHeight="1">
      <c r="A3" s="5"/>
      <c r="M3" s="85"/>
    </row>
    <row r="4" spans="1:17" ht="15" customHeight="1">
      <c r="A4" s="5"/>
    </row>
    <row r="5" spans="1:17" s="1" customFormat="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44" t="s">
        <v>65</v>
      </c>
      <c r="G5" s="21" t="s">
        <v>63</v>
      </c>
      <c r="H5" s="21" t="s">
        <v>56</v>
      </c>
      <c r="I5" s="21" t="s">
        <v>0</v>
      </c>
      <c r="J5" s="21" t="s">
        <v>77</v>
      </c>
      <c r="K5" s="22" t="s">
        <v>9</v>
      </c>
      <c r="L5" s="45" t="s">
        <v>66</v>
      </c>
      <c r="M5" s="4"/>
      <c r="N5" s="83"/>
      <c r="O5" s="83"/>
      <c r="P5" s="83"/>
      <c r="Q5" s="83"/>
    </row>
    <row r="6" spans="1:17" s="1" customFormat="1" ht="15" customHeight="1">
      <c r="A6" s="1" t="str">
        <f>SCALARS!A7</f>
        <v>Sunday</v>
      </c>
      <c r="B6" s="28">
        <f>SCALARS!B7</f>
        <v>46082</v>
      </c>
      <c r="C6" s="61">
        <f>SCALARS!E7</f>
        <v>3543.8163</v>
      </c>
      <c r="D6" s="61"/>
      <c r="E6" s="61"/>
      <c r="F6" s="46"/>
      <c r="G6" s="8"/>
      <c r="H6" s="47"/>
      <c r="I6" s="3"/>
      <c r="J6" s="3"/>
      <c r="K6" s="19"/>
      <c r="L6" s="20"/>
      <c r="M6" s="4"/>
      <c r="N6" s="67"/>
      <c r="O6" s="67"/>
      <c r="P6" s="67"/>
      <c r="Q6" s="82"/>
    </row>
    <row r="7" spans="1:17" s="1" customFormat="1" ht="15" customHeight="1">
      <c r="A7" s="1" t="str">
        <f>SCALARS!A8</f>
        <v>Monday</v>
      </c>
      <c r="B7" s="28">
        <f>SCALARS!B8</f>
        <v>46083</v>
      </c>
      <c r="C7" s="61">
        <f>SCALARS!E8</f>
        <v>3543.8406</v>
      </c>
      <c r="D7" s="61"/>
      <c r="E7" s="61"/>
      <c r="F7" s="46"/>
      <c r="G7" s="8"/>
      <c r="H7" s="47"/>
      <c r="I7" s="3"/>
      <c r="J7" s="3"/>
      <c r="K7" s="19"/>
      <c r="L7" s="20"/>
      <c r="M7" s="4"/>
      <c r="N7" s="67"/>
      <c r="O7" s="67"/>
      <c r="P7" s="67"/>
      <c r="Q7" s="82"/>
    </row>
    <row r="8" spans="1:17" s="1" customFormat="1" ht="15" customHeight="1">
      <c r="A8" s="1" t="str">
        <f>SCALARS!A9</f>
        <v>Tuesday</v>
      </c>
      <c r="B8" s="28">
        <f>SCALARS!B9</f>
        <v>46084</v>
      </c>
      <c r="C8" s="61">
        <f>SCALARS!E9</f>
        <v>3543.8649</v>
      </c>
      <c r="D8" s="61"/>
      <c r="E8" s="61"/>
      <c r="F8" s="46"/>
      <c r="G8" s="8"/>
      <c r="H8" s="47"/>
      <c r="I8" s="3"/>
      <c r="J8" s="3"/>
      <c r="K8" s="19"/>
      <c r="L8" s="20"/>
      <c r="M8" s="4"/>
      <c r="N8" s="67"/>
      <c r="O8" s="67"/>
      <c r="P8" s="67"/>
      <c r="Q8" s="82"/>
    </row>
    <row r="9" spans="1:17" s="1" customFormat="1" ht="15" customHeight="1">
      <c r="A9" s="1" t="str">
        <f>SCALARS!A10</f>
        <v>Wednesday</v>
      </c>
      <c r="B9" s="28">
        <f>SCALARS!B10</f>
        <v>46085</v>
      </c>
      <c r="C9" s="61">
        <f>SCALARS!E10</f>
        <v>3543.8892000000001</v>
      </c>
      <c r="D9" s="61"/>
      <c r="E9" s="61"/>
      <c r="F9" s="46"/>
      <c r="G9" s="8"/>
      <c r="H9" s="47"/>
      <c r="I9" s="3"/>
      <c r="J9" s="3"/>
      <c r="K9" s="19"/>
      <c r="L9" s="20"/>
      <c r="M9" s="4"/>
      <c r="N9" s="67"/>
      <c r="O9" s="67"/>
      <c r="P9" s="67"/>
      <c r="Q9" s="82"/>
    </row>
    <row r="10" spans="1:17" s="1" customFormat="1" ht="15" customHeight="1">
      <c r="A10" s="1" t="str">
        <f>SCALARS!A11</f>
        <v>Thursday</v>
      </c>
      <c r="B10" s="28">
        <f>SCALARS!B11</f>
        <v>46086</v>
      </c>
      <c r="C10" s="61">
        <f>SCALARS!E11</f>
        <v>3543.9135000000001</v>
      </c>
      <c r="D10" s="61"/>
      <c r="E10" s="61"/>
      <c r="F10" s="58"/>
      <c r="G10" s="8"/>
      <c r="H10" s="47"/>
      <c r="I10" s="3"/>
      <c r="J10" s="3"/>
      <c r="K10" s="19"/>
      <c r="L10" s="20"/>
      <c r="M10" s="4"/>
      <c r="N10" s="67"/>
      <c r="O10" s="67"/>
      <c r="P10" s="67"/>
      <c r="Q10" s="82"/>
    </row>
    <row r="11" spans="1:17" s="1" customFormat="1" ht="15" customHeight="1">
      <c r="A11" s="1" t="str">
        <f>SCALARS!A12</f>
        <v>Friday</v>
      </c>
      <c r="B11" s="28">
        <f>SCALARS!B12</f>
        <v>46087</v>
      </c>
      <c r="C11" s="61">
        <f>SCALARS!E12</f>
        <v>3543.9378000000002</v>
      </c>
      <c r="D11" s="61"/>
      <c r="E11" s="61"/>
      <c r="F11" s="58"/>
      <c r="G11" s="8"/>
      <c r="H11" s="47"/>
      <c r="I11" s="3"/>
      <c r="J11" s="3"/>
      <c r="K11" s="19"/>
      <c r="L11" s="20"/>
      <c r="M11" s="4"/>
      <c r="N11" s="67"/>
      <c r="O11" s="67"/>
      <c r="P11" s="67"/>
      <c r="Q11" s="82"/>
    </row>
    <row r="12" spans="1:17" s="1" customFormat="1" ht="15" customHeight="1">
      <c r="A12" s="1" t="str">
        <f>SCALARS!A13</f>
        <v>Saturday</v>
      </c>
      <c r="B12" s="28">
        <f>SCALARS!B13</f>
        <v>46088</v>
      </c>
      <c r="C12" s="61">
        <f>SCALARS!E13</f>
        <v>3543.9621000000002</v>
      </c>
      <c r="D12" s="61"/>
      <c r="E12" s="61"/>
      <c r="F12" s="58"/>
      <c r="G12" s="8"/>
      <c r="H12" s="47"/>
      <c r="I12" s="3"/>
      <c r="J12" s="3"/>
      <c r="K12" s="19"/>
      <c r="L12" s="20"/>
      <c r="M12" s="14"/>
      <c r="N12" s="67"/>
      <c r="O12" s="67"/>
      <c r="P12" s="67"/>
      <c r="Q12" s="82"/>
    </row>
    <row r="13" spans="1:17" ht="15" customHeight="1">
      <c r="A13" s="1" t="str">
        <f>SCALARS!A14</f>
        <v>Sunday</v>
      </c>
      <c r="B13" s="28">
        <f>SCALARS!B14</f>
        <v>46089</v>
      </c>
      <c r="C13" s="61">
        <f>SCALARS!E14</f>
        <v>3543.9863999999998</v>
      </c>
      <c r="D13" s="61"/>
      <c r="E13" s="61"/>
      <c r="F13" s="58"/>
      <c r="G13" s="8"/>
      <c r="H13" s="47"/>
      <c r="I13" s="3"/>
      <c r="J13" s="3"/>
      <c r="K13" s="19"/>
      <c r="L13" s="20"/>
      <c r="N13" s="67"/>
    </row>
    <row r="14" spans="1:17" ht="15" customHeight="1">
      <c r="A14" s="1" t="str">
        <f>SCALARS!A15</f>
        <v>Monday</v>
      </c>
      <c r="B14" s="28">
        <f>SCALARS!B15</f>
        <v>46090</v>
      </c>
      <c r="C14" s="61">
        <f>SCALARS!E15</f>
        <v>3544.0106999999998</v>
      </c>
      <c r="D14" s="61">
        <f>K14/G14</f>
        <v>3544.0383896017993</v>
      </c>
      <c r="E14" s="61">
        <f>C14-D14</f>
        <v>-2.7689601799465891E-2</v>
      </c>
      <c r="F14" s="60"/>
      <c r="G14" s="8">
        <v>6228.77</v>
      </c>
      <c r="H14" s="47">
        <v>68865.77</v>
      </c>
      <c r="I14" s="3">
        <v>433032726.38</v>
      </c>
      <c r="J14" s="3"/>
      <c r="K14" s="19">
        <v>22075000</v>
      </c>
      <c r="L14" s="20"/>
      <c r="N14" s="67"/>
    </row>
    <row r="15" spans="1:17" ht="15" customHeight="1">
      <c r="A15" s="1" t="str">
        <f>SCALARS!A16</f>
        <v>Tuesday</v>
      </c>
      <c r="B15" s="28">
        <f>SCALARS!B16</f>
        <v>46091</v>
      </c>
      <c r="C15" s="61">
        <f>SCALARS!E16</f>
        <v>3544.0349999999999</v>
      </c>
      <c r="D15" s="61">
        <f>K15/G15</f>
        <v>3544.0611489019434</v>
      </c>
      <c r="E15" s="61">
        <f t="shared" ref="E15:E17" si="0">C15-D15</f>
        <v>-2.6148901943543024E-2</v>
      </c>
      <c r="F15" s="58">
        <f>K15/L15</f>
        <v>3544.0374421849665</v>
      </c>
      <c r="G15" s="8">
        <v>6228.73</v>
      </c>
      <c r="H15" s="47">
        <v>70019.350000000006</v>
      </c>
      <c r="I15" s="3">
        <v>436134543.29000002</v>
      </c>
      <c r="J15" s="3"/>
      <c r="K15" s="19">
        <v>22075000</v>
      </c>
      <c r="L15" s="20">
        <f>I15/H15</f>
        <v>6228.7716651182845</v>
      </c>
      <c r="N15" s="67"/>
    </row>
    <row r="16" spans="1:17" ht="15" customHeight="1">
      <c r="A16" s="1" t="str">
        <f>SCALARS!A17</f>
        <v>Wednesday</v>
      </c>
      <c r="B16" s="28">
        <f>SCALARS!B17</f>
        <v>46092</v>
      </c>
      <c r="C16" s="61">
        <f>SCALARS!E17</f>
        <v>3544.0592999999999</v>
      </c>
      <c r="D16" s="61">
        <f>K16/G16</f>
        <v>3544.0839084944027</v>
      </c>
      <c r="E16" s="61">
        <f t="shared" si="0"/>
        <v>-2.4608494402855285E-2</v>
      </c>
      <c r="F16" s="58">
        <f>K16/L16</f>
        <v>3544.0617165460849</v>
      </c>
      <c r="G16" s="8">
        <v>6228.69</v>
      </c>
      <c r="H16" s="47">
        <v>70600.429999999993</v>
      </c>
      <c r="I16" s="3">
        <v>439750945.92000002</v>
      </c>
      <c r="J16" s="3"/>
      <c r="K16" s="19">
        <v>22075000</v>
      </c>
      <c r="L16" s="20">
        <f>I16/H16</f>
        <v>6228.7290023587684</v>
      </c>
      <c r="N16" s="67"/>
    </row>
    <row r="17" spans="1:14" ht="15" customHeight="1">
      <c r="A17" s="1" t="str">
        <f>SCALARS!A18</f>
        <v>Thursday</v>
      </c>
      <c r="B17" s="28">
        <f>SCALARS!B18</f>
        <v>46093</v>
      </c>
      <c r="C17" s="61">
        <f>SCALARS!E18</f>
        <v>3544.0835999999999</v>
      </c>
      <c r="D17" s="61">
        <f>K17/G17</f>
        <v>3544.1123583960543</v>
      </c>
      <c r="E17" s="61">
        <f t="shared" si="0"/>
        <v>-2.8758396054399782E-2</v>
      </c>
      <c r="F17" s="58">
        <f>K17/L17</f>
        <v>3544.0859911023613</v>
      </c>
      <c r="G17" s="8">
        <v>6228.64</v>
      </c>
      <c r="H17" s="47">
        <v>70182.710000000006</v>
      </c>
      <c r="I17" s="3">
        <v>437146087.06999999</v>
      </c>
      <c r="J17" s="3"/>
      <c r="K17" s="19">
        <v>22075000</v>
      </c>
      <c r="L17" s="20">
        <f>I17/H17</f>
        <v>6228.6863398406813</v>
      </c>
      <c r="N17" s="67"/>
    </row>
    <row r="18" spans="1:14" ht="15" customHeight="1">
      <c r="A18" s="1" t="str">
        <f>SCALARS!A19</f>
        <v>Friday</v>
      </c>
      <c r="B18" s="28">
        <f>SCALARS!B19</f>
        <v>46094</v>
      </c>
      <c r="C18" s="61">
        <f>SCALARS!E19</f>
        <v>3544.1079</v>
      </c>
      <c r="D18" s="61"/>
      <c r="E18" s="61"/>
      <c r="F18" s="58"/>
      <c r="G18" s="7"/>
      <c r="H18" s="47"/>
      <c r="I18" s="3"/>
      <c r="J18" s="3"/>
      <c r="K18" s="19"/>
      <c r="L18" s="20"/>
      <c r="N18" s="67"/>
    </row>
    <row r="19" spans="1:14" ht="15" customHeight="1">
      <c r="A19" s="1" t="str">
        <f>SCALARS!A20</f>
        <v>Saturday</v>
      </c>
      <c r="B19" s="28">
        <f>SCALARS!B20</f>
        <v>46095</v>
      </c>
      <c r="C19" s="61">
        <f>SCALARS!E20</f>
        <v>3544.1322</v>
      </c>
      <c r="D19" s="61"/>
      <c r="E19" s="61"/>
      <c r="F19" s="58"/>
      <c r="G19" s="8"/>
      <c r="H19" s="47"/>
      <c r="I19" s="3"/>
      <c r="J19" s="3"/>
      <c r="K19" s="19"/>
      <c r="L19" s="20"/>
      <c r="N19" s="67"/>
    </row>
    <row r="20" spans="1:14" ht="15" customHeight="1">
      <c r="A20" s="1" t="str">
        <f>SCALARS!A21</f>
        <v>Sunday</v>
      </c>
      <c r="B20" s="28">
        <f>SCALARS!B21</f>
        <v>46096</v>
      </c>
      <c r="C20" s="61">
        <f>SCALARS!E21</f>
        <v>3544.1565000000001</v>
      </c>
      <c r="D20" s="61"/>
      <c r="E20" s="61"/>
      <c r="F20" s="58"/>
      <c r="G20" s="8"/>
      <c r="H20" s="47"/>
      <c r="I20" s="3"/>
      <c r="J20" s="3"/>
      <c r="K20" s="19"/>
      <c r="L20" s="20"/>
      <c r="N20" s="67"/>
    </row>
    <row r="21" spans="1:14" ht="15" customHeight="1">
      <c r="A21" s="1" t="str">
        <f>SCALARS!A22</f>
        <v>Monday</v>
      </c>
      <c r="B21" s="28">
        <f>SCALARS!B22</f>
        <v>46097</v>
      </c>
      <c r="C21" s="61">
        <f>SCALARS!E22</f>
        <v>3544.1808000000001</v>
      </c>
      <c r="D21" s="61"/>
      <c r="E21" s="61"/>
      <c r="F21" s="58"/>
      <c r="G21" s="64">
        <v>6228.52</v>
      </c>
      <c r="H21" s="47">
        <f>ARKB!H21</f>
        <v>74073.23</v>
      </c>
      <c r="I21" s="3">
        <v>461366275.38999999</v>
      </c>
      <c r="J21" s="3"/>
      <c r="K21" s="19"/>
      <c r="L21" s="20"/>
      <c r="N21" s="67"/>
    </row>
    <row r="22" spans="1:14" ht="15" customHeight="1">
      <c r="A22" s="1" t="str">
        <f>SCALARS!A23</f>
        <v>Tuesday</v>
      </c>
      <c r="B22" s="28">
        <f>SCALARS!B23</f>
        <v>46098</v>
      </c>
      <c r="C22" s="61">
        <f>SCALARS!E23</f>
        <v>3544.2051000000001</v>
      </c>
      <c r="D22" s="61">
        <f>K22/G22</f>
        <v>3544.2062815961795</v>
      </c>
      <c r="E22" s="61">
        <f t="shared" ref="E22:E24" si="1">C22-D22</f>
        <v>-1.1815961793217866E-3</v>
      </c>
      <c r="F22" s="58">
        <f>K22/L22</f>
        <v>3544.1906420604878</v>
      </c>
      <c r="G22" s="64">
        <v>6256.69</v>
      </c>
      <c r="H22" s="47">
        <f>ARKB!H22</f>
        <v>74681.960000000006</v>
      </c>
      <c r="I22" s="3">
        <v>463455282.5</v>
      </c>
      <c r="J22" s="3"/>
      <c r="K22" s="19">
        <v>22175000</v>
      </c>
      <c r="L22" s="20">
        <f>I22/H21</f>
        <v>6256.7176090471557</v>
      </c>
      <c r="N22" s="67"/>
    </row>
    <row r="23" spans="1:14" ht="15" customHeight="1">
      <c r="A23" s="1" t="str">
        <f>SCALARS!A24</f>
        <v>Wednesday</v>
      </c>
      <c r="B23" s="28">
        <f>SCALARS!B24</f>
        <v>46099</v>
      </c>
      <c r="C23" s="61">
        <f>SCALARS!E24</f>
        <v>3544.2294000000002</v>
      </c>
      <c r="D23" s="61">
        <f>K23/G23</f>
        <v>3544.2289404074068</v>
      </c>
      <c r="E23" s="61">
        <f t="shared" si="1"/>
        <v>4.5959259341543657E-4</v>
      </c>
      <c r="F23" s="58">
        <f t="shared" ref="F23:F25" si="2">K23/L23</f>
        <v>3544.1997760018226</v>
      </c>
      <c r="G23" s="64">
        <v>6256.65</v>
      </c>
      <c r="H23" s="47">
        <f>ARKB!H23</f>
        <v>71208.94</v>
      </c>
      <c r="I23" s="3">
        <v>467262730</v>
      </c>
      <c r="J23" s="3"/>
      <c r="K23" s="19">
        <v>22175000</v>
      </c>
      <c r="L23" s="20">
        <f t="shared" ref="L23:L25" si="3">I23/H22</f>
        <v>6256.7014845352205</v>
      </c>
      <c r="N23" s="67"/>
    </row>
    <row r="24" spans="1:14" ht="15" customHeight="1">
      <c r="A24" s="1" t="str">
        <f>SCALARS!A25</f>
        <v>Thursday</v>
      </c>
      <c r="B24" s="28">
        <f>SCALARS!B25</f>
        <v>46100</v>
      </c>
      <c r="C24" s="61">
        <f>SCALARS!E25</f>
        <v>3544.2537000000002</v>
      </c>
      <c r="D24" s="61">
        <f>K24/G24</f>
        <v>3544.2535803546634</v>
      </c>
      <c r="E24" s="61">
        <f t="shared" si="1"/>
        <v>1.1964533678110456E-4</v>
      </c>
      <c r="F24" s="58">
        <f t="shared" si="2"/>
        <v>3544.2321379687928</v>
      </c>
      <c r="G24" s="64">
        <v>6301.75</v>
      </c>
      <c r="H24" s="47">
        <f>ARKB!H24</f>
        <v>70292.52</v>
      </c>
      <c r="I24" s="3">
        <v>448743652.5</v>
      </c>
      <c r="J24" s="3"/>
      <c r="K24" s="19">
        <v>22335000</v>
      </c>
      <c r="L24" s="20">
        <f t="shared" si="3"/>
        <v>6301.7881251988865</v>
      </c>
      <c r="N24" s="67"/>
    </row>
    <row r="25" spans="1:14" ht="15" customHeight="1">
      <c r="A25" s="1" t="str">
        <f>SCALARS!A26</f>
        <v>Friday</v>
      </c>
      <c r="B25" s="28">
        <f>SCALARS!B26</f>
        <v>46101</v>
      </c>
      <c r="C25" s="61">
        <f>SCALARS!E26</f>
        <v>3544.2779999999998</v>
      </c>
      <c r="D25" s="61">
        <f>K25/G25</f>
        <v>3544.2817017630164</v>
      </c>
      <c r="E25" s="61"/>
      <c r="F25" s="58">
        <f t="shared" si="2"/>
        <v>3544.2559799927399</v>
      </c>
      <c r="G25" s="64">
        <v>6301.7</v>
      </c>
      <c r="H25" s="47">
        <f>H24</f>
        <v>70292.52</v>
      </c>
      <c r="I25" s="3">
        <v>442965588</v>
      </c>
      <c r="J25" s="3"/>
      <c r="K25" s="19">
        <v>22335000</v>
      </c>
      <c r="L25" s="20">
        <f t="shared" si="3"/>
        <v>6301.7457334009359</v>
      </c>
      <c r="N25" s="67"/>
    </row>
    <row r="26" spans="1:14" ht="15" customHeight="1">
      <c r="A26" s="1" t="str">
        <f>SCALARS!A27</f>
        <v>Saturday</v>
      </c>
      <c r="B26" s="28">
        <f>SCALARS!B27</f>
        <v>46102</v>
      </c>
      <c r="C26" s="61">
        <f>SCALARS!E27</f>
        <v>3544.3022999999998</v>
      </c>
      <c r="D26" s="61"/>
      <c r="E26" s="61"/>
      <c r="F26" s="58"/>
      <c r="G26" s="8"/>
      <c r="H26" s="47"/>
      <c r="I26" s="3"/>
      <c r="J26" s="3"/>
      <c r="K26" s="19"/>
      <c r="L26" s="20"/>
      <c r="N26" s="67"/>
    </row>
    <row r="27" spans="1:14" ht="15" customHeight="1">
      <c r="A27" s="1" t="str">
        <f>SCALARS!A28</f>
        <v>Sunday</v>
      </c>
      <c r="B27" s="28">
        <f>SCALARS!B28</f>
        <v>46103</v>
      </c>
      <c r="C27" s="61">
        <f>SCALARS!E28</f>
        <v>3544.3265999999999</v>
      </c>
      <c r="D27" s="61"/>
      <c r="E27" s="61"/>
      <c r="F27" s="58"/>
      <c r="G27" s="8"/>
      <c r="H27" s="47"/>
      <c r="I27" s="3"/>
      <c r="J27" s="3"/>
      <c r="K27" s="19"/>
      <c r="L27" s="20"/>
      <c r="N27" s="67"/>
    </row>
    <row r="28" spans="1:14" ht="15" customHeight="1">
      <c r="A28" s="1" t="str">
        <f>SCALARS!A29</f>
        <v>Monday</v>
      </c>
      <c r="B28" s="28">
        <f>SCALARS!B29</f>
        <v>46104</v>
      </c>
      <c r="C28" s="61">
        <f>SCALARS!E29</f>
        <v>3544.3508999999999</v>
      </c>
      <c r="D28" s="61"/>
      <c r="E28" s="61"/>
      <c r="F28" s="58"/>
      <c r="G28" s="64"/>
      <c r="H28" s="47"/>
      <c r="I28" s="3"/>
      <c r="J28" s="3"/>
      <c r="K28" s="19"/>
      <c r="L28" s="20"/>
      <c r="N28" s="67"/>
    </row>
    <row r="29" spans="1:14" ht="15" customHeight="1">
      <c r="A29" s="1" t="str">
        <f>SCALARS!A30</f>
        <v>Tuesday</v>
      </c>
      <c r="B29" s="28">
        <f>SCALARS!B30</f>
        <v>46105</v>
      </c>
      <c r="C29" s="61">
        <f>SCALARS!E30</f>
        <v>3544.3751999999999</v>
      </c>
      <c r="D29" s="61">
        <f>K29/G29</f>
        <v>3544.3998165513235</v>
      </c>
      <c r="E29" s="61">
        <f t="shared" ref="E29:E31" si="4">C29-D29</f>
        <v>-2.4616551323560998E-2</v>
      </c>
      <c r="F29" s="58"/>
      <c r="G29" s="64">
        <v>6301.49</v>
      </c>
      <c r="H29" s="47">
        <v>69451.67</v>
      </c>
      <c r="I29" s="3">
        <v>437652091.5</v>
      </c>
      <c r="J29" s="3"/>
      <c r="K29" s="19">
        <v>22335000</v>
      </c>
      <c r="L29" s="20"/>
      <c r="N29" s="67"/>
    </row>
    <row r="30" spans="1:14" ht="15" customHeight="1">
      <c r="A30" s="1" t="str">
        <f>SCALARS!A31</f>
        <v>Wednesday</v>
      </c>
      <c r="B30" s="28">
        <f>SCALARS!B31</f>
        <v>46106</v>
      </c>
      <c r="C30" s="61">
        <f>SCALARS!E31</f>
        <v>3544.3995</v>
      </c>
      <c r="D30" s="61">
        <f>K30/G30</f>
        <v>3544.4279402803172</v>
      </c>
      <c r="E30" s="61">
        <f t="shared" si="4"/>
        <v>-2.8440280317227007E-2</v>
      </c>
      <c r="F30" s="58">
        <f>K30/L30</f>
        <v>3544.3991639498367</v>
      </c>
      <c r="G30" s="64">
        <v>6301.44</v>
      </c>
      <c r="H30" s="47">
        <v>70883.73</v>
      </c>
      <c r="I30" s="3">
        <v>446673198</v>
      </c>
      <c r="J30" s="3"/>
      <c r="K30" s="19">
        <v>22335000</v>
      </c>
      <c r="L30" s="20">
        <f t="shared" ref="L30:L32" si="5">I30/H30</f>
        <v>6301.4911602422735</v>
      </c>
      <c r="N30" s="67"/>
    </row>
    <row r="31" spans="1:14" ht="15" customHeight="1">
      <c r="A31" s="1" t="str">
        <f>SCALARS!A32</f>
        <v>Thursday</v>
      </c>
      <c r="B31" s="28">
        <f>SCALARS!B32</f>
        <v>46107</v>
      </c>
      <c r="C31" s="61">
        <f>SCALARS!E32</f>
        <v>3544.4238</v>
      </c>
      <c r="D31" s="61">
        <f>K31/G31</f>
        <v>3544.4504395848544</v>
      </c>
      <c r="E31" s="61">
        <f t="shared" si="4"/>
        <v>-2.6639584854365239E-2</v>
      </c>
      <c r="F31" s="58">
        <f>K31/L31</f>
        <v>3544.417759650521</v>
      </c>
      <c r="G31" s="64">
        <v>6301.4</v>
      </c>
      <c r="H31" s="47">
        <v>68478.86</v>
      </c>
      <c r="I31" s="3">
        <v>431516667</v>
      </c>
      <c r="J31" s="3"/>
      <c r="K31" s="19">
        <v>22335000</v>
      </c>
      <c r="L31" s="20">
        <f t="shared" si="5"/>
        <v>6301.4580996237382</v>
      </c>
      <c r="N31" s="67"/>
    </row>
    <row r="32" spans="1:14" ht="15" customHeight="1">
      <c r="A32" s="1" t="str">
        <f>SCALARS!A33</f>
        <v>Friday</v>
      </c>
      <c r="B32" s="28">
        <f>SCALARS!B33</f>
        <v>46108</v>
      </c>
      <c r="C32" s="61">
        <f>SCALARS!E33</f>
        <v>3544.4481000000001</v>
      </c>
      <c r="D32" s="61">
        <f>K32/G32</f>
        <v>3544.4504395848544</v>
      </c>
      <c r="E32" s="61"/>
      <c r="F32" s="58">
        <f>K32/L32</f>
        <v>3407.9662736410596</v>
      </c>
      <c r="G32" s="64">
        <v>6301.4</v>
      </c>
      <c r="H32" s="47">
        <v>65842.59</v>
      </c>
      <c r="I32" s="3">
        <v>431516667</v>
      </c>
      <c r="J32" s="3"/>
      <c r="K32" s="19">
        <v>22335000</v>
      </c>
      <c r="L32" s="86">
        <f t="shared" si="5"/>
        <v>6553.7620406487658</v>
      </c>
      <c r="N32" s="67"/>
    </row>
    <row r="33" spans="1:15" ht="15" customHeight="1">
      <c r="A33" s="1" t="str">
        <f>SCALARS!A34</f>
        <v>Saturday</v>
      </c>
      <c r="B33" s="28">
        <f>SCALARS!B34</f>
        <v>46109</v>
      </c>
      <c r="C33" s="61">
        <f>SCALARS!E34</f>
        <v>3544.4724000000001</v>
      </c>
      <c r="D33" s="61"/>
      <c r="E33" s="61"/>
      <c r="F33" s="58"/>
      <c r="G33" s="8"/>
      <c r="H33" s="47"/>
      <c r="I33" s="3"/>
      <c r="J33" s="3"/>
      <c r="K33" s="19"/>
      <c r="L33" s="20"/>
      <c r="N33" s="67"/>
    </row>
    <row r="34" spans="1:15" ht="15" customHeight="1">
      <c r="A34" s="1" t="str">
        <f>SCALARS!A35</f>
        <v>Sunday</v>
      </c>
      <c r="B34" s="28">
        <f>SCALARS!B35</f>
        <v>46110</v>
      </c>
      <c r="C34" s="61">
        <f>SCALARS!E35</f>
        <v>3544.4967000000001</v>
      </c>
      <c r="D34" s="61"/>
      <c r="E34" s="61"/>
      <c r="F34" s="58"/>
      <c r="G34" s="8"/>
      <c r="H34" s="47"/>
      <c r="I34" s="3"/>
      <c r="J34" s="3"/>
      <c r="K34" s="19"/>
      <c r="L34" s="20"/>
      <c r="N34" s="67"/>
    </row>
    <row r="35" spans="1:15" ht="15" customHeight="1">
      <c r="A35" s="1" t="str">
        <f>SCALARS!A36</f>
        <v>Monday</v>
      </c>
      <c r="B35" s="28">
        <f>SCALARS!B36</f>
        <v>46111</v>
      </c>
      <c r="C35" s="61">
        <f>SCALARS!E36</f>
        <v>3544.5210000000002</v>
      </c>
      <c r="D35" s="61">
        <f>K35/G35</f>
        <v>3544.5460648159174</v>
      </c>
      <c r="E35" s="61">
        <f t="shared" ref="E35:E37" si="6">C35-D35</f>
        <v>-2.506481591717602E-2</v>
      </c>
      <c r="F35" s="58">
        <f>K35/L35</f>
        <v>3544.5167355747144</v>
      </c>
      <c r="G35" s="64">
        <v>6301.23</v>
      </c>
      <c r="H35" s="47">
        <v>66355.48</v>
      </c>
      <c r="I35" s="3">
        <v>418124601</v>
      </c>
      <c r="J35" s="3"/>
      <c r="K35" s="19">
        <v>22335000</v>
      </c>
      <c r="L35" s="20">
        <f t="shared" ref="L35:L38" si="7">I35/H35</f>
        <v>6301.2821397720281</v>
      </c>
      <c r="N35" s="67"/>
    </row>
    <row r="36" spans="1:15" ht="15" customHeight="1">
      <c r="A36" s="1" t="str">
        <f>SCALARS!A37</f>
        <v>Tuesday</v>
      </c>
      <c r="B36" s="28">
        <f>SCALARS!B37</f>
        <v>46112</v>
      </c>
      <c r="C36" s="61">
        <f>SCALARS!E37</f>
        <v>3544.5453000000002</v>
      </c>
      <c r="D36" s="61">
        <f t="shared" ref="D36:D95" si="8">K36/G36</f>
        <v>3544.5741908658379</v>
      </c>
      <c r="E36" s="61">
        <f t="shared" si="6"/>
        <v>-2.8890865837638557E-2</v>
      </c>
      <c r="F36" s="58">
        <f>K36/L36</f>
        <v>3544.5531930458951</v>
      </c>
      <c r="G36" s="64">
        <v>6301.18</v>
      </c>
      <c r="H36" s="47">
        <v>67831.759999999995</v>
      </c>
      <c r="I36" s="3">
        <v>427422661.5</v>
      </c>
      <c r="J36" s="3"/>
      <c r="K36" s="19">
        <v>22335000</v>
      </c>
      <c r="L36" s="20">
        <f t="shared" si="7"/>
        <v>6301.2173279891313</v>
      </c>
      <c r="N36" s="67">
        <f t="shared" ref="N36:N38" si="9">D35</f>
        <v>3544.5460648159174</v>
      </c>
      <c r="O36" s="67">
        <f t="shared" ref="O36:O38" si="10">+C36-N36</f>
        <v>-7.6481591713672969E-4</v>
      </c>
    </row>
    <row r="37" spans="1:15" ht="15" customHeight="1">
      <c r="A37" s="1" t="str">
        <f>SCALARS!A38</f>
        <v>Wednesday</v>
      </c>
      <c r="B37" s="28">
        <f>SCALARS!B38</f>
        <v>46113</v>
      </c>
      <c r="C37" s="61">
        <f>SCALARS!E38</f>
        <v>3544.5695999999998</v>
      </c>
      <c r="D37" s="61">
        <f t="shared" si="8"/>
        <v>3544.5966920271567</v>
      </c>
      <c r="E37" s="61">
        <f t="shared" si="6"/>
        <v>-2.7092027156868426E-2</v>
      </c>
      <c r="F37" s="58">
        <f>K37/L37</f>
        <v>3544.5647651146342</v>
      </c>
      <c r="G37" s="64">
        <v>6301.14</v>
      </c>
      <c r="H37" s="47">
        <v>68149.22</v>
      </c>
      <c r="I37" s="3">
        <v>429421644</v>
      </c>
      <c r="J37" s="3"/>
      <c r="K37" s="19">
        <v>22335000</v>
      </c>
      <c r="L37" s="20">
        <f t="shared" si="7"/>
        <v>6301.1967561771062</v>
      </c>
      <c r="N37" s="67">
        <f t="shared" si="9"/>
        <v>3544.5741908658379</v>
      </c>
      <c r="O37" s="67">
        <f t="shared" si="10"/>
        <v>-4.5908658380540146E-3</v>
      </c>
    </row>
    <row r="38" spans="1:15" ht="15" customHeight="1">
      <c r="A38" s="1" t="str">
        <f>SCALARS!A39</f>
        <v>Thursday</v>
      </c>
      <c r="B38" s="28">
        <f>SCALARS!B39</f>
        <v>46114</v>
      </c>
      <c r="C38" s="61">
        <f>SCALARS!E39</f>
        <v>3544.5938999999998</v>
      </c>
      <c r="D38" s="61">
        <f t="shared" si="8"/>
        <v>3544.692325149937</v>
      </c>
      <c r="E38" s="61"/>
      <c r="F38" s="58">
        <f>K38/L38</f>
        <v>3544.5895897484734</v>
      </c>
      <c r="G38" s="64">
        <v>6300.97</v>
      </c>
      <c r="H38" s="47">
        <v>66994.87</v>
      </c>
      <c r="I38" s="3">
        <v>422144901</v>
      </c>
      <c r="J38" s="3"/>
      <c r="K38" s="19">
        <v>22335000</v>
      </c>
      <c r="L38" s="20">
        <f t="shared" si="7"/>
        <v>6301.152625566704</v>
      </c>
      <c r="N38" s="67">
        <f t="shared" si="9"/>
        <v>3544.5966920271567</v>
      </c>
      <c r="O38" s="67">
        <f t="shared" si="10"/>
        <v>-2.7920271568291355E-3</v>
      </c>
    </row>
    <row r="39" spans="1:15" ht="15" customHeight="1">
      <c r="A39" s="1" t="str">
        <f>SCALARS!A40</f>
        <v>Friday</v>
      </c>
      <c r="B39" s="28">
        <f>SCALARS!B40</f>
        <v>46115</v>
      </c>
      <c r="C39" s="61">
        <f>SCALARS!E40</f>
        <v>3544.6181999999999</v>
      </c>
      <c r="D39" s="61"/>
      <c r="E39" s="118" t="s">
        <v>73</v>
      </c>
      <c r="F39" s="58"/>
      <c r="G39" s="64"/>
      <c r="H39" s="47"/>
      <c r="I39" s="3"/>
      <c r="J39" s="3"/>
      <c r="K39" s="19"/>
      <c r="L39" s="20"/>
      <c r="N39" s="67"/>
    </row>
    <row r="40" spans="1:15" ht="15" customHeight="1">
      <c r="A40" s="1" t="str">
        <f>SCALARS!A41</f>
        <v>Saturday</v>
      </c>
      <c r="B40" s="28">
        <f>SCALARS!B41</f>
        <v>46116</v>
      </c>
      <c r="C40" s="61">
        <f>SCALARS!E41</f>
        <v>3544.6424999999999</v>
      </c>
      <c r="D40" s="61"/>
      <c r="E40" s="61"/>
      <c r="F40" s="58"/>
      <c r="G40" s="64"/>
      <c r="H40" s="47"/>
      <c r="I40" s="3"/>
      <c r="J40" s="3"/>
      <c r="K40" s="19"/>
      <c r="L40" s="20"/>
      <c r="N40" s="67"/>
    </row>
    <row r="41" spans="1:15" ht="15" customHeight="1">
      <c r="A41" s="1" t="str">
        <f>SCALARS!A42</f>
        <v>Sunday</v>
      </c>
      <c r="B41" s="28">
        <f>SCALARS!B42</f>
        <v>46117</v>
      </c>
      <c r="C41" s="61">
        <f>SCALARS!E42</f>
        <v>3544.6668</v>
      </c>
      <c r="D41" s="61"/>
      <c r="E41" s="61"/>
      <c r="F41" s="58"/>
      <c r="G41" s="64"/>
      <c r="H41" s="47"/>
      <c r="I41" s="3"/>
      <c r="J41" s="3"/>
      <c r="K41" s="19"/>
      <c r="L41" s="20"/>
      <c r="N41" s="67"/>
    </row>
    <row r="42" spans="1:15" ht="15" customHeight="1">
      <c r="A42" s="1" t="str">
        <f>SCALARS!A43</f>
        <v>Monday</v>
      </c>
      <c r="B42" s="28">
        <f>SCALARS!B43</f>
        <v>46118</v>
      </c>
      <c r="C42" s="61">
        <f>SCALARS!E43</f>
        <v>3544.6911</v>
      </c>
      <c r="D42" s="61">
        <f t="shared" si="8"/>
        <v>3544.7166278860514</v>
      </c>
      <c r="E42" s="61">
        <f t="shared" ref="E42:E45" si="11">C42-D42</f>
        <v>-2.5527886051349924E-2</v>
      </c>
      <c r="F42" s="58">
        <f>K42/L42</f>
        <v>3544.686288556607</v>
      </c>
      <c r="G42" s="64">
        <v>6334.78</v>
      </c>
      <c r="H42" s="47">
        <v>69766.87</v>
      </c>
      <c r="I42" s="3">
        <v>441961555.5</v>
      </c>
      <c r="J42" s="3"/>
      <c r="K42" s="19">
        <v>22455000</v>
      </c>
      <c r="L42" s="20">
        <f t="shared" ref="L42:L46" si="12">I42/H42</f>
        <v>6334.8342200244906</v>
      </c>
      <c r="N42" s="67"/>
    </row>
    <row r="43" spans="1:15" ht="15" customHeight="1">
      <c r="A43" s="1" t="str">
        <f>SCALARS!A44</f>
        <v>Tuesday</v>
      </c>
      <c r="B43" s="28">
        <f>SCALARS!B44</f>
        <v>46119</v>
      </c>
      <c r="C43" s="61">
        <f>SCALARS!E44</f>
        <v>3544.7154</v>
      </c>
      <c r="D43" s="61">
        <f t="shared" si="8"/>
        <v>3544.7390105986988</v>
      </c>
      <c r="E43" s="61">
        <f t="shared" si="11"/>
        <v>-2.3610598698724061E-2</v>
      </c>
      <c r="F43" s="58">
        <f>K43/L43</f>
        <v>3544.7221045453139</v>
      </c>
      <c r="G43" s="64">
        <v>6334.74</v>
      </c>
      <c r="H43" s="47">
        <v>68612.350000000006</v>
      </c>
      <c r="I43" s="3">
        <v>434643471</v>
      </c>
      <c r="J43" s="3"/>
      <c r="K43" s="19">
        <v>22455000</v>
      </c>
      <c r="L43" s="20">
        <f t="shared" si="12"/>
        <v>6334.7702126512204</v>
      </c>
      <c r="N43" s="67">
        <f>D42</f>
        <v>3544.7166278860514</v>
      </c>
      <c r="O43" s="67">
        <f>+C43-N43</f>
        <v>-1.2278860513106338E-3</v>
      </c>
    </row>
    <row r="44" spans="1:15" ht="15" customHeight="1">
      <c r="A44" s="1" t="str">
        <f>SCALARS!A45</f>
        <v>Wednesday</v>
      </c>
      <c r="B44" s="28">
        <f>SCALARS!B45</f>
        <v>46120</v>
      </c>
      <c r="C44" s="61">
        <f>SCALARS!E45</f>
        <v>3544.7397000000001</v>
      </c>
      <c r="D44" s="61">
        <f t="shared" si="8"/>
        <v>3544.7669893870107</v>
      </c>
      <c r="E44" s="61">
        <f t="shared" si="11"/>
        <v>-2.7289387010569044E-2</v>
      </c>
      <c r="F44" s="58">
        <f>K44/L44</f>
        <v>3544.7475270186887</v>
      </c>
      <c r="G44" s="64">
        <v>6334.69</v>
      </c>
      <c r="H44" s="47">
        <v>71239.5</v>
      </c>
      <c r="I44" s="3">
        <v>451282626</v>
      </c>
      <c r="J44" s="3"/>
      <c r="K44" s="19">
        <v>22455000</v>
      </c>
      <c r="L44" s="20">
        <f t="shared" si="12"/>
        <v>6334.724780493968</v>
      </c>
      <c r="N44" s="67">
        <f t="shared" ref="N44:N46" si="13">D43</f>
        <v>3544.7390105986988</v>
      </c>
      <c r="O44" s="67">
        <f t="shared" ref="O44:O46" si="14">+C44-N44</f>
        <v>6.8940130131522892E-4</v>
      </c>
    </row>
    <row r="45" spans="1:15" ht="15" customHeight="1">
      <c r="A45" s="1" t="str">
        <f>SCALARS!A46</f>
        <v>Thursday</v>
      </c>
      <c r="B45" s="28">
        <f>SCALARS!B46</f>
        <v>46121</v>
      </c>
      <c r="C45" s="61">
        <f>SCALARS!E46</f>
        <v>3544.7640000000001</v>
      </c>
      <c r="D45" s="61">
        <f t="shared" si="8"/>
        <v>3544.7893727356682</v>
      </c>
      <c r="E45" s="61">
        <f t="shared" si="11"/>
        <v>-2.5372735668042878E-2</v>
      </c>
      <c r="F45" s="58">
        <f>K45/L45</f>
        <v>3544.7583086776513</v>
      </c>
      <c r="G45" s="64">
        <v>6334.65</v>
      </c>
      <c r="H45" s="47">
        <v>72005.03</v>
      </c>
      <c r="I45" s="3">
        <v>456130660.5</v>
      </c>
      <c r="J45" s="3"/>
      <c r="K45" s="19">
        <v>22455000</v>
      </c>
      <c r="L45" s="20">
        <f t="shared" si="12"/>
        <v>6334.7055129343053</v>
      </c>
      <c r="N45" s="67">
        <f t="shared" si="13"/>
        <v>3544.7669893870107</v>
      </c>
      <c r="O45" s="67">
        <f t="shared" si="14"/>
        <v>-2.9893870105297538E-3</v>
      </c>
    </row>
    <row r="46" spans="1:15" ht="15" customHeight="1">
      <c r="A46" s="1" t="str">
        <f>SCALARS!A47</f>
        <v>Friday</v>
      </c>
      <c r="B46" s="28">
        <f>SCALARS!B47</f>
        <v>46122</v>
      </c>
      <c r="C46" s="61">
        <f>SCALARS!E47</f>
        <v>3544.7883000000002</v>
      </c>
      <c r="D46" s="61">
        <f t="shared" si="8"/>
        <v>3544.8621205710929</v>
      </c>
      <c r="E46" s="61"/>
      <c r="F46" s="58">
        <f>K46/L46</f>
        <v>3544.7829291234739</v>
      </c>
      <c r="G46" s="64">
        <v>6334.52</v>
      </c>
      <c r="H46" s="47">
        <v>73109.73</v>
      </c>
      <c r="I46" s="3">
        <v>463125393</v>
      </c>
      <c r="J46" s="3"/>
      <c r="K46" s="19">
        <v>22455000</v>
      </c>
      <c r="L46" s="20">
        <f t="shared" si="12"/>
        <v>6334.6615149584059</v>
      </c>
      <c r="N46" s="67">
        <f t="shared" si="13"/>
        <v>3544.7893727356682</v>
      </c>
      <c r="O46" s="67">
        <f t="shared" si="14"/>
        <v>-1.0727356680035882E-3</v>
      </c>
    </row>
    <row r="47" spans="1:15" ht="15" customHeight="1">
      <c r="A47" s="1" t="str">
        <f>SCALARS!A48</f>
        <v>Saturday</v>
      </c>
      <c r="B47" s="28">
        <f>SCALARS!B48</f>
        <v>46123</v>
      </c>
      <c r="C47" s="61">
        <f>SCALARS!E48</f>
        <v>3544.8126000000002</v>
      </c>
      <c r="D47" s="61"/>
      <c r="E47" s="61"/>
      <c r="F47" s="58"/>
      <c r="G47" s="64"/>
      <c r="H47" s="47"/>
      <c r="I47" s="3"/>
      <c r="J47" s="3"/>
      <c r="K47" s="19"/>
      <c r="L47" s="20"/>
      <c r="N47" s="67"/>
    </row>
    <row r="48" spans="1:15" ht="15" customHeight="1">
      <c r="A48" s="1" t="str">
        <f>SCALARS!A49</f>
        <v>Sunday</v>
      </c>
      <c r="B48" s="28">
        <f>SCALARS!B49</f>
        <v>46124</v>
      </c>
      <c r="C48" s="61">
        <f>SCALARS!E49</f>
        <v>3544.8368999999998</v>
      </c>
      <c r="D48" s="61"/>
      <c r="E48" s="61"/>
      <c r="F48" s="58"/>
      <c r="G48" s="64"/>
      <c r="H48" s="47"/>
      <c r="I48" s="3"/>
      <c r="J48" s="3"/>
      <c r="K48" s="19"/>
      <c r="L48" s="20"/>
      <c r="N48" s="67"/>
    </row>
    <row r="49" spans="1:15" ht="15" customHeight="1">
      <c r="A49" s="1" t="str">
        <f>SCALARS!A50</f>
        <v>Monday</v>
      </c>
      <c r="B49" s="28">
        <f>SCALARS!B50</f>
        <v>46125</v>
      </c>
      <c r="C49" s="61">
        <f>SCALARS!E50</f>
        <v>3544.8611999999998</v>
      </c>
      <c r="D49" s="61">
        <f t="shared" si="8"/>
        <v>3544.8845051211783</v>
      </c>
      <c r="E49" s="61">
        <f t="shared" ref="E49:E52" si="15">C49-D49</f>
        <v>-2.330512117850958E-2</v>
      </c>
      <c r="F49" s="58">
        <f>K49/L49</f>
        <v>3544.8574860549825</v>
      </c>
      <c r="G49" s="64">
        <v>6334.48</v>
      </c>
      <c r="H49" s="47">
        <v>72892.55</v>
      </c>
      <c r="I49" s="3">
        <v>461739919.5</v>
      </c>
      <c r="J49" s="3"/>
      <c r="K49" s="19">
        <v>22455000</v>
      </c>
      <c r="L49" s="20">
        <f t="shared" ref="L49:L53" si="16">I49/H49</f>
        <v>6334.5282816968265</v>
      </c>
      <c r="N49" s="67"/>
    </row>
    <row r="50" spans="1:15" ht="15" customHeight="1">
      <c r="A50" s="1" t="str">
        <f>SCALARS!A51</f>
        <v>Tuesday</v>
      </c>
      <c r="B50" s="28">
        <f>SCALARS!B51</f>
        <v>46126</v>
      </c>
      <c r="C50" s="61">
        <f>SCALARS!E51</f>
        <v>3544.8854999999999</v>
      </c>
      <c r="D50" s="61">
        <f t="shared" si="8"/>
        <v>3544.9124862063359</v>
      </c>
      <c r="E50" s="61">
        <f t="shared" si="15"/>
        <v>-2.6986206336005125E-2</v>
      </c>
      <c r="F50" s="58">
        <f>K50/L50</f>
        <v>3544.8922023931691</v>
      </c>
      <c r="G50" s="64">
        <v>6334.43</v>
      </c>
      <c r="H50" s="47">
        <v>74270.100000000006</v>
      </c>
      <c r="I50" s="3">
        <v>470461441.5</v>
      </c>
      <c r="J50" s="3"/>
      <c r="K50" s="19">
        <v>22455000</v>
      </c>
      <c r="L50" s="20">
        <f t="shared" si="16"/>
        <v>6334.4662455012176</v>
      </c>
      <c r="N50" s="67">
        <f>D49</f>
        <v>3544.8845051211783</v>
      </c>
      <c r="O50" s="67">
        <f>+C50-N50</f>
        <v>9.9487882152970997E-4</v>
      </c>
    </row>
    <row r="51" spans="1:15" ht="15" customHeight="1">
      <c r="A51" s="1" t="str">
        <f>SCALARS!A52</f>
        <v>Wednesday</v>
      </c>
      <c r="B51" s="28">
        <f>SCALARS!B52</f>
        <v>46127</v>
      </c>
      <c r="C51" s="61">
        <f>SCALARS!E52</f>
        <v>3544.9097999999999</v>
      </c>
      <c r="D51" s="61">
        <f t="shared" si="8"/>
        <v>3544.9348713925096</v>
      </c>
      <c r="E51" s="61">
        <f t="shared" si="15"/>
        <v>-2.5071392509744328E-2</v>
      </c>
      <c r="F51" s="58">
        <f>K51/L51</f>
        <v>3544.9061839949231</v>
      </c>
      <c r="G51" s="64">
        <v>6334.39</v>
      </c>
      <c r="H51" s="47">
        <v>74853.53</v>
      </c>
      <c r="I51" s="3">
        <v>474155289</v>
      </c>
      <c r="J51" s="3"/>
      <c r="K51" s="19">
        <v>22455000</v>
      </c>
      <c r="L51" s="20">
        <f t="shared" si="16"/>
        <v>6334.441261487601</v>
      </c>
      <c r="N51" s="67">
        <f t="shared" ref="N51:N52" si="17">D50</f>
        <v>3544.9124862063359</v>
      </c>
      <c r="O51" s="67">
        <f t="shared" ref="O51:O52" si="18">+C51-N51</f>
        <v>-2.686206335965835E-3</v>
      </c>
    </row>
    <row r="52" spans="1:15" ht="15" customHeight="1">
      <c r="A52" s="1" t="str">
        <f>SCALARS!A53</f>
        <v>Thursday</v>
      </c>
      <c r="B52" s="28">
        <f>SCALARS!B53</f>
        <v>46128</v>
      </c>
      <c r="C52" s="61">
        <f>SCALARS!E53</f>
        <v>3544.9340999999999</v>
      </c>
      <c r="D52" s="61">
        <f t="shared" si="8"/>
        <v>3544.9572568613985</v>
      </c>
      <c r="E52" s="61">
        <f t="shared" si="15"/>
        <v>-2.3156861398547335E-2</v>
      </c>
      <c r="F52" s="58">
        <f>K52/L52</f>
        <v>3544.9298693696037</v>
      </c>
      <c r="G52" s="64">
        <v>6334.35</v>
      </c>
      <c r="H52" s="47">
        <v>75088.350000000006</v>
      </c>
      <c r="I52" s="3">
        <v>475639564.5</v>
      </c>
      <c r="J52" s="3"/>
      <c r="K52" s="19">
        <v>22455000</v>
      </c>
      <c r="L52" s="20">
        <f t="shared" si="16"/>
        <v>6334.3989380509756</v>
      </c>
      <c r="N52" s="67">
        <f t="shared" si="17"/>
        <v>3544.9348713925096</v>
      </c>
      <c r="O52" s="67">
        <f t="shared" si="18"/>
        <v>-7.7139250970503781E-4</v>
      </c>
    </row>
    <row r="53" spans="1:15" ht="15" customHeight="1">
      <c r="A53" s="1" t="str">
        <f>SCALARS!A54</f>
        <v>Friday</v>
      </c>
      <c r="B53" s="28">
        <f>SCALARS!B54</f>
        <v>46129</v>
      </c>
      <c r="C53" s="61">
        <f>SCALARS!E54</f>
        <v>3544.9584</v>
      </c>
      <c r="D53" s="61">
        <f t="shared" si="8"/>
        <v>3544.9572568613985</v>
      </c>
      <c r="E53" s="61"/>
      <c r="F53" s="58">
        <f>K53/L53</f>
        <v>3544.9298693696037</v>
      </c>
      <c r="G53" s="64">
        <v>6334.35</v>
      </c>
      <c r="H53" s="47">
        <v>75088.350000000006</v>
      </c>
      <c r="I53" s="3">
        <v>475639564.5</v>
      </c>
      <c r="J53" s="3"/>
      <c r="K53" s="19">
        <v>22455000</v>
      </c>
      <c r="L53" s="20">
        <f t="shared" si="16"/>
        <v>6334.3989380509756</v>
      </c>
      <c r="N53" s="67">
        <f t="shared" ref="N53" si="19">D52</f>
        <v>3544.9572568613985</v>
      </c>
      <c r="O53" s="67">
        <f t="shared" ref="O53" si="20">+C53-N53</f>
        <v>1.1431386014919553E-3</v>
      </c>
    </row>
    <row r="54" spans="1:15" ht="15" customHeight="1">
      <c r="A54" s="1" t="str">
        <f>SCALARS!A55</f>
        <v>Saturday</v>
      </c>
      <c r="B54" s="28">
        <f>SCALARS!B55</f>
        <v>46130</v>
      </c>
      <c r="C54" s="61">
        <f>SCALARS!E55</f>
        <v>3544.9827</v>
      </c>
      <c r="D54" s="61"/>
      <c r="E54" s="61"/>
      <c r="F54" s="58"/>
      <c r="G54" s="64"/>
      <c r="H54" s="47"/>
      <c r="I54" s="3"/>
      <c r="J54" s="3"/>
      <c r="K54" s="19"/>
      <c r="L54" s="20"/>
      <c r="N54" s="67"/>
    </row>
    <row r="55" spans="1:15" ht="15" customHeight="1">
      <c r="A55" s="1" t="str">
        <f>SCALARS!A56</f>
        <v>Sunday</v>
      </c>
      <c r="B55" s="28">
        <f>SCALARS!B56</f>
        <v>46131</v>
      </c>
      <c r="C55" s="61">
        <f>SCALARS!E56</f>
        <v>3545.0070000000001</v>
      </c>
      <c r="D55" s="61"/>
      <c r="E55" s="61"/>
      <c r="F55" s="58"/>
      <c r="G55" s="64"/>
      <c r="H55" s="47"/>
      <c r="I55" s="3"/>
      <c r="J55" s="3"/>
      <c r="K55" s="19"/>
      <c r="L55" s="20"/>
      <c r="N55" s="67"/>
    </row>
    <row r="56" spans="1:15" ht="15" customHeight="1">
      <c r="A56" s="1" t="str">
        <f>SCALARS!A57</f>
        <v>Monday</v>
      </c>
      <c r="B56" s="28">
        <f>SCALARS!B57</f>
        <v>46132</v>
      </c>
      <c r="C56" s="61">
        <f>SCALARS!E57</f>
        <v>3545.0313000000001</v>
      </c>
      <c r="D56" s="61">
        <f t="shared" si="8"/>
        <v>3545.0593027192049</v>
      </c>
      <c r="E56" s="61">
        <f t="shared" ref="E56:E59" si="21">C56-D56</f>
        <v>-2.8002719204778259E-2</v>
      </c>
      <c r="F56" s="58">
        <f>K56/L56</f>
        <v>3545.0298210735587</v>
      </c>
      <c r="G56" s="64">
        <v>6410.33</v>
      </c>
      <c r="H56" s="47">
        <v>76318.820000000007</v>
      </c>
      <c r="I56" s="3">
        <v>489232890</v>
      </c>
      <c r="J56" s="3"/>
      <c r="K56" s="19">
        <v>22725000</v>
      </c>
      <c r="L56" s="20">
        <f t="shared" ref="L56:L59" si="22">I56/H56</f>
        <v>6410.3833104337828</v>
      </c>
      <c r="N56" s="67"/>
    </row>
    <row r="57" spans="1:15" ht="15" customHeight="1">
      <c r="A57" s="1" t="str">
        <f>SCALARS!A58</f>
        <v>Tuesday</v>
      </c>
      <c r="B57" s="28">
        <f>SCALARS!B58</f>
        <v>46133</v>
      </c>
      <c r="C57" s="61">
        <f>SCALARS!E58</f>
        <v>3545.0556000000001</v>
      </c>
      <c r="D57" s="61">
        <f t="shared" si="8"/>
        <v>3545.0814237733393</v>
      </c>
      <c r="E57" s="61">
        <f t="shared" si="21"/>
        <v>-2.5823773339197942E-2</v>
      </c>
      <c r="F57" s="58">
        <f>K57/L57</f>
        <v>3545.0630913344544</v>
      </c>
      <c r="G57" s="64">
        <v>6410.29</v>
      </c>
      <c r="H57" s="47">
        <v>75462.34</v>
      </c>
      <c r="I57" s="3">
        <v>483737985</v>
      </c>
      <c r="J57" s="3"/>
      <c r="K57" s="19">
        <v>22725000</v>
      </c>
      <c r="L57" s="20">
        <f t="shared" si="22"/>
        <v>6410.3231492688938</v>
      </c>
      <c r="N57" s="67">
        <f>D56</f>
        <v>3545.0593027192049</v>
      </c>
      <c r="O57" s="67">
        <f>+C57-N57</f>
        <v>-3.702719204738969E-3</v>
      </c>
    </row>
    <row r="58" spans="1:15" ht="15" customHeight="1">
      <c r="A58" s="1" t="str">
        <f>SCALARS!A59</f>
        <v>Wednesday</v>
      </c>
      <c r="B58" s="28">
        <f>SCALARS!B59</f>
        <v>46134</v>
      </c>
      <c r="C58" s="61">
        <f>SCALARS!E59</f>
        <v>3545.0799000000002</v>
      </c>
      <c r="D58" s="61">
        <f t="shared" si="8"/>
        <v>3545.103545103545</v>
      </c>
      <c r="E58" s="61">
        <f t="shared" si="21"/>
        <v>-2.3645103544822632E-2</v>
      </c>
      <c r="F58" s="58">
        <f>K58/L58</f>
        <v>3545.0758698757513</v>
      </c>
      <c r="G58" s="64">
        <v>6410.25</v>
      </c>
      <c r="H58" s="47">
        <v>78919.77</v>
      </c>
      <c r="I58" s="3">
        <v>505899405</v>
      </c>
      <c r="J58" s="3"/>
      <c r="K58" s="19">
        <v>22725000</v>
      </c>
      <c r="L58" s="20">
        <f t="shared" si="22"/>
        <v>6410.300042688923</v>
      </c>
      <c r="N58" s="67">
        <f t="shared" ref="N58:N59" si="23">D57</f>
        <v>3545.0814237733393</v>
      </c>
      <c r="O58" s="67">
        <f t="shared" ref="O58:O59" si="24">+C58-N58</f>
        <v>-1.5237733391586517E-3</v>
      </c>
    </row>
    <row r="59" spans="1:15" ht="15" customHeight="1">
      <c r="A59" s="1" t="str">
        <f>SCALARS!A60</f>
        <v>Thursday</v>
      </c>
      <c r="B59" s="28">
        <f>SCALARS!B60</f>
        <v>46135</v>
      </c>
      <c r="C59" s="61">
        <f>SCALARS!E60</f>
        <v>3545.1042000000002</v>
      </c>
      <c r="D59" s="61">
        <f t="shared" si="8"/>
        <v>3545.1311971545351</v>
      </c>
      <c r="E59" s="158">
        <f t="shared" si="21"/>
        <v>-2.6997154534910806E-2</v>
      </c>
      <c r="F59" s="58">
        <f>K59/L59</f>
        <v>3545.0983877804979</v>
      </c>
      <c r="G59" s="64">
        <v>6410.2</v>
      </c>
      <c r="H59" s="47">
        <v>77774.850000000006</v>
      </c>
      <c r="I59" s="3">
        <v>498556957.5</v>
      </c>
      <c r="J59" s="3"/>
      <c r="K59" s="19">
        <v>22725000</v>
      </c>
      <c r="L59" s="20">
        <f t="shared" si="22"/>
        <v>6410.2593254760368</v>
      </c>
      <c r="N59" s="67">
        <f t="shared" si="23"/>
        <v>3545.103545103545</v>
      </c>
      <c r="O59" s="67">
        <f t="shared" si="24"/>
        <v>6.5489645521665807E-4</v>
      </c>
    </row>
    <row r="60" spans="1:15" ht="15" customHeight="1">
      <c r="A60" s="1" t="str">
        <f>SCALARS!A61</f>
        <v>Friday</v>
      </c>
      <c r="B60" s="28">
        <f>SCALARS!B61</f>
        <v>46136</v>
      </c>
      <c r="C60" s="61">
        <f>SCALARS!E61</f>
        <v>3545.1284999999998</v>
      </c>
      <c r="D60" s="61"/>
      <c r="E60" s="158"/>
      <c r="F60" s="58"/>
      <c r="G60" s="64"/>
      <c r="H60" s="47"/>
      <c r="I60" s="3"/>
      <c r="J60" s="3"/>
      <c r="K60" s="19"/>
      <c r="L60" s="20"/>
      <c r="N60" s="67"/>
    </row>
    <row r="61" spans="1:15" ht="15" customHeight="1">
      <c r="A61" s="1" t="str">
        <f>SCALARS!A62</f>
        <v>Saturday</v>
      </c>
      <c r="B61" s="28">
        <f>SCALARS!B62</f>
        <v>46137</v>
      </c>
      <c r="C61" s="61">
        <f>SCALARS!E62</f>
        <v>3545.1527999999998</v>
      </c>
      <c r="D61" s="61"/>
      <c r="E61" s="158"/>
      <c r="F61" s="58"/>
      <c r="G61" s="64"/>
      <c r="H61" s="47"/>
      <c r="I61" s="3"/>
      <c r="J61" s="3"/>
      <c r="K61" s="19"/>
      <c r="L61" s="20"/>
      <c r="N61" s="67"/>
    </row>
    <row r="62" spans="1:15" ht="15" customHeight="1">
      <c r="A62" s="1" t="str">
        <f>SCALARS!A63</f>
        <v>Sunday</v>
      </c>
      <c r="B62" s="28">
        <f>SCALARS!B63</f>
        <v>46138</v>
      </c>
      <c r="C62" s="61">
        <f>SCALARS!E63</f>
        <v>3545.1770999999999</v>
      </c>
      <c r="D62" s="61"/>
      <c r="E62" s="158"/>
      <c r="F62" s="58"/>
      <c r="G62" s="64"/>
      <c r="H62" s="47"/>
      <c r="I62" s="3"/>
      <c r="J62" s="3"/>
      <c r="K62" s="19"/>
      <c r="L62" s="20"/>
      <c r="N62" s="67"/>
    </row>
    <row r="63" spans="1:15" ht="15" customHeight="1">
      <c r="A63" s="1" t="str">
        <f>SCALARS!A64</f>
        <v>Monday</v>
      </c>
      <c r="B63" s="28">
        <f>SCALARS!B64</f>
        <v>46139</v>
      </c>
      <c r="C63" s="61">
        <f>SCALARS!E64</f>
        <v>3545.2013999999999</v>
      </c>
      <c r="D63" s="61">
        <f t="shared" si="8"/>
        <v>0</v>
      </c>
      <c r="E63" s="158"/>
      <c r="F63" s="58" t="e">
        <f>K63/L63</f>
        <v>#DIV/0!</v>
      </c>
      <c r="G63" s="64">
        <v>6410.07</v>
      </c>
      <c r="H63" s="47">
        <v>77638.210000000006</v>
      </c>
      <c r="I63" s="3"/>
      <c r="J63" s="3"/>
      <c r="K63" s="19"/>
      <c r="L63" s="20">
        <f t="shared" ref="L63:L66" si="25">I63/H63</f>
        <v>0</v>
      </c>
      <c r="N63" s="67"/>
    </row>
    <row r="64" spans="1:15" ht="15" customHeight="1">
      <c r="A64" s="1" t="str">
        <f>SCALARS!A65</f>
        <v>Tuesday</v>
      </c>
      <c r="B64" s="28">
        <f>SCALARS!B65</f>
        <v>46140</v>
      </c>
      <c r="C64" s="61">
        <f>SCALARS!E65</f>
        <v>3545.2257</v>
      </c>
      <c r="D64" s="61">
        <f>K64/G64</f>
        <v>3545.2252173546772</v>
      </c>
      <c r="E64" s="158">
        <f t="shared" ref="E64:E67" si="26">C64-D64</f>
        <v>4.8264532279063133E-4</v>
      </c>
      <c r="F64" s="58">
        <f>K64/L64</f>
        <v>3545.207459681144</v>
      </c>
      <c r="G64" s="64">
        <v>6410.03</v>
      </c>
      <c r="H64" s="47">
        <v>76762.25</v>
      </c>
      <c r="I64" s="3">
        <v>492050790</v>
      </c>
      <c r="J64" s="3"/>
      <c r="K64" s="19">
        <v>22725000</v>
      </c>
      <c r="L64" s="20">
        <f t="shared" si="25"/>
        <v>6410.0621073509437</v>
      </c>
      <c r="N64" s="67"/>
    </row>
    <row r="65" spans="1:14" ht="15" customHeight="1">
      <c r="A65" s="1" t="str">
        <f>SCALARS!A66</f>
        <v>Wednesday</v>
      </c>
      <c r="B65" s="28">
        <f>SCALARS!B66</f>
        <v>46141</v>
      </c>
      <c r="C65" s="61">
        <f>SCALARS!E66</f>
        <v>3545.25</v>
      </c>
      <c r="D65" s="61">
        <f t="shared" si="8"/>
        <v>3545.2528713038109</v>
      </c>
      <c r="E65" s="61">
        <f t="shared" si="26"/>
        <v>-2.871303810934478E-3</v>
      </c>
      <c r="F65" s="58">
        <f>K65/L65</f>
        <v>3545.2204342606124</v>
      </c>
      <c r="G65" s="64">
        <v>6409.98</v>
      </c>
      <c r="H65" s="47">
        <v>76184.66</v>
      </c>
      <c r="I65" s="3">
        <v>488346615</v>
      </c>
      <c r="J65" s="3">
        <v>4261.2299999999996</v>
      </c>
      <c r="K65" s="19">
        <v>22725000</v>
      </c>
      <c r="L65" s="20">
        <f t="shared" si="25"/>
        <v>6410.0386482003069</v>
      </c>
      <c r="N65" s="119" t="s">
        <v>76</v>
      </c>
    </row>
    <row r="66" spans="1:14" ht="15" customHeight="1">
      <c r="A66" s="1" t="str">
        <f>SCALARS!A67</f>
        <v>Thursday</v>
      </c>
      <c r="B66" s="28">
        <f>SCALARS!B67</f>
        <v>46142</v>
      </c>
      <c r="C66" s="61">
        <f>SCALARS!E67</f>
        <v>3545.2743</v>
      </c>
      <c r="D66" s="61">
        <f t="shared" si="8"/>
        <v>3545.274994773742</v>
      </c>
      <c r="E66" s="61">
        <f t="shared" si="26"/>
        <v>-6.9477374199777842E-4</v>
      </c>
      <c r="F66" s="58">
        <f>K66/L66</f>
        <v>3545.2593640306563</v>
      </c>
      <c r="G66" s="64">
        <v>6409.94</v>
      </c>
      <c r="H66" s="47">
        <v>75446.31</v>
      </c>
      <c r="I66" s="3">
        <v>483608452.5</v>
      </c>
      <c r="J66" s="3">
        <v>2221.89</v>
      </c>
      <c r="K66" s="19">
        <v>22725000</v>
      </c>
      <c r="L66" s="20">
        <f t="shared" si="25"/>
        <v>6409.9682608731964</v>
      </c>
      <c r="N66" s="67"/>
    </row>
    <row r="67" spans="1:14" ht="15" customHeight="1">
      <c r="A67" s="1" t="str">
        <f>SCALARS!A68</f>
        <v>Friday</v>
      </c>
      <c r="B67" s="28">
        <f>SCALARS!B68</f>
        <v>46143</v>
      </c>
      <c r="C67" s="61">
        <f>SCALARS!E68</f>
        <v>3545.2986000000001</v>
      </c>
      <c r="D67" s="61">
        <f t="shared" si="8"/>
        <v>3545.2996393560816</v>
      </c>
      <c r="E67" s="61">
        <f t="shared" si="26"/>
        <v>-1.0393560814918601E-3</v>
      </c>
      <c r="F67" s="58">
        <f>K67/L67</f>
        <v>3545.2692232748464</v>
      </c>
      <c r="G67" s="64">
        <v>6297.07</v>
      </c>
      <c r="H67" s="47">
        <v>76416.86</v>
      </c>
      <c r="I67" s="3">
        <v>481206445</v>
      </c>
      <c r="J67" s="3">
        <v>4168.6000000000004</v>
      </c>
      <c r="K67" s="19">
        <v>22325000</v>
      </c>
      <c r="L67" s="20">
        <f>I67/H67</f>
        <v>6297.1240247243868</v>
      </c>
      <c r="N67" s="67"/>
    </row>
    <row r="68" spans="1:14" ht="15" customHeight="1">
      <c r="A68" s="1" t="str">
        <f>SCALARS!A69</f>
        <v>Saturday</v>
      </c>
      <c r="B68" s="28">
        <f>SCALARS!B69</f>
        <v>46144</v>
      </c>
      <c r="C68" s="61">
        <f>SCALARS!E69</f>
        <v>3545.3229000000001</v>
      </c>
      <c r="D68" s="61"/>
      <c r="E68" s="58"/>
      <c r="F68" s="58"/>
      <c r="G68" s="64"/>
      <c r="H68" s="47"/>
      <c r="I68" s="3"/>
      <c r="J68" s="3"/>
      <c r="K68" s="19"/>
      <c r="L68" s="20"/>
    </row>
    <row r="69" spans="1:14" ht="15" customHeight="1">
      <c r="A69" s="1" t="str">
        <f>SCALARS!A70</f>
        <v>Sunday</v>
      </c>
      <c r="B69" s="28">
        <f>SCALARS!B70</f>
        <v>46145</v>
      </c>
      <c r="C69" s="61">
        <f>SCALARS!E70</f>
        <v>3545.3472000000002</v>
      </c>
      <c r="D69" s="61"/>
      <c r="E69" s="58"/>
      <c r="F69" s="58"/>
      <c r="G69" s="64"/>
      <c r="H69" s="47"/>
      <c r="I69" s="3"/>
      <c r="J69" s="3"/>
      <c r="K69" s="19"/>
      <c r="L69" s="20"/>
    </row>
    <row r="70" spans="1:14" ht="15" customHeight="1">
      <c r="A70" s="1" t="str">
        <f>SCALARS!A71</f>
        <v>Monday</v>
      </c>
      <c r="B70" s="28">
        <f>SCALARS!B71</f>
        <v>46146</v>
      </c>
      <c r="C70" s="61">
        <f>SCALARS!E71</f>
        <v>3545.3715000000002</v>
      </c>
      <c r="D70" s="61">
        <f t="shared" si="8"/>
        <v>3545.3728318834228</v>
      </c>
      <c r="E70" s="61">
        <f t="shared" ref="E70:E95" si="27">C70-D70</f>
        <v>-1.3318834226083709E-3</v>
      </c>
      <c r="F70" s="58">
        <f t="shared" ref="F70:F98" si="28">K70/L70</f>
        <v>3545.2981946912255</v>
      </c>
      <c r="G70" s="64">
        <v>6296.94</v>
      </c>
      <c r="H70" s="47">
        <v>78415.259999999995</v>
      </c>
      <c r="I70" s="3">
        <v>493786582.5</v>
      </c>
      <c r="J70" s="3">
        <v>10388.73</v>
      </c>
      <c r="K70" s="19">
        <v>22325000</v>
      </c>
      <c r="L70" s="20">
        <f t="shared" ref="L70:L95" si="29">I70/H70</f>
        <v>6297.0725659775917</v>
      </c>
    </row>
    <row r="71" spans="1:14" ht="15" customHeight="1">
      <c r="A71" s="1" t="str">
        <f>SCALARS!A72</f>
        <v>Tuesday</v>
      </c>
      <c r="B71" s="28">
        <f>SCALARS!B72</f>
        <v>46147</v>
      </c>
      <c r="C71" s="61">
        <f>SCALARS!E72</f>
        <v>3545.3957999999998</v>
      </c>
      <c r="D71" s="61">
        <f t="shared" si="8"/>
        <v>3545.3953532690689</v>
      </c>
      <c r="E71" s="61">
        <f t="shared" si="27"/>
        <v>4.4673093088931637E-4</v>
      </c>
      <c r="F71" s="58">
        <f t="shared" si="28"/>
        <v>3545.3728856371781</v>
      </c>
      <c r="G71" s="64">
        <v>6296.9</v>
      </c>
      <c r="H71" s="47">
        <v>80004.53</v>
      </c>
      <c r="I71" s="3">
        <v>503783717.5</v>
      </c>
      <c r="J71" s="3">
        <v>3436.35</v>
      </c>
      <c r="K71" s="19">
        <v>22325000</v>
      </c>
      <c r="L71" s="20">
        <f t="shared" si="29"/>
        <v>6296.939904527906</v>
      </c>
    </row>
    <row r="72" spans="1:14" ht="15" customHeight="1">
      <c r="A72" s="1" t="str">
        <f>SCALARS!A73</f>
        <v>Wednesday</v>
      </c>
      <c r="B72" s="28">
        <f>SCALARS!B73</f>
        <v>46148</v>
      </c>
      <c r="C72" s="61">
        <f>SCALARS!E73</f>
        <v>3545.4200999999998</v>
      </c>
      <c r="D72" s="61">
        <f t="shared" si="8"/>
        <v>3545.4235054034953</v>
      </c>
      <c r="E72" s="61">
        <f t="shared" si="27"/>
        <v>-3.4054034954351664E-3</v>
      </c>
      <c r="F72" s="58">
        <f t="shared" si="28"/>
        <v>3545.3966128807901</v>
      </c>
      <c r="G72" s="64">
        <v>6296.85</v>
      </c>
      <c r="H72" s="47">
        <v>81561.14</v>
      </c>
      <c r="I72" s="3">
        <v>513582160</v>
      </c>
      <c r="J72" s="3">
        <v>3583.71</v>
      </c>
      <c r="K72" s="19">
        <v>22325000</v>
      </c>
      <c r="L72" s="20">
        <f t="shared" si="29"/>
        <v>6296.8977628316625</v>
      </c>
    </row>
    <row r="73" spans="1:14" ht="15" customHeight="1">
      <c r="A73" s="1" t="str">
        <f>SCALARS!A74</f>
        <v>Thursday</v>
      </c>
      <c r="B73" s="28">
        <f>SCALARS!B74</f>
        <v>46149</v>
      </c>
      <c r="C73" s="61">
        <f>SCALARS!E74</f>
        <v>3545.4443999999999</v>
      </c>
      <c r="D73" s="61">
        <f t="shared" si="8"/>
        <v>3545.4460274329381</v>
      </c>
      <c r="E73" s="61">
        <f t="shared" si="27"/>
        <v>-1.6274329382213182E-3</v>
      </c>
      <c r="F73" s="58">
        <f t="shared" si="28"/>
        <v>3545.4262978070637</v>
      </c>
      <c r="G73" s="64">
        <v>6296.81</v>
      </c>
      <c r="H73" s="47">
        <v>81354.77</v>
      </c>
      <c r="I73" s="3">
        <v>512278380</v>
      </c>
      <c r="J73" s="3">
        <v>2794.22</v>
      </c>
      <c r="K73" s="19">
        <v>22325000</v>
      </c>
      <c r="L73" s="20">
        <f t="shared" si="29"/>
        <v>6296.8450405550893</v>
      </c>
    </row>
    <row r="74" spans="1:14" ht="15" customHeight="1">
      <c r="A74" s="1" t="str">
        <f>SCALARS!A75</f>
        <v>Friday</v>
      </c>
      <c r="B74" s="28">
        <f>SCALARS!B75</f>
        <v>46150</v>
      </c>
      <c r="C74" s="61">
        <f>SCALARS!E75</f>
        <v>3545.4686999999999</v>
      </c>
      <c r="D74" s="61">
        <f t="shared" si="8"/>
        <v>3545.4685112266434</v>
      </c>
      <c r="E74" s="61">
        <f t="shared" si="27"/>
        <v>1.8877335651268368E-4</v>
      </c>
      <c r="F74" s="58">
        <f t="shared" si="28"/>
        <v>3545.4429135601331</v>
      </c>
      <c r="G74" s="64">
        <v>6183.95</v>
      </c>
      <c r="H74" s="47">
        <v>80080.210000000006</v>
      </c>
      <c r="I74" s="3">
        <v>495215590</v>
      </c>
      <c r="J74" s="3">
        <v>3772.18</v>
      </c>
      <c r="K74" s="19">
        <v>21925000</v>
      </c>
      <c r="L74" s="20">
        <f t="shared" si="29"/>
        <v>6183.9946473666832</v>
      </c>
    </row>
    <row r="75" spans="1:14" ht="15" customHeight="1">
      <c r="A75" s="1" t="str">
        <f>SCALARS!A76</f>
        <v>Saturday</v>
      </c>
      <c r="B75" s="28">
        <f>SCALARS!B76</f>
        <v>46151</v>
      </c>
      <c r="C75" s="61">
        <f>SCALARS!E76</f>
        <v>3545.4929999999999</v>
      </c>
      <c r="D75" s="61"/>
      <c r="E75" s="61"/>
      <c r="F75" s="58"/>
      <c r="G75" s="64"/>
      <c r="H75" s="47"/>
      <c r="I75" s="3"/>
      <c r="J75" s="3"/>
      <c r="K75" s="19"/>
      <c r="L75" s="20"/>
    </row>
    <row r="76" spans="1:14" ht="15" customHeight="1">
      <c r="A76" s="1" t="str">
        <f>SCALARS!A77</f>
        <v>Sunday</v>
      </c>
      <c r="B76" s="28">
        <f>SCALARS!B77</f>
        <v>46152</v>
      </c>
      <c r="C76" s="61">
        <f>SCALARS!E77</f>
        <v>3545.5173</v>
      </c>
      <c r="D76" s="61"/>
      <c r="E76" s="61"/>
      <c r="F76" s="58"/>
      <c r="G76" s="64"/>
      <c r="H76" s="47"/>
      <c r="I76" s="3"/>
      <c r="J76" s="3"/>
      <c r="K76" s="19"/>
      <c r="L76" s="20"/>
    </row>
    <row r="77" spans="1:14" ht="15" customHeight="1">
      <c r="A77" s="1" t="str">
        <f>SCALARS!A78</f>
        <v>Monday</v>
      </c>
      <c r="B77" s="28">
        <f>SCALARS!B78</f>
        <v>46153</v>
      </c>
      <c r="C77" s="61">
        <f>SCALARS!E78</f>
        <v>3545.5416</v>
      </c>
      <c r="D77" s="61">
        <f t="shared" si="8"/>
        <v>3545.5430462076843</v>
      </c>
      <c r="E77" s="61">
        <f t="shared" si="27"/>
        <v>-1.446207684239198E-3</v>
      </c>
      <c r="F77" s="58">
        <f t="shared" si="28"/>
        <v>3545.4724191527139</v>
      </c>
      <c r="G77" s="64">
        <v>6183.82</v>
      </c>
      <c r="H77" s="47">
        <v>80066.34</v>
      </c>
      <c r="I77" s="3">
        <v>495125697.5</v>
      </c>
      <c r="J77" s="3">
        <v>9824.85</v>
      </c>
      <c r="K77" s="19">
        <v>21925000</v>
      </c>
      <c r="L77" s="20">
        <f t="shared" si="29"/>
        <v>6183.9431838647806</v>
      </c>
    </row>
    <row r="78" spans="1:14" ht="15" customHeight="1">
      <c r="A78" s="1" t="str">
        <f>SCALARS!A79</f>
        <v>Tuesday</v>
      </c>
      <c r="B78" s="28">
        <f>SCALARS!B79</f>
        <v>46154</v>
      </c>
      <c r="C78" s="61">
        <f>SCALARS!E79</f>
        <v>3545.5659000000001</v>
      </c>
      <c r="D78" s="61">
        <f t="shared" si="8"/>
        <v>3545.5659806784847</v>
      </c>
      <c r="E78" s="61">
        <f t="shared" si="27"/>
        <v>-8.0678484664531425E-5</v>
      </c>
      <c r="F78" s="58">
        <f t="shared" si="28"/>
        <v>3545.53642922995</v>
      </c>
      <c r="G78" s="64">
        <v>6183.78</v>
      </c>
      <c r="H78" s="47">
        <v>81915.009999999995</v>
      </c>
      <c r="I78" s="3">
        <v>506548622.5</v>
      </c>
      <c r="J78" s="3">
        <v>4376</v>
      </c>
      <c r="K78" s="19">
        <v>21925000</v>
      </c>
      <c r="L78" s="20">
        <f t="shared" si="29"/>
        <v>6183.8315407640193</v>
      </c>
    </row>
    <row r="79" spans="1:14" ht="15" customHeight="1">
      <c r="A79" s="1" t="str">
        <f>SCALARS!A80</f>
        <v>Wednesday</v>
      </c>
      <c r="B79" s="28">
        <f>SCALARS!B80</f>
        <v>46155</v>
      </c>
      <c r="C79" s="61">
        <f>SCALARS!E80</f>
        <v>3545.5902000000001</v>
      </c>
      <c r="D79" s="61">
        <f t="shared" si="8"/>
        <v>3545.5889154459924</v>
      </c>
      <c r="E79" s="61">
        <f t="shared" si="27"/>
        <v>1.2845540077250917E-3</v>
      </c>
      <c r="F79" s="58">
        <f t="shared" si="28"/>
        <v>3545.565502192992</v>
      </c>
      <c r="G79" s="64">
        <v>6183.74</v>
      </c>
      <c r="H79" s="47">
        <v>80757.7</v>
      </c>
      <c r="I79" s="3">
        <v>499387917.5</v>
      </c>
      <c r="J79" s="3">
        <v>3639.74</v>
      </c>
      <c r="K79" s="19">
        <v>21925000</v>
      </c>
      <c r="L79" s="20">
        <f t="shared" si="29"/>
        <v>6183.7808345210424</v>
      </c>
    </row>
    <row r="80" spans="1:14" ht="15" customHeight="1">
      <c r="A80" s="1" t="str">
        <f>SCALARS!A81</f>
        <v>Thursday</v>
      </c>
      <c r="B80" s="28">
        <f>SCALARS!B81</f>
        <v>46156</v>
      </c>
      <c r="C80" s="61">
        <f>SCALARS!E81</f>
        <v>3545.6145000000001</v>
      </c>
      <c r="D80" s="61">
        <f t="shared" si="8"/>
        <v>3545.6128145077787</v>
      </c>
      <c r="E80" s="61">
        <f t="shared" si="27"/>
        <v>1.6854922214406542E-3</v>
      </c>
      <c r="F80" s="58">
        <f t="shared" si="28"/>
        <v>3545.5977128890831</v>
      </c>
      <c r="G80" s="64">
        <v>6123.06</v>
      </c>
      <c r="H80" s="47">
        <v>79496.91</v>
      </c>
      <c r="I80" s="3">
        <v>486766423</v>
      </c>
      <c r="J80" s="3">
        <v>2459.61</v>
      </c>
      <c r="K80" s="19">
        <v>21710000</v>
      </c>
      <c r="L80" s="20">
        <f t="shared" si="29"/>
        <v>6123.0860796979405</v>
      </c>
    </row>
    <row r="81" spans="1:12" ht="15" customHeight="1">
      <c r="A81" s="1" t="str">
        <f>SCALARS!A82</f>
        <v>Friday</v>
      </c>
      <c r="B81" s="28">
        <f>SCALARS!B82</f>
        <v>46157</v>
      </c>
      <c r="C81" s="61">
        <f>SCALARS!E82</f>
        <v>3545.6388000000002</v>
      </c>
      <c r="D81" s="61">
        <f t="shared" si="8"/>
        <v>3545.6375141965614</v>
      </c>
      <c r="E81" s="61">
        <f t="shared" si="27"/>
        <v>1.285803438804578E-3</v>
      </c>
      <c r="F81" s="58">
        <f t="shared" si="28"/>
        <v>3545.6190869744883</v>
      </c>
      <c r="G81" s="64">
        <v>6066.61</v>
      </c>
      <c r="H81" s="47">
        <v>81512.009999999995</v>
      </c>
      <c r="I81" s="3">
        <v>494504145</v>
      </c>
      <c r="J81" s="3">
        <v>2904.69</v>
      </c>
      <c r="K81" s="19">
        <v>21510000</v>
      </c>
      <c r="L81" s="20">
        <f t="shared" si="29"/>
        <v>6066.6415292666688</v>
      </c>
    </row>
    <row r="82" spans="1:12" ht="15" customHeight="1">
      <c r="A82" s="1" t="str">
        <f>SCALARS!A83</f>
        <v>Saturday</v>
      </c>
      <c r="B82" s="28">
        <f>SCALARS!B83</f>
        <v>46158</v>
      </c>
      <c r="C82" s="61">
        <f>SCALARS!E83</f>
        <v>3545.6631000000002</v>
      </c>
      <c r="D82" s="61"/>
      <c r="E82" s="61"/>
      <c r="F82" s="58"/>
      <c r="G82" s="64"/>
      <c r="H82" s="47"/>
      <c r="I82" s="3"/>
      <c r="J82" s="3"/>
      <c r="K82" s="19"/>
      <c r="L82" s="20"/>
    </row>
    <row r="83" spans="1:12" ht="15" customHeight="1">
      <c r="A83" s="1" t="str">
        <f>SCALARS!A84</f>
        <v>Sunday</v>
      </c>
      <c r="B83" s="28">
        <f>SCALARS!B84</f>
        <v>46159</v>
      </c>
      <c r="C83" s="61">
        <f>SCALARS!E84</f>
        <v>3545.6873999999998</v>
      </c>
      <c r="D83" s="61"/>
      <c r="E83" s="61"/>
      <c r="F83" s="58"/>
      <c r="G83" s="64"/>
      <c r="H83" s="47"/>
      <c r="I83" s="3"/>
      <c r="J83" s="3"/>
      <c r="K83" s="19"/>
      <c r="L83" s="20"/>
    </row>
    <row r="84" spans="1:12" ht="15" customHeight="1">
      <c r="A84" s="1" t="str">
        <f>SCALARS!A85</f>
        <v>Monday</v>
      </c>
      <c r="B84" s="28">
        <f>SCALARS!B85</f>
        <v>46160</v>
      </c>
      <c r="C84" s="61">
        <f>SCALARS!E85</f>
        <v>3545.7116999999998</v>
      </c>
      <c r="D84" s="61">
        <f t="shared" si="8"/>
        <v>3545.7134944811492</v>
      </c>
      <c r="E84" s="61">
        <f t="shared" si="27"/>
        <v>-1.7944811493180168E-3</v>
      </c>
      <c r="F84" s="58">
        <f t="shared" si="28"/>
        <v>3545.7127708356711</v>
      </c>
      <c r="G84" s="64">
        <v>6066.48</v>
      </c>
      <c r="H84" s="47">
        <v>79097.039999999994</v>
      </c>
      <c r="I84" s="3">
        <v>479840709.14999998</v>
      </c>
      <c r="J84" s="3">
        <v>10823.85</v>
      </c>
      <c r="K84" s="19">
        <v>21510000</v>
      </c>
      <c r="L84" s="20">
        <f t="shared" si="29"/>
        <v>6066.4812381095426</v>
      </c>
    </row>
    <row r="85" spans="1:12" ht="15" customHeight="1">
      <c r="A85" s="1" t="str">
        <f>SCALARS!A86</f>
        <v>Tuesday</v>
      </c>
      <c r="B85" s="28">
        <f>SCALARS!B86</f>
        <v>46161</v>
      </c>
      <c r="C85" s="61">
        <f>SCALARS!E86</f>
        <v>3545.7359999999999</v>
      </c>
      <c r="D85" s="61">
        <f t="shared" si="8"/>
        <v>3545.7397940529295</v>
      </c>
      <c r="E85" s="61">
        <f t="shared" si="27"/>
        <v>-3.7940529296065506E-3</v>
      </c>
      <c r="F85" s="58">
        <f t="shared" si="28"/>
        <v>3545.7146820809253</v>
      </c>
      <c r="G85" s="64">
        <v>6017.08</v>
      </c>
      <c r="H85" s="47">
        <v>76676.08</v>
      </c>
      <c r="I85" s="3">
        <v>461369375</v>
      </c>
      <c r="J85" s="3">
        <v>2911.4</v>
      </c>
      <c r="K85" s="19">
        <v>21335000</v>
      </c>
      <c r="L85" s="20">
        <f t="shared" si="29"/>
        <v>6017.1226150319626</v>
      </c>
    </row>
    <row r="86" spans="1:12" ht="15" customHeight="1">
      <c r="A86" s="1" t="str">
        <f>SCALARS!A87</f>
        <v>Wednesday</v>
      </c>
      <c r="B86" s="28">
        <f>SCALARS!B87</f>
        <v>46162</v>
      </c>
      <c r="C86" s="61">
        <f>SCALARS!E87</f>
        <v>3545.7602999999999</v>
      </c>
      <c r="D86" s="61">
        <f t="shared" si="8"/>
        <v>3545.7633653756666</v>
      </c>
      <c r="E86" s="61">
        <f t="shared" si="27"/>
        <v>-3.0653756666652043E-3</v>
      </c>
      <c r="F86" s="58">
        <f t="shared" si="28"/>
        <v>3545.7321942055878</v>
      </c>
      <c r="G86" s="64">
        <v>6017.04</v>
      </c>
      <c r="H86" s="47">
        <v>76820.77</v>
      </c>
      <c r="I86" s="3">
        <v>462237709.5</v>
      </c>
      <c r="J86" s="3">
        <v>3799.92</v>
      </c>
      <c r="K86" s="19">
        <v>21335000</v>
      </c>
      <c r="L86" s="20">
        <f t="shared" si="29"/>
        <v>6017.0928968819235</v>
      </c>
    </row>
    <row r="87" spans="1:12" ht="15" customHeight="1">
      <c r="A87" s="1" t="str">
        <f>SCALARS!A88</f>
        <v>Thursday</v>
      </c>
      <c r="B87" s="28">
        <f>SCALARS!B88</f>
        <v>46163</v>
      </c>
      <c r="C87" s="61">
        <f>SCALARS!E88</f>
        <v>3545.7846</v>
      </c>
      <c r="D87" s="61">
        <f t="shared" si="8"/>
        <v>3545.7869370118001</v>
      </c>
      <c r="E87" s="61">
        <f t="shared" si="27"/>
        <v>-2.3370118001366791E-3</v>
      </c>
      <c r="F87" s="58">
        <f t="shared" si="28"/>
        <v>3545.7613775236978</v>
      </c>
      <c r="G87" s="64">
        <v>6017</v>
      </c>
      <c r="H87" s="47">
        <v>77467.44</v>
      </c>
      <c r="I87" s="3">
        <v>466124946.5</v>
      </c>
      <c r="J87" s="3">
        <v>3188.11</v>
      </c>
      <c r="K87" s="19">
        <v>21335000</v>
      </c>
      <c r="L87" s="20">
        <f t="shared" si="29"/>
        <v>6017.0433733191649</v>
      </c>
    </row>
    <row r="88" spans="1:12" ht="15" customHeight="1">
      <c r="A88" s="1" t="str">
        <f>SCALARS!A89</f>
        <v>Friday</v>
      </c>
      <c r="B88" s="28">
        <f>SCALARS!B89</f>
        <v>46164</v>
      </c>
      <c r="C88" s="61">
        <f>SCALARS!E89</f>
        <v>3545.8089</v>
      </c>
      <c r="D88" s="61">
        <f t="shared" si="8"/>
        <v>3545.8105089613359</v>
      </c>
      <c r="E88" s="61">
        <f t="shared" si="27"/>
        <v>-1.6089613359326904E-3</v>
      </c>
      <c r="F88" s="58">
        <f t="shared" si="28"/>
        <v>3545.7820633628216</v>
      </c>
      <c r="G88" s="64">
        <v>6016.96</v>
      </c>
      <c r="H88" s="47">
        <v>77515.759999999995</v>
      </c>
      <c r="I88" s="3">
        <v>466412969</v>
      </c>
      <c r="J88" s="3">
        <v>3663.61</v>
      </c>
      <c r="K88" s="19">
        <v>21335000</v>
      </c>
      <c r="L88" s="20">
        <f t="shared" si="29"/>
        <v>6017.0082703181915</v>
      </c>
    </row>
    <row r="89" spans="1:12" ht="15" customHeight="1">
      <c r="A89" s="1" t="str">
        <f>SCALARS!A90</f>
        <v>Saturday</v>
      </c>
      <c r="B89" s="28">
        <f>SCALARS!B90</f>
        <v>46165</v>
      </c>
      <c r="C89" s="61">
        <f>SCALARS!E90</f>
        <v>3545.8332</v>
      </c>
      <c r="D89" s="61"/>
      <c r="E89" s="61"/>
      <c r="F89" s="58"/>
      <c r="G89" s="64"/>
      <c r="H89" s="47"/>
      <c r="I89" s="3"/>
      <c r="J89" s="3"/>
      <c r="K89" s="19"/>
      <c r="L89" s="20"/>
    </row>
    <row r="90" spans="1:12" ht="15" customHeight="1">
      <c r="A90" s="1" t="str">
        <f>SCALARS!A91</f>
        <v>Sunday</v>
      </c>
      <c r="B90" s="28">
        <f>SCALARS!B91</f>
        <v>46166</v>
      </c>
      <c r="C90" s="61">
        <f>SCALARS!E91</f>
        <v>3545.8575000000001</v>
      </c>
      <c r="D90" s="61"/>
      <c r="E90" s="61"/>
      <c r="F90" s="58"/>
      <c r="G90" s="64"/>
      <c r="H90" s="47"/>
      <c r="I90" s="3"/>
      <c r="J90" s="3"/>
      <c r="K90" s="19"/>
      <c r="L90" s="20"/>
    </row>
    <row r="91" spans="1:12" ht="15" customHeight="1">
      <c r="A91" s="1" t="str">
        <f>SCALARS!A92</f>
        <v>Monday</v>
      </c>
      <c r="B91" s="28">
        <f>SCALARS!B92</f>
        <v>46167</v>
      </c>
      <c r="C91" s="61">
        <f>SCALARS!E92</f>
        <v>3545.8818000000001</v>
      </c>
      <c r="D91" s="61"/>
      <c r="E91" s="61"/>
      <c r="F91" s="58"/>
      <c r="G91" s="64"/>
      <c r="H91" s="47"/>
      <c r="I91" s="3"/>
      <c r="J91" s="3"/>
      <c r="K91" s="19"/>
      <c r="L91" s="20"/>
    </row>
    <row r="92" spans="1:12" ht="15" customHeight="1">
      <c r="A92" s="1" t="str">
        <f>SCALARS!A93</f>
        <v>Tuesday</v>
      </c>
      <c r="B92" s="28">
        <f>SCALARS!B93</f>
        <v>46168</v>
      </c>
      <c r="C92" s="61">
        <f>SCALARS!E93</f>
        <v>3545.9061000000002</v>
      </c>
      <c r="D92" s="61">
        <f t="shared" si="8"/>
        <v>3545.9047998936312</v>
      </c>
      <c r="E92" s="61">
        <f t="shared" si="27"/>
        <v>1.3001063689443981E-3</v>
      </c>
      <c r="F92" s="58">
        <f t="shared" si="28"/>
        <v>3545.8096935538056</v>
      </c>
      <c r="G92" s="64">
        <v>6016.8</v>
      </c>
      <c r="H92" s="47">
        <v>75996.63</v>
      </c>
      <c r="I92" s="3">
        <v>457268788</v>
      </c>
      <c r="J92" s="3">
        <v>12556.5</v>
      </c>
      <c r="K92" s="19">
        <v>21335000</v>
      </c>
      <c r="L92" s="20">
        <f t="shared" si="29"/>
        <v>6016.9613836824074</v>
      </c>
    </row>
    <row r="93" spans="1:12" ht="15" customHeight="1">
      <c r="A93" s="1" t="str">
        <f>SCALARS!A94</f>
        <v>Wednesday</v>
      </c>
      <c r="B93" s="28">
        <f>SCALARS!B94</f>
        <v>46169</v>
      </c>
      <c r="C93" s="61">
        <f>SCALARS!E94</f>
        <v>3545.9304000000002</v>
      </c>
      <c r="D93" s="61">
        <f t="shared" si="8"/>
        <v>3545.9342668384093</v>
      </c>
      <c r="E93" s="61">
        <f t="shared" si="27"/>
        <v>-3.8668384090669861E-3</v>
      </c>
      <c r="F93" s="58">
        <f t="shared" si="28"/>
        <v>3545.9126880191575</v>
      </c>
      <c r="G93" s="64">
        <v>6016.75</v>
      </c>
      <c r="H93" s="47">
        <v>75814.45</v>
      </c>
      <c r="I93" s="3">
        <v>456159368</v>
      </c>
      <c r="J93" s="3">
        <v>2400.84</v>
      </c>
      <c r="K93" s="19">
        <v>21335000</v>
      </c>
      <c r="L93" s="20">
        <f t="shared" si="29"/>
        <v>6016.7866152164925</v>
      </c>
    </row>
    <row r="94" spans="1:12" ht="15" customHeight="1">
      <c r="A94" s="1" t="str">
        <f>SCALARS!A95</f>
        <v>Thursday</v>
      </c>
      <c r="B94" s="28">
        <f>SCALARS!B95</f>
        <v>46170</v>
      </c>
      <c r="C94" s="61">
        <f>SCALARS!E95</f>
        <v>3545.9546999999998</v>
      </c>
      <c r="D94" s="61">
        <f t="shared" si="8"/>
        <v>3545.9578407468534</v>
      </c>
      <c r="E94" s="61">
        <f t="shared" si="27"/>
        <v>-3.1407468536599481E-3</v>
      </c>
      <c r="F94" s="58">
        <f t="shared" si="28"/>
        <v>3545.9372440210418</v>
      </c>
      <c r="G94" s="64">
        <v>6016.71</v>
      </c>
      <c r="H94" s="47">
        <v>74889.84</v>
      </c>
      <c r="I94" s="3">
        <v>450593066.5</v>
      </c>
      <c r="J94" s="3">
        <v>2337.41</v>
      </c>
      <c r="K94" s="19">
        <v>21335000</v>
      </c>
      <c r="L94" s="20">
        <f t="shared" si="29"/>
        <v>6016.744948313416</v>
      </c>
    </row>
    <row r="95" spans="1:12" ht="15" customHeight="1">
      <c r="A95" s="1" t="str">
        <f>SCALARS!A96</f>
        <v>Friday</v>
      </c>
      <c r="B95" s="28">
        <f>SCALARS!B96</f>
        <v>46171</v>
      </c>
      <c r="C95" s="61">
        <f>SCALARS!E96</f>
        <v>3545.9789999999998</v>
      </c>
      <c r="D95" s="61">
        <f t="shared" si="8"/>
        <v>3545.9799041499664</v>
      </c>
      <c r="E95" s="61">
        <f t="shared" si="27"/>
        <v>-9.041499665727315E-4</v>
      </c>
      <c r="F95" s="58">
        <f t="shared" si="28"/>
        <v>3545.963342208649</v>
      </c>
      <c r="G95" s="64">
        <v>5940.53</v>
      </c>
      <c r="H95" s="47">
        <v>73380.52</v>
      </c>
      <c r="I95" s="3">
        <v>435921216.5</v>
      </c>
      <c r="J95" s="3">
        <v>2038.64</v>
      </c>
      <c r="K95" s="19">
        <v>21065000</v>
      </c>
      <c r="L95" s="20">
        <f t="shared" si="29"/>
        <v>5940.5577461157263</v>
      </c>
    </row>
    <row r="96" spans="1:12" ht="15" customHeight="1">
      <c r="A96" s="1" t="str">
        <f>SCALARS!A97</f>
        <v>Saturday</v>
      </c>
      <c r="B96" s="28">
        <f>SCALARS!B97</f>
        <v>46172</v>
      </c>
      <c r="C96" s="61">
        <f>SCALARS!E97</f>
        <v>3546.0032999999999</v>
      </c>
      <c r="D96" s="61"/>
      <c r="E96" s="61"/>
      <c r="F96" s="58"/>
      <c r="G96" s="64"/>
      <c r="H96" s="47"/>
      <c r="I96" s="3"/>
      <c r="J96" s="3"/>
      <c r="K96" s="19"/>
      <c r="L96" s="20"/>
    </row>
    <row r="97" spans="1:12" ht="15" customHeight="1">
      <c r="A97" s="1" t="str">
        <f>SCALARS!A98</f>
        <v>Sunday</v>
      </c>
      <c r="B97" s="28">
        <f>SCALARS!B98</f>
        <v>46173</v>
      </c>
      <c r="C97" s="61">
        <f>SCALARS!E98</f>
        <v>3546.0275999999999</v>
      </c>
      <c r="D97" s="61"/>
      <c r="E97" s="61"/>
      <c r="F97" s="58"/>
      <c r="G97" s="64"/>
      <c r="H97" s="47"/>
      <c r="I97" s="3"/>
      <c r="J97" s="3"/>
      <c r="K97" s="19"/>
      <c r="L97" s="20"/>
    </row>
    <row r="98" spans="1:12" ht="15" customHeight="1">
      <c r="A98" s="1" t="str">
        <f>SCALARS!A99</f>
        <v>Monday</v>
      </c>
      <c r="B98" s="28">
        <f>SCALARS!B99</f>
        <v>46174</v>
      </c>
      <c r="C98" s="61">
        <f>SCALARS!E99</f>
        <v>3546.0518999999999</v>
      </c>
      <c r="D98" s="61">
        <f t="shared" ref="D98" si="30">K98/G98</f>
        <v>3546.0515351633981</v>
      </c>
      <c r="E98" s="61">
        <f t="shared" ref="E98" si="31">C98-D98</f>
        <v>3.6483660187514033E-4</v>
      </c>
      <c r="F98" s="58">
        <f t="shared" si="28"/>
        <v>3545.9737185371273</v>
      </c>
      <c r="G98" s="64">
        <v>5940.41</v>
      </c>
      <c r="H98" s="47">
        <v>73398.11</v>
      </c>
      <c r="I98" s="3">
        <v>436024435</v>
      </c>
      <c r="J98" s="3">
        <v>9722.66</v>
      </c>
      <c r="K98" s="19">
        <v>21065000</v>
      </c>
      <c r="L98" s="20">
        <f t="shared" ref="L98" si="32">I98/H98</f>
        <v>5940.5403626878133</v>
      </c>
    </row>
    <row r="99" spans="1:12" ht="15" customHeight="1">
      <c r="A99" s="1" t="str">
        <f>SCALARS!A100</f>
        <v>Tuesday</v>
      </c>
      <c r="B99" s="28">
        <f>SCALARS!B100</f>
        <v>46175</v>
      </c>
      <c r="C99" s="61">
        <f>SCALARS!E100</f>
        <v>3546.0762</v>
      </c>
      <c r="D99" s="61">
        <f t="shared" ref="D99:D126" si="33">K99/G99</f>
        <v>3546.0754128109866</v>
      </c>
      <c r="E99" s="61">
        <f t="shared" ref="E99:E126" si="34">C99-D99</f>
        <v>7.8718901340835146E-4</v>
      </c>
      <c r="F99" s="58">
        <f t="shared" ref="F99:F126" si="35">K99/L99</f>
        <v>3546.047301322531</v>
      </c>
      <c r="G99" s="64">
        <v>5940.37</v>
      </c>
      <c r="H99" s="47">
        <v>71428.740000000005</v>
      </c>
      <c r="I99" s="3">
        <v>424316508</v>
      </c>
      <c r="J99" s="3">
        <v>3563.03</v>
      </c>
      <c r="K99" s="19">
        <v>21065000</v>
      </c>
      <c r="L99" s="20">
        <f t="shared" ref="L99:L126" si="36">I99/H99</f>
        <v>5940.4170926156612</v>
      </c>
    </row>
    <row r="100" spans="1:12" ht="15" customHeight="1">
      <c r="A100" s="1" t="str">
        <f>SCALARS!A101</f>
        <v>Wednesday</v>
      </c>
      <c r="B100" s="28">
        <f>SCALARS!B101</f>
        <v>46176</v>
      </c>
      <c r="C100" s="61">
        <f>SCALARS!E101</f>
        <v>3546.1005</v>
      </c>
      <c r="D100" s="61">
        <f t="shared" si="33"/>
        <v>3546.0992907801419</v>
      </c>
      <c r="E100" s="61">
        <f t="shared" si="34"/>
        <v>1.2092198580830882E-3</v>
      </c>
      <c r="F100" s="58">
        <f t="shared" si="35"/>
        <v>3546.0770779286236</v>
      </c>
      <c r="G100" s="64">
        <v>5940.33</v>
      </c>
      <c r="H100" s="47">
        <v>66991.23</v>
      </c>
      <c r="I100" s="3">
        <v>397952506.08999997</v>
      </c>
      <c r="J100" s="3">
        <v>1773.58</v>
      </c>
      <c r="K100" s="19">
        <v>21065000</v>
      </c>
      <c r="L100" s="20">
        <f t="shared" si="36"/>
        <v>5940.3672106035374</v>
      </c>
    </row>
    <row r="101" spans="1:12" ht="15" customHeight="1">
      <c r="A101" s="1" t="str">
        <f>SCALARS!A102</f>
        <v>Thursday</v>
      </c>
      <c r="B101" s="28">
        <f>SCALARS!B102</f>
        <v>46177</v>
      </c>
      <c r="C101" s="61">
        <f>SCALARS!E102</f>
        <v>3546.1248000000001</v>
      </c>
      <c r="D101" s="61">
        <f t="shared" si="33"/>
        <v>3546.1231690708705</v>
      </c>
      <c r="E101" s="61">
        <f t="shared" si="34"/>
        <v>1.6309291295328876E-3</v>
      </c>
      <c r="F101" s="58">
        <f t="shared" si="35"/>
        <v>3546.1092844841087</v>
      </c>
      <c r="G101" s="64">
        <v>5940.29</v>
      </c>
      <c r="H101" s="143">
        <v>65682.100000000006</v>
      </c>
      <c r="I101" s="144">
        <v>390172249.5</v>
      </c>
      <c r="J101" s="144">
        <v>1801.18</v>
      </c>
      <c r="K101" s="145">
        <v>21065000</v>
      </c>
      <c r="L101" s="146">
        <f t="shared" si="36"/>
        <v>5940.3132588635253</v>
      </c>
    </row>
    <row r="102" spans="1:12" ht="15" customHeight="1">
      <c r="A102" s="1" t="str">
        <f>SCALARS!A103</f>
        <v>Friday</v>
      </c>
      <c r="B102" s="28">
        <f>SCALARS!B103</f>
        <v>46178</v>
      </c>
      <c r="C102" s="61">
        <f>SCALARS!E103</f>
        <v>3546.1491000000001</v>
      </c>
      <c r="D102" s="61">
        <f t="shared" si="33"/>
        <v>3546.1470476831782</v>
      </c>
      <c r="E102" s="61">
        <f t="shared" si="34"/>
        <v>2.0523168218460341E-3</v>
      </c>
      <c r="F102" s="58">
        <f t="shared" si="35"/>
        <v>3546.1215746279036</v>
      </c>
      <c r="G102" s="64">
        <v>5940.25</v>
      </c>
      <c r="H102" s="47">
        <v>63732.67</v>
      </c>
      <c r="I102" s="3">
        <v>378590712.5</v>
      </c>
      <c r="J102" s="3">
        <v>3028.7</v>
      </c>
      <c r="K102" s="19">
        <v>21065000</v>
      </c>
      <c r="L102" s="20">
        <f t="shared" si="36"/>
        <v>5940.2926709331341</v>
      </c>
    </row>
    <row r="103" spans="1:12" ht="15" customHeight="1">
      <c r="A103" s="1" t="str">
        <f>SCALARS!A104</f>
        <v>Saturday</v>
      </c>
      <c r="B103" s="28">
        <f>SCALARS!B104</f>
        <v>46179</v>
      </c>
      <c r="C103" s="61">
        <f>SCALARS!E104</f>
        <v>3546.1734000000001</v>
      </c>
      <c r="D103" s="61"/>
      <c r="E103" s="61"/>
      <c r="F103" s="58"/>
      <c r="G103" s="64"/>
      <c r="H103" s="47"/>
      <c r="I103" s="3"/>
      <c r="J103" s="3"/>
      <c r="K103" s="19"/>
      <c r="L103" s="20"/>
    </row>
    <row r="104" spans="1:12" ht="15" customHeight="1">
      <c r="A104" s="1" t="str">
        <f>SCALARS!A105</f>
        <v>Sunday</v>
      </c>
      <c r="B104" s="28">
        <f>SCALARS!B105</f>
        <v>46180</v>
      </c>
      <c r="C104" s="61">
        <f>SCALARS!E105</f>
        <v>3546.1977000000002</v>
      </c>
      <c r="D104" s="61"/>
      <c r="E104" s="61"/>
      <c r="F104" s="58"/>
      <c r="G104" s="64"/>
      <c r="H104" s="47"/>
      <c r="I104" s="3"/>
      <c r="J104" s="3"/>
      <c r="K104" s="19"/>
      <c r="L104" s="20"/>
    </row>
    <row r="105" spans="1:12" ht="15" customHeight="1">
      <c r="A105" s="1" t="str">
        <f>SCALARS!A106</f>
        <v>Monday</v>
      </c>
      <c r="B105" s="28">
        <f>SCALARS!B106</f>
        <v>46181</v>
      </c>
      <c r="C105" s="61">
        <f>SCALARS!E106</f>
        <v>3546.2220000000002</v>
      </c>
      <c r="D105" s="61">
        <f t="shared" si="33"/>
        <v>3546.2246553941673</v>
      </c>
      <c r="E105" s="61">
        <f t="shared" si="34"/>
        <v>-2.6553941670499626E-3</v>
      </c>
      <c r="F105" s="58">
        <f t="shared" si="35"/>
        <v>3546.1441551727212</v>
      </c>
      <c r="G105" s="64">
        <v>5940.12</v>
      </c>
      <c r="H105" s="47">
        <v>59673.45</v>
      </c>
      <c r="I105" s="3">
        <v>354475500.5</v>
      </c>
      <c r="J105" s="3">
        <v>7862.35</v>
      </c>
      <c r="K105" s="19">
        <v>21065000</v>
      </c>
      <c r="L105" s="20">
        <f t="shared" si="36"/>
        <v>5940.2548453290365</v>
      </c>
    </row>
    <row r="106" spans="1:12" ht="15" customHeight="1">
      <c r="A106" s="1" t="str">
        <f>SCALARS!A107</f>
        <v>Tuesday</v>
      </c>
      <c r="B106" s="28">
        <f>SCALARS!B107</f>
        <v>46182</v>
      </c>
      <c r="C106" s="61">
        <f>SCALARS!E107</f>
        <v>3546.2462999999998</v>
      </c>
      <c r="D106" s="61">
        <f t="shared" si="33"/>
        <v>3546.2485353732609</v>
      </c>
      <c r="E106" s="61">
        <f t="shared" si="34"/>
        <v>-2.2353732611009036E-3</v>
      </c>
      <c r="F106" s="58">
        <f t="shared" si="35"/>
        <v>3546.2234940365074</v>
      </c>
      <c r="G106" s="64">
        <v>5940.08</v>
      </c>
      <c r="H106" s="47">
        <v>63449.74</v>
      </c>
      <c r="I106" s="3">
        <v>376899193</v>
      </c>
      <c r="J106" s="3">
        <v>2508.9299999999998</v>
      </c>
      <c r="K106" s="19">
        <v>21065000</v>
      </c>
      <c r="L106" s="20">
        <f t="shared" si="36"/>
        <v>5940.1219453381527</v>
      </c>
    </row>
    <row r="107" spans="1:12" ht="15" customHeight="1">
      <c r="A107" s="1" t="str">
        <f>SCALARS!A108</f>
        <v>Wednesday</v>
      </c>
      <c r="B107" s="28">
        <f>SCALARS!B108</f>
        <v>46183</v>
      </c>
      <c r="C107" s="61">
        <f>SCALARS!E108</f>
        <v>3546.2705999999998</v>
      </c>
      <c r="D107" s="61">
        <f t="shared" si="33"/>
        <v>3546.2724156739687</v>
      </c>
      <c r="E107" s="61">
        <f t="shared" si="34"/>
        <v>-1.8156739688492962E-3</v>
      </c>
      <c r="F107" s="58">
        <f t="shared" si="35"/>
        <v>3546.2527245612023</v>
      </c>
      <c r="G107" s="64">
        <v>5940.04</v>
      </c>
      <c r="H107" s="47">
        <v>61825.37</v>
      </c>
      <c r="I107" s="3">
        <v>367247210</v>
      </c>
      <c r="J107" s="3">
        <v>1933</v>
      </c>
      <c r="K107" s="19">
        <v>21065000</v>
      </c>
      <c r="L107" s="20">
        <f t="shared" si="36"/>
        <v>5940.0729829841694</v>
      </c>
    </row>
    <row r="108" spans="1:12" ht="15" customHeight="1">
      <c r="A108" s="1" t="str">
        <f>SCALARS!A109</f>
        <v>Thursday</v>
      </c>
      <c r="B108" s="28">
        <f>SCALARS!B109</f>
        <v>46184</v>
      </c>
      <c r="C108" s="61">
        <f>SCALARS!E109</f>
        <v>3546.2948999999999</v>
      </c>
      <c r="D108" s="61">
        <f t="shared" si="33"/>
        <v>3546.2962962962961</v>
      </c>
      <c r="E108" s="61">
        <f t="shared" si="34"/>
        <v>-1.3962962962068559E-3</v>
      </c>
      <c r="F108" s="58">
        <f t="shared" si="35"/>
        <v>3546.2657196621999</v>
      </c>
      <c r="G108" s="64">
        <v>5940</v>
      </c>
      <c r="H108" s="47">
        <v>61812.83</v>
      </c>
      <c r="I108" s="3">
        <v>367171376</v>
      </c>
      <c r="J108" s="3">
        <v>3101.95</v>
      </c>
      <c r="K108" s="19">
        <v>21065000</v>
      </c>
      <c r="L108" s="20">
        <f t="shared" si="36"/>
        <v>5940.0512159045293</v>
      </c>
    </row>
    <row r="109" spans="1:12" ht="15" customHeight="1">
      <c r="A109" s="1" t="str">
        <f>SCALARS!A110</f>
        <v>Friday</v>
      </c>
      <c r="B109" s="28">
        <f>SCALARS!B110</f>
        <v>46185</v>
      </c>
      <c r="C109" s="61">
        <f>SCALARS!E110</f>
        <v>3546.3191999999999</v>
      </c>
      <c r="D109" s="61">
        <f t="shared" si="33"/>
        <v>3546.3201772402508</v>
      </c>
      <c r="E109" s="61">
        <f t="shared" si="34"/>
        <v>-9.7724025090428768E-4</v>
      </c>
      <c r="F109" s="58">
        <f t="shared" si="35"/>
        <v>3546.2972671500279</v>
      </c>
      <c r="G109" s="64">
        <v>5939.96</v>
      </c>
      <c r="H109" s="47">
        <v>63585.11</v>
      </c>
      <c r="I109" s="3">
        <v>377695450</v>
      </c>
      <c r="J109" s="3">
        <v>2417.89</v>
      </c>
      <c r="K109" s="19">
        <v>21065000</v>
      </c>
      <c r="L109" s="20">
        <f t="shared" si="36"/>
        <v>5939.9983738331193</v>
      </c>
    </row>
    <row r="110" spans="1:12" ht="15" customHeight="1">
      <c r="A110" s="1" t="str">
        <f>SCALARS!A111</f>
        <v>Saturday</v>
      </c>
      <c r="B110" s="28">
        <f>SCALARS!B111</f>
        <v>46186</v>
      </c>
      <c r="C110" s="61">
        <f>SCALARS!E111</f>
        <v>3546.3434999999999</v>
      </c>
      <c r="D110" s="61"/>
      <c r="E110" s="61"/>
      <c r="F110" s="58"/>
      <c r="G110" s="64"/>
      <c r="H110" s="47"/>
      <c r="I110" s="3"/>
      <c r="J110" s="3"/>
      <c r="K110" s="19"/>
      <c r="L110" s="20"/>
    </row>
    <row r="111" spans="1:12" ht="15" customHeight="1">
      <c r="A111" s="1" t="str">
        <f>SCALARS!A112</f>
        <v>Sunday</v>
      </c>
      <c r="B111" s="28">
        <f>SCALARS!B112</f>
        <v>46187</v>
      </c>
      <c r="C111" s="61">
        <f>SCALARS!E112</f>
        <v>3546.3678</v>
      </c>
      <c r="D111" s="61"/>
      <c r="E111" s="61"/>
      <c r="F111" s="58"/>
      <c r="G111" s="64"/>
      <c r="H111" s="47"/>
      <c r="I111" s="3"/>
      <c r="J111" s="3"/>
      <c r="K111" s="19"/>
      <c r="L111" s="20"/>
    </row>
    <row r="112" spans="1:12" ht="15" customHeight="1">
      <c r="A112" s="1" t="str">
        <f>SCALARS!A113</f>
        <v>Monday</v>
      </c>
      <c r="B112" s="28">
        <f>SCALARS!B113</f>
        <v>46188</v>
      </c>
      <c r="C112" s="61">
        <f>SCALARS!E113</f>
        <v>3546.3921</v>
      </c>
      <c r="D112" s="61">
        <f t="shared" si="33"/>
        <v>3546.3918220019395</v>
      </c>
      <c r="E112" s="61">
        <f t="shared" si="34"/>
        <v>2.7799806048278697E-4</v>
      </c>
      <c r="F112" s="58">
        <f t="shared" si="35"/>
        <v>3546.3112973135594</v>
      </c>
      <c r="G112" s="64">
        <v>5939.84</v>
      </c>
      <c r="H112" s="47">
        <v>63654.16</v>
      </c>
      <c r="I112" s="3">
        <v>378104111</v>
      </c>
      <c r="J112" s="3">
        <v>8693.8700000000008</v>
      </c>
      <c r="K112" s="19">
        <v>21065000</v>
      </c>
      <c r="L112" s="20">
        <f t="shared" si="36"/>
        <v>5939.9748735982057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SCALARS!E114</f>
        <v>3546.4164000000001</v>
      </c>
      <c r="D113" s="61">
        <f t="shared" si="33"/>
        <v>3546.4157042324655</v>
      </c>
      <c r="E113" s="61">
        <f t="shared" si="34"/>
        <v>6.9576753458022722E-4</v>
      </c>
      <c r="F113" s="58">
        <f t="shared" si="35"/>
        <v>3546.3941553016798</v>
      </c>
      <c r="G113" s="64">
        <v>5939.8</v>
      </c>
      <c r="H113" s="47">
        <v>66647.740000000005</v>
      </c>
      <c r="I113" s="3">
        <v>395876651.5</v>
      </c>
      <c r="J113" s="3">
        <v>2564.7399999999998</v>
      </c>
      <c r="K113" s="19">
        <v>21065000</v>
      </c>
      <c r="L113" s="20">
        <f t="shared" si="36"/>
        <v>5939.8360919665092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SCALARS!E115</f>
        <v>3546.4407000000001</v>
      </c>
      <c r="D114" s="61">
        <f t="shared" si="33"/>
        <v>3546.4395867846511</v>
      </c>
      <c r="E114" s="61">
        <f t="shared" si="34"/>
        <v>1.1132153490507335E-3</v>
      </c>
      <c r="F114" s="58">
        <f t="shared" si="35"/>
        <v>3546.4161774721892</v>
      </c>
      <c r="G114" s="64">
        <v>5939.76</v>
      </c>
      <c r="H114" s="47">
        <v>65607.990000000005</v>
      </c>
      <c r="I114" s="3">
        <v>389698287</v>
      </c>
      <c r="J114" s="3">
        <v>2773.99</v>
      </c>
      <c r="K114" s="19">
        <v>21065000</v>
      </c>
      <c r="L114" s="20">
        <f t="shared" si="36"/>
        <v>5939.7992073831247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SCALARS!E116</f>
        <v>3546.4650000000001</v>
      </c>
      <c r="D115" s="61">
        <f t="shared" si="33"/>
        <v>3546.4634696585022</v>
      </c>
      <c r="E115" s="61">
        <f t="shared" si="34"/>
        <v>1.5303414979825902E-3</v>
      </c>
      <c r="F115" s="58">
        <f t="shared" si="35"/>
        <v>3546.4337436640117</v>
      </c>
      <c r="G115" s="64">
        <v>5939.72</v>
      </c>
      <c r="H115" s="47">
        <v>64648.65</v>
      </c>
      <c r="I115" s="3">
        <v>383998098</v>
      </c>
      <c r="J115" s="3">
        <v>3461.47</v>
      </c>
      <c r="K115" s="19">
        <v>21065000</v>
      </c>
      <c r="L115" s="20">
        <f t="shared" si="36"/>
        <v>5939.7697863760495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SCALARS!E117</f>
        <v>3546.4893000000002</v>
      </c>
      <c r="D116" s="161" t="s">
        <v>73</v>
      </c>
      <c r="E116" s="61"/>
      <c r="F116" s="58"/>
      <c r="G116" s="160"/>
      <c r="H116" s="47"/>
      <c r="I116" s="3"/>
      <c r="J116" s="3"/>
      <c r="K116" s="19"/>
      <c r="L116" s="20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SCALARS!E118</f>
        <v>3546.5136000000002</v>
      </c>
      <c r="D117" s="61"/>
      <c r="E117" s="61"/>
      <c r="F117" s="58"/>
      <c r="G117" s="64"/>
      <c r="H117" s="47"/>
      <c r="I117" s="3"/>
      <c r="J117" s="3"/>
      <c r="K117" s="19"/>
      <c r="L117" s="20"/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SCALARS!E119</f>
        <v>3546.5378999999998</v>
      </c>
      <c r="D118" s="61"/>
      <c r="E118" s="61"/>
      <c r="F118" s="58"/>
      <c r="G118" s="64"/>
      <c r="H118" s="47"/>
      <c r="I118" s="3"/>
      <c r="J118" s="3"/>
      <c r="K118" s="19"/>
      <c r="L118" s="20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SCALARS!E120</f>
        <v>3546.5621999999998</v>
      </c>
      <c r="D119" s="61">
        <f t="shared" si="33"/>
        <v>3546.564975461104</v>
      </c>
      <c r="E119" s="61">
        <f t="shared" si="34"/>
        <v>-2.7754611041928001E-3</v>
      </c>
      <c r="F119" s="58">
        <f t="shared" si="35"/>
        <v>3546.4742629391976</v>
      </c>
      <c r="G119" s="64">
        <v>5939.55</v>
      </c>
      <c r="H119" s="47">
        <v>62731.81</v>
      </c>
      <c r="I119" s="3">
        <v>372608252.5</v>
      </c>
      <c r="J119" s="3">
        <v>9310.15</v>
      </c>
      <c r="K119" s="19">
        <v>21065000</v>
      </c>
      <c r="L119" s="20">
        <f t="shared" si="36"/>
        <v>5939.7019231550948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SCALARS!E121</f>
        <v>3546.5864999999999</v>
      </c>
      <c r="D120" s="61">
        <f t="shared" si="33"/>
        <v>3546.5888600238068</v>
      </c>
      <c r="E120" s="61">
        <f t="shared" si="34"/>
        <v>-2.360023806886602E-3</v>
      </c>
      <c r="F120" s="58">
        <f t="shared" si="35"/>
        <v>3546.5707196029775</v>
      </c>
      <c r="G120" s="64">
        <v>5939.51</v>
      </c>
      <c r="H120" s="47">
        <v>64317.06</v>
      </c>
      <c r="I120" s="3">
        <v>382013775</v>
      </c>
      <c r="J120" s="3">
        <v>1771.99</v>
      </c>
      <c r="K120" s="19">
        <v>21065000</v>
      </c>
      <c r="L120" s="20">
        <f t="shared" si="36"/>
        <v>5939.5403801106586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SCALARS!E122</f>
        <v>3546.6107999999999</v>
      </c>
      <c r="D121" s="61">
        <f t="shared" si="33"/>
        <v>3546.6127449082155</v>
      </c>
      <c r="E121" s="61">
        <f t="shared" si="34"/>
        <v>-1.9449082155915676E-3</v>
      </c>
      <c r="F121" s="58">
        <f t="shared" si="35"/>
        <v>3546.5925854203097</v>
      </c>
      <c r="G121" s="64">
        <v>5939.47</v>
      </c>
      <c r="H121" s="47">
        <v>62268.59</v>
      </c>
      <c r="I121" s="3">
        <v>369844524.5</v>
      </c>
      <c r="J121" s="3">
        <v>1968.54</v>
      </c>
      <c r="K121" s="19">
        <v>21065000</v>
      </c>
      <c r="L121" s="20">
        <f t="shared" si="36"/>
        <v>5939.5037610454965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SCALARS!E123</f>
        <v>3546.6351</v>
      </c>
      <c r="D122" s="61">
        <f t="shared" si="33"/>
        <v>3546.6366301143375</v>
      </c>
      <c r="E122" s="61">
        <f t="shared" si="34"/>
        <v>-1.5301143375836546E-3</v>
      </c>
      <c r="F122" s="58">
        <f t="shared" si="35"/>
        <v>3546.6357541793113</v>
      </c>
      <c r="G122" s="64">
        <v>5939.43</v>
      </c>
      <c r="H122" s="162">
        <v>59667.59</v>
      </c>
      <c r="I122" s="3">
        <v>354391561.60000002</v>
      </c>
      <c r="J122" s="3">
        <v>1785.4</v>
      </c>
      <c r="K122" s="19">
        <v>21065000</v>
      </c>
      <c r="L122" s="20">
        <f t="shared" si="36"/>
        <v>5939.4314668985298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SCALARS!E124</f>
        <v>3546.6594</v>
      </c>
      <c r="D123" s="61">
        <f t="shared" si="33"/>
        <v>3546.6617547234814</v>
      </c>
      <c r="E123" s="61">
        <f t="shared" si="34"/>
        <v>-2.3547234814031981E-3</v>
      </c>
      <c r="F123" s="58">
        <f t="shared" si="35"/>
        <v>3546.6451473811549</v>
      </c>
      <c r="G123" s="64">
        <v>5863.26</v>
      </c>
      <c r="H123" s="47">
        <v>59222.59</v>
      </c>
      <c r="I123" s="3">
        <v>347239069</v>
      </c>
      <c r="J123" s="3">
        <v>1458.74</v>
      </c>
      <c r="K123" s="19">
        <v>20795000</v>
      </c>
      <c r="L123" s="20">
        <f t="shared" si="36"/>
        <v>5863.2874550066117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SCALARS!E125</f>
        <v>3546.6837</v>
      </c>
      <c r="D124" s="61"/>
      <c r="E124" s="61"/>
      <c r="F124" s="58"/>
      <c r="G124" s="64"/>
      <c r="H124" s="47"/>
      <c r="I124" s="3"/>
      <c r="J124" s="3"/>
      <c r="K124" s="19"/>
      <c r="L124" s="20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SCALARS!E126</f>
        <v>3546.7080000000001</v>
      </c>
      <c r="D125" s="61"/>
      <c r="E125" s="61"/>
      <c r="F125" s="58"/>
      <c r="G125" s="64"/>
      <c r="H125" s="47"/>
      <c r="I125" s="3"/>
      <c r="J125" s="3"/>
      <c r="K125" s="19"/>
      <c r="L125" s="20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SCALARS!E127</f>
        <v>3546.7323000000001</v>
      </c>
      <c r="D126" s="61">
        <f t="shared" si="33"/>
        <v>3546.7343437134368</v>
      </c>
      <c r="E126" s="61">
        <f t="shared" si="34"/>
        <v>-2.0437134367057297E-3</v>
      </c>
      <c r="F126" s="58">
        <f t="shared" si="35"/>
        <v>3546.6657969948888</v>
      </c>
      <c r="G126" s="64">
        <v>5863.14</v>
      </c>
      <c r="H126" s="162">
        <v>59813.1</v>
      </c>
      <c r="I126" s="3">
        <v>350699357</v>
      </c>
      <c r="J126" s="3">
        <v>6637.55</v>
      </c>
      <c r="K126" s="19">
        <v>20795000</v>
      </c>
      <c r="L126" s="20">
        <f t="shared" si="36"/>
        <v>5863.2533174170876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SCALARS!E128</f>
        <v>3546.7566000000002</v>
      </c>
      <c r="D127" s="61">
        <f t="shared" ref="D127" si="37">K127/G127</f>
        <v>3546.7585407037232</v>
      </c>
      <c r="E127" s="61">
        <f t="shared" ref="E127" si="38">C127-D127</f>
        <v>-1.9407037229939306E-3</v>
      </c>
      <c r="F127" s="58">
        <f t="shared" ref="F127" si="39">K127/L127</f>
        <v>3546.724775177739</v>
      </c>
      <c r="G127" s="64">
        <v>5863.1</v>
      </c>
      <c r="H127" s="47">
        <v>60263.11</v>
      </c>
      <c r="I127" s="3">
        <v>353332004</v>
      </c>
      <c r="J127" s="3">
        <v>3231.97</v>
      </c>
      <c r="K127" s="19">
        <v>20795000</v>
      </c>
      <c r="L127" s="20">
        <f t="shared" ref="L127" si="40">I127/H127</f>
        <v>5863.1558178792966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SCALARS!E129</f>
        <v>3546.7809000000002</v>
      </c>
      <c r="D128" s="172"/>
      <c r="E128" s="172"/>
      <c r="F128" s="157"/>
      <c r="G128" s="164"/>
      <c r="H128" s="165"/>
      <c r="I128" s="166"/>
      <c r="J128" s="166"/>
      <c r="K128" s="167"/>
      <c r="L128" s="173"/>
    </row>
    <row r="129" spans="1:12" ht="15" customHeight="1">
      <c r="A129" s="1" t="str">
        <f>SCALARS!A130</f>
        <v>Thursday</v>
      </c>
      <c r="B129" s="28">
        <f>SCALARS!B130</f>
        <v>46205</v>
      </c>
      <c r="C129" s="61">
        <f>SCALARS!E130</f>
        <v>3546.8051999999998</v>
      </c>
      <c r="D129" s="61">
        <f t="shared" ref="D129:D159" si="41">K129/G129</f>
        <v>3546.8035483312451</v>
      </c>
      <c r="E129" s="61">
        <f t="shared" ref="E129:E159" si="42">C129-D129</f>
        <v>1.6516687546754838E-3</v>
      </c>
      <c r="F129" s="58">
        <f t="shared" ref="F129:F159" si="43">K129/L129</f>
        <v>3546.7776080764716</v>
      </c>
      <c r="G129" s="64">
        <v>5891.22</v>
      </c>
      <c r="H129" s="47">
        <v>60145.9</v>
      </c>
      <c r="I129" s="3">
        <v>354335320.5</v>
      </c>
      <c r="J129" s="3">
        <v>2816.8</v>
      </c>
      <c r="K129" s="19">
        <v>20895000</v>
      </c>
      <c r="L129" s="20">
        <f t="shared" ref="L129:L159" si="44">I129/H129</f>
        <v>5891.263086926956</v>
      </c>
    </row>
    <row r="130" spans="1:12" ht="15" customHeight="1">
      <c r="A130" s="1" t="str">
        <f>SCALARS!A131</f>
        <v>Friday</v>
      </c>
      <c r="B130" s="28">
        <f>SCALARS!B131</f>
        <v>46206</v>
      </c>
      <c r="C130" s="61">
        <f>SCALARS!E131</f>
        <v>3546.8294999999998</v>
      </c>
      <c r="D130" s="161" t="s">
        <v>73</v>
      </c>
      <c r="E130" s="61"/>
      <c r="F130" s="58"/>
      <c r="G130" s="64"/>
      <c r="H130" s="47"/>
      <c r="I130" s="3"/>
      <c r="J130" s="3"/>
      <c r="K130" s="19"/>
      <c r="L130" s="20"/>
    </row>
    <row r="131" spans="1:12" ht="15" customHeight="1">
      <c r="A131" s="1" t="str">
        <f>SCALARS!A132</f>
        <v>Saturday</v>
      </c>
      <c r="B131" s="28">
        <f>SCALARS!B132</f>
        <v>46207</v>
      </c>
      <c r="C131" s="61">
        <f>SCALARS!E132</f>
        <v>3546.8537999999999</v>
      </c>
      <c r="D131" s="61"/>
      <c r="E131" s="61"/>
      <c r="F131" s="58"/>
      <c r="G131" s="64"/>
      <c r="H131" s="47"/>
      <c r="I131" s="3"/>
      <c r="J131" s="3"/>
      <c r="K131" s="19"/>
      <c r="L131" s="20"/>
    </row>
    <row r="132" spans="1:12" ht="15" customHeight="1">
      <c r="A132" s="1" t="str">
        <f>SCALARS!A133</f>
        <v>Sunday</v>
      </c>
      <c r="B132" s="28">
        <f>SCALARS!B133</f>
        <v>46208</v>
      </c>
      <c r="C132" s="61">
        <f>SCALARS!E133</f>
        <v>3546.8780999999999</v>
      </c>
      <c r="D132" s="61"/>
      <c r="E132" s="61"/>
      <c r="F132" s="58"/>
      <c r="G132" s="64"/>
      <c r="H132" s="47"/>
      <c r="I132" s="3"/>
      <c r="J132" s="3"/>
      <c r="K132" s="19"/>
      <c r="L132" s="20"/>
    </row>
    <row r="133" spans="1:12" ht="15" customHeight="1">
      <c r="A133" s="1" t="str">
        <f>SCALARS!A134</f>
        <v>Monday</v>
      </c>
      <c r="B133" s="28">
        <f>SCALARS!B134</f>
        <v>46209</v>
      </c>
      <c r="C133" s="61">
        <f>SCALARS!E134</f>
        <v>3546.9023999999999</v>
      </c>
      <c r="D133" s="61">
        <f t="shared" si="41"/>
        <v>3546.9058996274007</v>
      </c>
      <c r="E133" s="61">
        <f t="shared" si="42"/>
        <v>-3.4996274007426109E-3</v>
      </c>
      <c r="F133" s="58">
        <f t="shared" si="43"/>
        <v>3546.7995826920969</v>
      </c>
      <c r="G133" s="64">
        <v>5891.05</v>
      </c>
      <c r="H133" s="47">
        <v>61534.49</v>
      </c>
      <c r="I133" s="3">
        <v>362513623.5</v>
      </c>
      <c r="J133" s="3">
        <v>10567.69</v>
      </c>
      <c r="K133" s="19">
        <v>20895000</v>
      </c>
      <c r="L133" s="20">
        <f t="shared" si="44"/>
        <v>5891.2265869108533</v>
      </c>
    </row>
    <row r="134" spans="1:12" ht="15" customHeight="1">
      <c r="A134" s="1" t="str">
        <f>SCALARS!A135</f>
        <v>Tuesday</v>
      </c>
      <c r="B134" s="28">
        <f>SCALARS!B135</f>
        <v>46210</v>
      </c>
      <c r="C134" s="61">
        <f>SCALARS!E135</f>
        <v>3546.9267</v>
      </c>
      <c r="D134" s="61">
        <f t="shared" si="41"/>
        <v>3546.929983143807</v>
      </c>
      <c r="E134" s="61">
        <f t="shared" si="42"/>
        <v>-3.2831438070388685E-3</v>
      </c>
      <c r="F134" s="58">
        <f t="shared" si="43"/>
        <v>3546.8977797562743</v>
      </c>
      <c r="G134" s="64">
        <v>5891.01</v>
      </c>
      <c r="H134" s="47">
        <v>63741.3</v>
      </c>
      <c r="I134" s="3">
        <v>375504045</v>
      </c>
      <c r="J134" s="3">
        <v>3122.41</v>
      </c>
      <c r="K134" s="19">
        <v>20895000</v>
      </c>
      <c r="L134" s="20">
        <f t="shared" si="44"/>
        <v>5891.0634863110727</v>
      </c>
    </row>
    <row r="135" spans="1:12" ht="15" customHeight="1">
      <c r="A135" s="1" t="str">
        <f>SCALARS!A136</f>
        <v>Wednesday</v>
      </c>
      <c r="B135" s="28">
        <f>SCALARS!B136</f>
        <v>46211</v>
      </c>
      <c r="C135" s="61">
        <f>SCALARS!E136</f>
        <v>3546.951</v>
      </c>
      <c r="D135" s="61">
        <f t="shared" si="41"/>
        <v>3546.9540669872704</v>
      </c>
      <c r="E135" s="61">
        <f t="shared" si="42"/>
        <v>-3.0669872703583678E-3</v>
      </c>
      <c r="F135" s="58">
        <f t="shared" si="43"/>
        <v>3546.9329187424073</v>
      </c>
      <c r="G135" s="64">
        <v>5890.97</v>
      </c>
      <c r="H135" s="47">
        <v>63651.13</v>
      </c>
      <c r="I135" s="3">
        <v>374969133</v>
      </c>
      <c r="J135" s="3">
        <v>1971.43</v>
      </c>
      <c r="K135" s="19">
        <v>20895000</v>
      </c>
      <c r="L135" s="20">
        <f t="shared" si="44"/>
        <v>5891.0051243395055</v>
      </c>
    </row>
    <row r="136" spans="1:12" ht="15" customHeight="1">
      <c r="A136" s="1" t="str">
        <f>SCALARS!A137</f>
        <v>Thursday</v>
      </c>
      <c r="B136" s="28">
        <f>SCALARS!B137</f>
        <v>46212</v>
      </c>
      <c r="C136" s="61">
        <f>SCALARS!E137</f>
        <v>3546.9753000000001</v>
      </c>
      <c r="D136" s="61">
        <f t="shared" si="41"/>
        <v>3546.9781511577967</v>
      </c>
      <c r="E136" s="61">
        <f t="shared" si="42"/>
        <v>-2.8511577966128243E-3</v>
      </c>
      <c r="F136" s="58">
        <f t="shared" si="43"/>
        <v>3546.9522532035735</v>
      </c>
      <c r="G136" s="64">
        <v>5890.93</v>
      </c>
      <c r="H136" s="47">
        <v>62140.83</v>
      </c>
      <c r="I136" s="3">
        <v>366069952.5</v>
      </c>
      <c r="J136" s="3">
        <v>2436.54</v>
      </c>
      <c r="K136" s="19">
        <v>20895000</v>
      </c>
      <c r="L136" s="20">
        <f t="shared" si="44"/>
        <v>5890.9730124299913</v>
      </c>
    </row>
    <row r="137" spans="1:12" ht="15" customHeight="1">
      <c r="A137" s="1" t="str">
        <f>SCALARS!A138</f>
        <v>Friday</v>
      </c>
      <c r="B137" s="28">
        <f>SCALARS!B138</f>
        <v>46213</v>
      </c>
      <c r="C137" s="61">
        <f>SCALARS!E138</f>
        <v>3546.9996000000001</v>
      </c>
      <c r="D137" s="61">
        <f t="shared" si="41"/>
        <v>3547.0022356553932</v>
      </c>
      <c r="E137" s="61">
        <f t="shared" si="42"/>
        <v>-2.6356553930781956E-3</v>
      </c>
      <c r="F137" s="58">
        <f t="shared" si="43"/>
        <v>3546.9762873579348</v>
      </c>
      <c r="G137" s="64">
        <v>5890.89</v>
      </c>
      <c r="H137" s="47">
        <v>63198.25</v>
      </c>
      <c r="I137" s="3">
        <v>372296662.5</v>
      </c>
      <c r="J137" s="3">
        <v>2505.31</v>
      </c>
      <c r="K137" s="19">
        <v>20895000</v>
      </c>
      <c r="L137" s="20">
        <f t="shared" si="44"/>
        <v>5890.933095457548</v>
      </c>
    </row>
    <row r="138" spans="1:12" ht="15" customHeight="1">
      <c r="A138" s="1" t="str">
        <f>SCALARS!A139</f>
        <v>Saturday</v>
      </c>
      <c r="B138" s="28">
        <f>SCALARS!B139</f>
        <v>46214</v>
      </c>
      <c r="C138" s="61">
        <f>SCALARS!E139</f>
        <v>3547.0239000000001</v>
      </c>
      <c r="D138" s="61"/>
      <c r="E138" s="61"/>
      <c r="F138" s="58"/>
      <c r="G138" s="64"/>
      <c r="H138" s="47"/>
      <c r="I138" s="3"/>
      <c r="J138" s="3"/>
      <c r="K138" s="19"/>
      <c r="L138" s="20"/>
    </row>
    <row r="139" spans="1:12" ht="15" customHeight="1">
      <c r="A139" s="1" t="str">
        <f>SCALARS!A140</f>
        <v>Sunday</v>
      </c>
      <c r="B139" s="28">
        <f>SCALARS!B140</f>
        <v>46215</v>
      </c>
      <c r="C139" s="61">
        <f>SCALARS!E140</f>
        <v>3547.0482000000002</v>
      </c>
      <c r="D139" s="61"/>
      <c r="E139" s="61"/>
      <c r="F139" s="58"/>
      <c r="G139" s="64"/>
      <c r="H139" s="47"/>
      <c r="I139" s="3"/>
      <c r="J139" s="3"/>
      <c r="K139" s="19"/>
      <c r="L139" s="20"/>
    </row>
    <row r="140" spans="1:12" ht="15" customHeight="1">
      <c r="A140" s="1" t="str">
        <f>SCALARS!A141</f>
        <v>Monday</v>
      </c>
      <c r="B140" s="28">
        <f>SCALARS!B141</f>
        <v>46216</v>
      </c>
      <c r="C140" s="61">
        <f>SCALARS!E141</f>
        <v>3547.0725000000002</v>
      </c>
      <c r="D140" s="61">
        <f t="shared" si="41"/>
        <v>3547.0744911106694</v>
      </c>
      <c r="E140" s="61">
        <f t="shared" si="42"/>
        <v>-1.9911106692234171E-3</v>
      </c>
      <c r="F140" s="58">
        <f t="shared" si="43"/>
        <v>3546.9919259004237</v>
      </c>
      <c r="G140" s="64">
        <v>5890.77</v>
      </c>
      <c r="H140" s="47">
        <v>63874.94</v>
      </c>
      <c r="I140" s="3">
        <v>376281339</v>
      </c>
      <c r="J140" s="3">
        <v>8604.92</v>
      </c>
      <c r="K140" s="19">
        <v>20895000</v>
      </c>
      <c r="L140" s="20">
        <f t="shared" si="44"/>
        <v>5890.9071225742045</v>
      </c>
    </row>
    <row r="141" spans="1:12" ht="15" customHeight="1">
      <c r="A141" s="1" t="str">
        <f>SCALARS!A142</f>
        <v>Tuesday</v>
      </c>
      <c r="B141" s="28">
        <f>SCALARS!B142</f>
        <v>46217</v>
      </c>
      <c r="C141" s="61">
        <f>SCALARS!E142</f>
        <v>3547.0967999999998</v>
      </c>
      <c r="D141" s="61">
        <f t="shared" si="41"/>
        <v>3547.0985769166132</v>
      </c>
      <c r="E141" s="61">
        <f t="shared" si="42"/>
        <v>-1.7769166133803083E-3</v>
      </c>
      <c r="F141" s="58">
        <f t="shared" si="43"/>
        <v>3547.0631625896317</v>
      </c>
      <c r="G141" s="64">
        <v>5890.73</v>
      </c>
      <c r="H141" s="47">
        <v>62031.75</v>
      </c>
      <c r="I141" s="3">
        <v>365415939</v>
      </c>
      <c r="J141" s="3">
        <v>3520.55</v>
      </c>
      <c r="K141" s="19">
        <v>20895000</v>
      </c>
      <c r="L141" s="20">
        <f t="shared" si="44"/>
        <v>5890.7888137929367</v>
      </c>
    </row>
    <row r="142" spans="1:12" ht="15" customHeight="1">
      <c r="A142" s="1" t="str">
        <f>SCALARS!A143</f>
        <v>Wednesday</v>
      </c>
      <c r="B142" s="28">
        <f>SCALARS!B143</f>
        <v>46218</v>
      </c>
      <c r="C142" s="61">
        <f>SCALARS!E143</f>
        <v>3547.1210999999998</v>
      </c>
      <c r="D142" s="61">
        <f t="shared" si="41"/>
        <v>3547.1226630496599</v>
      </c>
      <c r="E142" s="61">
        <f t="shared" si="42"/>
        <v>-1.5630496600351762E-3</v>
      </c>
      <c r="F142" s="58">
        <f t="shared" si="43"/>
        <v>3547.1035638721733</v>
      </c>
      <c r="G142" s="64">
        <v>5890.69</v>
      </c>
      <c r="H142" s="47">
        <v>64544.87</v>
      </c>
      <c r="I142" s="3">
        <v>380215867.5</v>
      </c>
      <c r="J142" s="3">
        <v>1936.67</v>
      </c>
      <c r="K142" s="19">
        <v>20895000</v>
      </c>
      <c r="L142" s="20">
        <f t="shared" si="44"/>
        <v>5890.7217180854186</v>
      </c>
    </row>
    <row r="143" spans="1:12" ht="15" customHeight="1">
      <c r="A143" s="1" t="str">
        <f>SCALARS!A144</f>
        <v>Thursday</v>
      </c>
      <c r="B143" s="28">
        <f>SCALARS!B144</f>
        <v>46219</v>
      </c>
      <c r="C143" s="61">
        <f>SCALARS!E144</f>
        <v>3547.1453999999999</v>
      </c>
      <c r="D143" s="61">
        <f t="shared" si="41"/>
        <v>3547.1467495098168</v>
      </c>
      <c r="E143" s="61">
        <f t="shared" si="42"/>
        <v>-1.3495098169187258E-3</v>
      </c>
      <c r="F143" s="58">
        <f t="shared" si="43"/>
        <v>3547.1122558911511</v>
      </c>
      <c r="G143" s="64">
        <v>5890.65</v>
      </c>
      <c r="H143" s="47">
        <v>64862.14</v>
      </c>
      <c r="I143" s="3">
        <v>382083880.5</v>
      </c>
      <c r="J143" s="3">
        <v>3626.94</v>
      </c>
      <c r="K143" s="19">
        <v>20895000</v>
      </c>
      <c r="L143" s="20">
        <f t="shared" si="44"/>
        <v>5890.7072831701207</v>
      </c>
    </row>
    <row r="144" spans="1:12" ht="15" customHeight="1">
      <c r="A144" s="1" t="str">
        <f>SCALARS!A145</f>
        <v>Friday</v>
      </c>
      <c r="B144" s="28">
        <f>SCALARS!B145</f>
        <v>46220</v>
      </c>
      <c r="C144" s="61">
        <f>SCALARS!E145</f>
        <v>3547.1696999999999</v>
      </c>
      <c r="D144" s="61">
        <f t="shared" si="41"/>
        <v>3547.1708362970899</v>
      </c>
      <c r="E144" s="61">
        <f t="shared" si="42"/>
        <v>-1.1362970899426728E-3</v>
      </c>
      <c r="F144" s="58">
        <f t="shared" si="43"/>
        <v>3547.1367781155018</v>
      </c>
      <c r="G144" s="64">
        <v>5890.61</v>
      </c>
      <c r="H144" s="47">
        <v>64185.440000000002</v>
      </c>
      <c r="I144" s="3">
        <v>378095025</v>
      </c>
      <c r="J144" s="3">
        <v>3564.92</v>
      </c>
      <c r="K144" s="19">
        <v>20895000</v>
      </c>
      <c r="L144" s="20">
        <f t="shared" si="44"/>
        <v>5890.6665592695163</v>
      </c>
    </row>
    <row r="145" spans="1:12" ht="15" customHeight="1">
      <c r="A145" s="1" t="str">
        <f>SCALARS!A146</f>
        <v>Saturday</v>
      </c>
      <c r="B145" s="28">
        <f>SCALARS!B146</f>
        <v>46221</v>
      </c>
      <c r="C145" s="61">
        <f>SCALARS!E146</f>
        <v>3547.194</v>
      </c>
      <c r="D145" s="61"/>
      <c r="E145" s="61"/>
      <c r="F145" s="58"/>
      <c r="G145" s="64"/>
      <c r="H145" s="47"/>
      <c r="I145" s="3"/>
      <c r="J145" s="3"/>
      <c r="K145" s="19"/>
      <c r="L145" s="20"/>
    </row>
    <row r="146" spans="1:12" ht="15" customHeight="1">
      <c r="A146" s="1" t="str">
        <f>SCALARS!A147</f>
        <v>Sunday</v>
      </c>
      <c r="B146" s="28">
        <f>SCALARS!B147</f>
        <v>46222</v>
      </c>
      <c r="C146" s="61">
        <f>SCALARS!E147</f>
        <v>3547.2183</v>
      </c>
      <c r="D146" s="61"/>
      <c r="E146" s="61"/>
      <c r="F146" s="58"/>
      <c r="G146" s="64"/>
      <c r="H146" s="47"/>
      <c r="I146" s="3"/>
      <c r="J146" s="3"/>
      <c r="K146" s="19"/>
      <c r="L146" s="20"/>
    </row>
    <row r="147" spans="1:12" ht="15" customHeight="1">
      <c r="A147" s="1" t="str">
        <f>SCALARS!A148</f>
        <v>Monday</v>
      </c>
      <c r="B147" s="28">
        <f>SCALARS!B148</f>
        <v>46223</v>
      </c>
      <c r="C147" s="61">
        <f>SCALARS!E148</f>
        <v>3547.2426</v>
      </c>
      <c r="D147" s="61">
        <f t="shared" ref="D147" si="45">K147/G147</f>
        <v>3547.2430986216768</v>
      </c>
      <c r="E147" s="61">
        <f t="shared" ref="E147" si="46">C147-D147</f>
        <v>-4.9862167679748381E-4</v>
      </c>
      <c r="F147" s="58">
        <f t="shared" ref="F147" si="47">K147/L147</f>
        <v>3547.173748208168</v>
      </c>
      <c r="G147" s="64">
        <v>5890.49</v>
      </c>
      <c r="H147" s="47">
        <v>64090.69</v>
      </c>
      <c r="I147" s="3">
        <v>377532949.5</v>
      </c>
      <c r="J147" s="3">
        <v>7382.35</v>
      </c>
      <c r="K147" s="19">
        <v>20895000</v>
      </c>
      <c r="L147" s="20">
        <f t="shared" ref="L147" si="48">I147/H147</f>
        <v>5890.6051643382216</v>
      </c>
    </row>
    <row r="148" spans="1:12" ht="15" customHeight="1">
      <c r="A148" s="1" t="str">
        <f>SCALARS!A149</f>
        <v>Tuesday</v>
      </c>
      <c r="B148" s="28">
        <f>SCALARS!B149</f>
        <v>46224</v>
      </c>
      <c r="C148" s="61">
        <f>SCALARS!E149</f>
        <v>3547.2669000000001</v>
      </c>
      <c r="D148" s="61">
        <f t="shared" si="41"/>
        <v>3547.2671867174836</v>
      </c>
      <c r="E148" s="61">
        <f t="shared" si="42"/>
        <v>-2.8671748350461712E-4</v>
      </c>
      <c r="F148" s="58">
        <f t="shared" si="43"/>
        <v>3547.2442489740529</v>
      </c>
      <c r="G148" s="64">
        <v>5890.45</v>
      </c>
      <c r="H148" s="47">
        <v>65088.03</v>
      </c>
      <c r="I148" s="3">
        <v>383400265.5</v>
      </c>
      <c r="J148" s="3">
        <v>2503.11</v>
      </c>
      <c r="K148" s="19">
        <v>20895000</v>
      </c>
      <c r="L148" s="20">
        <f t="shared" si="44"/>
        <v>5890.4880897455341</v>
      </c>
    </row>
    <row r="149" spans="1:12" ht="15" customHeight="1">
      <c r="A149" s="1" t="str">
        <f>SCALARS!A150</f>
        <v>Wednesday</v>
      </c>
      <c r="B149" s="28">
        <f>SCALARS!B150</f>
        <v>46225</v>
      </c>
      <c r="C149" s="61">
        <f>SCALARS!E150</f>
        <v>3547.2912000000001</v>
      </c>
      <c r="D149" s="61">
        <f t="shared" si="41"/>
        <v>3547.2912751404401</v>
      </c>
      <c r="E149" s="61">
        <f t="shared" si="42"/>
        <v>-7.5140440003451658E-5</v>
      </c>
      <c r="F149" s="58">
        <f t="shared" si="43"/>
        <v>3547.2700842276276</v>
      </c>
      <c r="G149" s="64">
        <v>5890.41</v>
      </c>
      <c r="H149" s="47">
        <v>66373.679999999993</v>
      </c>
      <c r="I149" s="3">
        <v>390970524</v>
      </c>
      <c r="J149" s="3">
        <v>2382.94</v>
      </c>
      <c r="K149" s="19">
        <v>20895000</v>
      </c>
      <c r="L149" s="20">
        <f t="shared" si="44"/>
        <v>5890.4451885144845</v>
      </c>
    </row>
    <row r="150" spans="1:12" ht="15" customHeight="1">
      <c r="A150" s="1" t="str">
        <f>SCALARS!A151</f>
        <v>Thursday</v>
      </c>
      <c r="B150" s="28">
        <f>SCALARS!B151</f>
        <v>46226</v>
      </c>
      <c r="C150" s="61">
        <f>SCALARS!E151</f>
        <v>3547.3155000000002</v>
      </c>
      <c r="D150" s="61">
        <f t="shared" si="41"/>
        <v>3547.3153638905537</v>
      </c>
      <c r="E150" s="61">
        <f t="shared" si="42"/>
        <v>1.3610944643005496E-4</v>
      </c>
      <c r="F150" s="58">
        <f t="shared" si="43"/>
        <v>3547.2904970744476</v>
      </c>
      <c r="G150" s="64">
        <v>5890.37</v>
      </c>
      <c r="H150" s="47">
        <v>65839.839999999997</v>
      </c>
      <c r="I150" s="3">
        <v>387823737</v>
      </c>
      <c r="J150" s="3">
        <v>2788.31</v>
      </c>
      <c r="K150" s="19">
        <v>20895000</v>
      </c>
      <c r="L150" s="20">
        <f t="shared" si="44"/>
        <v>5890.4112920080006</v>
      </c>
    </row>
    <row r="151" spans="1:12" ht="15" customHeight="1">
      <c r="A151" s="1" t="str">
        <f>SCALARS!A152</f>
        <v>Friday</v>
      </c>
      <c r="B151" s="28">
        <f>SCALARS!B152</f>
        <v>46227</v>
      </c>
      <c r="C151" s="61">
        <f>SCALARS!E152</f>
        <v>3547.3398000000002</v>
      </c>
      <c r="D151" s="61">
        <f t="shared" si="41"/>
        <v>3547.3394529678303</v>
      </c>
      <c r="E151" s="61">
        <f t="shared" si="42"/>
        <v>3.4703216988418717E-4</v>
      </c>
      <c r="F151" s="58">
        <f t="shared" si="43"/>
        <v>3547.3114039411566</v>
      </c>
      <c r="G151" s="64">
        <v>5890.33</v>
      </c>
      <c r="H151" s="47">
        <v>64768.94</v>
      </c>
      <c r="I151" s="3">
        <v>381513447</v>
      </c>
      <c r="J151" s="3">
        <v>3107.53</v>
      </c>
      <c r="K151" s="19">
        <v>20895000</v>
      </c>
      <c r="L151" s="20">
        <f t="shared" si="44"/>
        <v>5890.376575562299</v>
      </c>
    </row>
    <row r="152" spans="1:12" ht="15" customHeight="1">
      <c r="A152" s="1" t="str">
        <f>SCALARS!A153</f>
        <v>Saturday</v>
      </c>
      <c r="B152" s="28">
        <f>SCALARS!B153</f>
        <v>46228</v>
      </c>
      <c r="C152" s="61">
        <f>SCALARS!E153</f>
        <v>3547.3640999999998</v>
      </c>
      <c r="D152" s="61"/>
      <c r="E152" s="61"/>
      <c r="F152" s="58"/>
      <c r="G152" s="64"/>
      <c r="H152" s="47"/>
      <c r="I152" s="3"/>
      <c r="J152" s="3"/>
      <c r="K152" s="19"/>
      <c r="L152" s="20"/>
    </row>
    <row r="153" spans="1:12" ht="15" customHeight="1">
      <c r="A153" s="1" t="str">
        <f>SCALARS!A154</f>
        <v>Sunday</v>
      </c>
      <c r="B153" s="28">
        <f>SCALARS!B154</f>
        <v>46229</v>
      </c>
      <c r="C153" s="61">
        <f>SCALARS!E154</f>
        <v>3547.3883999999998</v>
      </c>
      <c r="D153" s="61"/>
      <c r="E153" s="61"/>
      <c r="F153" s="58"/>
      <c r="G153" s="64"/>
      <c r="H153" s="47"/>
      <c r="I153" s="3"/>
      <c r="J153" s="3"/>
      <c r="K153" s="19"/>
      <c r="L153" s="20"/>
    </row>
    <row r="154" spans="1:12" ht="15" customHeight="1">
      <c r="A154" s="1" t="str">
        <f>SCALARS!A155</f>
        <v>Monday</v>
      </c>
      <c r="B154" s="28">
        <f>SCALARS!B155</f>
        <v>46230</v>
      </c>
      <c r="C154" s="61">
        <f>SCALARS!E155</f>
        <v>3547.4126999999999</v>
      </c>
      <c r="D154" s="61">
        <f t="shared" si="41"/>
        <v>3547.4117221627071</v>
      </c>
      <c r="E154" s="61">
        <f t="shared" si="42"/>
        <v>9.7783729279399267E-4</v>
      </c>
      <c r="F154" s="58">
        <f t="shared" si="43"/>
        <v>3547.3471757582461</v>
      </c>
      <c r="G154" s="64">
        <v>5890.21</v>
      </c>
      <c r="H154" s="47">
        <v>64152</v>
      </c>
      <c r="I154" s="3">
        <v>377875627.5</v>
      </c>
      <c r="J154" s="3">
        <v>7031.93</v>
      </c>
      <c r="K154" s="19">
        <v>20895000</v>
      </c>
      <c r="L154" s="20">
        <f t="shared" si="44"/>
        <v>5890.3171763935652</v>
      </c>
    </row>
    <row r="155" spans="1:12" ht="15" customHeight="1">
      <c r="A155" s="1" t="str">
        <f>SCALARS!A156</f>
        <v>Tuesday</v>
      </c>
      <c r="B155" s="28">
        <f>SCALARS!B156</f>
        <v>46231</v>
      </c>
      <c r="C155" s="61">
        <f>SCALARS!E156</f>
        <v>3547.4369999999999</v>
      </c>
      <c r="D155" s="61">
        <f t="shared" si="41"/>
        <v>3547.4358125487038</v>
      </c>
      <c r="E155" s="61">
        <f t="shared" si="42"/>
        <v>1.1874512961185246E-3</v>
      </c>
      <c r="F155" s="58">
        <f t="shared" si="43"/>
        <v>3547.4061683448676</v>
      </c>
      <c r="G155" s="64">
        <v>5890.17</v>
      </c>
      <c r="H155" s="47">
        <v>64894.12</v>
      </c>
      <c r="I155" s="3">
        <v>382240593</v>
      </c>
      <c r="J155" s="3">
        <v>3374.69</v>
      </c>
      <c r="K155" s="19">
        <v>20895000</v>
      </c>
      <c r="L155" s="20">
        <f t="shared" si="44"/>
        <v>5890.2192217106876</v>
      </c>
    </row>
    <row r="156" spans="1:12" ht="15" customHeight="1">
      <c r="A156" s="1" t="str">
        <f>SCALARS!A157</f>
        <v>Wednesday</v>
      </c>
      <c r="B156" s="28">
        <f>SCALARS!B157</f>
        <v>46232</v>
      </c>
      <c r="C156" s="61">
        <f>SCALARS!E157</f>
        <v>3547.4612999999999</v>
      </c>
      <c r="D156" s="61">
        <f t="shared" si="41"/>
        <v>3547.4599032618976</v>
      </c>
      <c r="E156" s="61">
        <f t="shared" si="42"/>
        <v>1.3967381023576309E-3</v>
      </c>
      <c r="F156" s="58">
        <f t="shared" si="43"/>
        <v>3547.4350121399775</v>
      </c>
      <c r="G156" s="64">
        <v>5890.13</v>
      </c>
      <c r="H156" s="47">
        <v>63702</v>
      </c>
      <c r="I156" s="3">
        <v>375215694</v>
      </c>
      <c r="J156" s="3">
        <v>2831.82</v>
      </c>
      <c r="K156" s="19">
        <v>20895000</v>
      </c>
      <c r="L156" s="20">
        <f t="shared" si="44"/>
        <v>5890.1713290006592</v>
      </c>
    </row>
    <row r="157" spans="1:12" ht="15" customHeight="1">
      <c r="A157" s="1" t="str">
        <f>SCALARS!A158</f>
        <v>Thursday</v>
      </c>
      <c r="B157" s="28">
        <f>SCALARS!B158</f>
        <v>46233</v>
      </c>
      <c r="C157" s="61">
        <f>SCALARS!E158</f>
        <v>3547.4856</v>
      </c>
      <c r="D157" s="61">
        <f t="shared" si="41"/>
        <v>3547.4839943022939</v>
      </c>
      <c r="E157" s="61">
        <f t="shared" si="42"/>
        <v>1.6056977060543431E-3</v>
      </c>
      <c r="F157" s="58">
        <f t="shared" si="43"/>
        <v>3547.466708079357</v>
      </c>
      <c r="G157" s="64">
        <v>5890.09</v>
      </c>
      <c r="H157" s="47">
        <v>63960.47</v>
      </c>
      <c r="I157" s="3">
        <v>376734760.5</v>
      </c>
      <c r="J157" s="3">
        <v>2057.56</v>
      </c>
      <c r="K157" s="19">
        <v>20895000</v>
      </c>
      <c r="L157" s="20">
        <f t="shared" si="44"/>
        <v>5890.1187014416873</v>
      </c>
    </row>
    <row r="158" spans="1:12" ht="15" customHeight="1">
      <c r="A158" s="1" t="str">
        <f>SCALARS!A159</f>
        <v>Friday</v>
      </c>
      <c r="B158" s="28">
        <f>SCALARS!B159</f>
        <v>46234</v>
      </c>
      <c r="C158" s="61">
        <f>SCALARS!E159</f>
        <v>3547.5099</v>
      </c>
      <c r="D158" s="61" t="e">
        <f t="shared" si="41"/>
        <v>#DIV/0!</v>
      </c>
      <c r="E158" s="61" t="e">
        <f t="shared" si="42"/>
        <v>#DIV/0!</v>
      </c>
      <c r="F158" s="58" t="e">
        <f t="shared" si="43"/>
        <v>#DIV/0!</v>
      </c>
      <c r="G158" s="64"/>
      <c r="H158" s="47"/>
      <c r="I158" s="3"/>
      <c r="J158" s="3"/>
      <c r="K158" s="19"/>
      <c r="L158" s="20" t="e">
        <f t="shared" si="44"/>
        <v>#DIV/0!</v>
      </c>
    </row>
    <row r="159" spans="1:12" ht="15" customHeight="1">
      <c r="A159" s="1" t="str">
        <f>SCALARS!A160</f>
        <v>Saturday</v>
      </c>
      <c r="B159" s="28">
        <f>SCALARS!B160</f>
        <v>46235</v>
      </c>
      <c r="C159" s="61">
        <f>SCALARS!E160</f>
        <v>3547.5342000000001</v>
      </c>
      <c r="D159" s="61" t="e">
        <f t="shared" si="41"/>
        <v>#DIV/0!</v>
      </c>
      <c r="E159" s="61" t="e">
        <f t="shared" si="42"/>
        <v>#DIV/0!</v>
      </c>
      <c r="F159" s="58" t="e">
        <f t="shared" si="43"/>
        <v>#DIV/0!</v>
      </c>
      <c r="G159" s="64"/>
      <c r="H159" s="47"/>
      <c r="I159" s="3"/>
      <c r="J159" s="3"/>
      <c r="K159" s="19"/>
      <c r="L159" s="20" t="e">
        <f t="shared" si="44"/>
        <v>#DIV/0!</v>
      </c>
    </row>
  </sheetData>
  <hyperlinks>
    <hyperlink ref="A1" r:id="rId1" display="https://coinshares.com/us/etf/brrr/" xr:uid="{DA4D98BB-A2CD-47D3-B2A8-DD9D9C918F1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D3B9-98CE-4F34-85BB-87F8F597C049}">
  <sheetPr codeName="Sheet11">
    <tabColor theme="2" tint="-9.9978637043366805E-2"/>
  </sheetPr>
  <dimension ref="A1:O158"/>
  <sheetViews>
    <sheetView zoomScale="80" zoomScaleNormal="80" workbookViewId="0">
      <pane xSplit="5" ySplit="5" topLeftCell="F93" activePane="bottomRight" state="frozen"/>
      <selection pane="topRight" activeCell="F1" sqref="F1"/>
      <selection pane="bottomLeft" activeCell="A6" sqref="A6"/>
      <selection pane="bottomRight" activeCell="I166" sqref="I166"/>
    </sheetView>
  </sheetViews>
  <sheetFormatPr defaultColWidth="8.85546875" defaultRowHeight="15" customHeight="1"/>
  <cols>
    <col min="1" max="1" width="14.5703125" style="1" customWidth="1"/>
    <col min="2" max="2" width="10.28515625" style="1" bestFit="1" customWidth="1"/>
    <col min="3" max="4" width="13.7109375" style="1" bestFit="1" customWidth="1"/>
    <col min="5" max="5" width="10.140625" style="57" bestFit="1" customWidth="1"/>
    <col min="6" max="6" width="13.7109375" style="1" bestFit="1" customWidth="1"/>
    <col min="8" max="8" width="15.28515625" style="1" bestFit="1" customWidth="1"/>
    <col min="9" max="9" width="17" style="1" bestFit="1" customWidth="1"/>
    <col min="10" max="10" width="19.140625" style="101" bestFit="1" customWidth="1"/>
    <col min="11" max="11" width="8.85546875" style="1" customWidth="1"/>
    <col min="12" max="12" width="11.42578125" style="81" bestFit="1" customWidth="1"/>
    <col min="13" max="13" width="11.7109375" style="67" bestFit="1" customWidth="1"/>
    <col min="14" max="14" width="11.7109375" style="67" customWidth="1"/>
    <col min="15" max="15" width="11.42578125" style="82" bestFit="1" customWidth="1"/>
    <col min="16" max="16384" width="8.85546875" style="1"/>
  </cols>
  <sheetData>
    <row r="1" spans="1:15" ht="15" customHeight="1">
      <c r="A1" s="5" t="s">
        <v>33</v>
      </c>
      <c r="E1" s="1"/>
      <c r="G1" s="1"/>
      <c r="K1" s="84"/>
      <c r="M1" s="81"/>
      <c r="N1" s="81"/>
      <c r="O1" s="81"/>
    </row>
    <row r="2" spans="1:15" ht="15" customHeight="1">
      <c r="A2" s="5"/>
      <c r="E2" s="1"/>
      <c r="G2" s="1"/>
      <c r="K2" s="84"/>
      <c r="M2" s="81"/>
      <c r="N2" s="81"/>
      <c r="O2" s="81"/>
    </row>
    <row r="3" spans="1:15" ht="15" customHeight="1">
      <c r="A3" s="5"/>
    </row>
    <row r="4" spans="1:15" ht="15" customHeight="1">
      <c r="A4" s="5"/>
    </row>
    <row r="5" spans="1:15" s="50" customFormat="1" ht="30" customHeight="1">
      <c r="A5" s="48" t="s">
        <v>58</v>
      </c>
      <c r="B5" s="49" t="s">
        <v>6</v>
      </c>
      <c r="C5" s="44" t="s">
        <v>55</v>
      </c>
      <c r="D5" s="44" t="s">
        <v>1</v>
      </c>
      <c r="E5" s="59" t="s">
        <v>67</v>
      </c>
      <c r="F5" s="21" t="s">
        <v>10</v>
      </c>
      <c r="H5" s="44" t="s">
        <v>57</v>
      </c>
      <c r="I5" s="22" t="s">
        <v>9</v>
      </c>
      <c r="J5" s="102" t="s">
        <v>12</v>
      </c>
      <c r="L5" s="83"/>
      <c r="M5" s="83"/>
      <c r="N5" s="83"/>
      <c r="O5" s="83"/>
    </row>
    <row r="6" spans="1:15" ht="15" customHeight="1">
      <c r="A6" s="1" t="str">
        <f>SCALARS!A7</f>
        <v>Sunday</v>
      </c>
      <c r="B6" s="28">
        <f>SCALARS!B7</f>
        <v>46082</v>
      </c>
      <c r="C6" s="61">
        <f>SCALARS!F7</f>
        <v>2260.2813999999998</v>
      </c>
      <c r="D6" s="61"/>
      <c r="E6" s="61"/>
      <c r="H6" s="46"/>
      <c r="I6" s="19"/>
      <c r="J6" s="61"/>
      <c r="L6" s="67"/>
    </row>
    <row r="7" spans="1:15" ht="15" customHeight="1">
      <c r="A7" s="1" t="str">
        <f>SCALARS!A8</f>
        <v>Monday</v>
      </c>
      <c r="B7" s="28">
        <f>SCALARS!B8</f>
        <v>46083</v>
      </c>
      <c r="C7" s="61">
        <f>SCALARS!F8</f>
        <v>2260.2907</v>
      </c>
      <c r="D7" s="61"/>
      <c r="E7" s="61"/>
      <c r="H7" s="46"/>
      <c r="I7" s="19"/>
      <c r="J7" s="61"/>
      <c r="L7" s="67"/>
    </row>
    <row r="8" spans="1:15" ht="15" customHeight="1">
      <c r="A8" s="1" t="str">
        <f>SCALARS!A9</f>
        <v>Tuesday</v>
      </c>
      <c r="B8" s="28">
        <f>SCALARS!B9</f>
        <v>46084</v>
      </c>
      <c r="C8" s="61">
        <f>SCALARS!F9</f>
        <v>2260.3000000000002</v>
      </c>
      <c r="D8" s="61"/>
      <c r="E8" s="61"/>
      <c r="H8" s="46"/>
      <c r="I8" s="19"/>
      <c r="J8" s="61"/>
      <c r="L8" s="67"/>
    </row>
    <row r="9" spans="1:15" ht="15" customHeight="1">
      <c r="A9" s="1" t="str">
        <f>SCALARS!A10</f>
        <v>Wednesday</v>
      </c>
      <c r="B9" s="28">
        <f>SCALARS!B10</f>
        <v>46085</v>
      </c>
      <c r="C9" s="61">
        <f>SCALARS!F10</f>
        <v>2260.3092999999999</v>
      </c>
      <c r="D9" s="61"/>
      <c r="E9" s="61"/>
      <c r="H9" s="46"/>
      <c r="I9" s="19"/>
      <c r="J9" s="61"/>
      <c r="L9" s="67"/>
    </row>
    <row r="10" spans="1:15" ht="15" customHeight="1">
      <c r="A10" s="1" t="str">
        <f>SCALARS!A11</f>
        <v>Thursday</v>
      </c>
      <c r="B10" s="28">
        <f>SCALARS!B11</f>
        <v>46086</v>
      </c>
      <c r="C10" s="61">
        <f>SCALARS!F11</f>
        <v>2260.3186000000001</v>
      </c>
      <c r="D10" s="61"/>
      <c r="E10" s="61"/>
      <c r="H10" s="46"/>
      <c r="I10" s="19"/>
      <c r="J10" s="61"/>
      <c r="L10" s="67"/>
    </row>
    <row r="11" spans="1:15" ht="15" customHeight="1">
      <c r="A11" s="1" t="str">
        <f>SCALARS!A12</f>
        <v>Friday</v>
      </c>
      <c r="B11" s="28">
        <f>SCALARS!B12</f>
        <v>46087</v>
      </c>
      <c r="C11" s="61">
        <f>SCALARS!F12</f>
        <v>2260.3279000000002</v>
      </c>
      <c r="D11" s="61"/>
      <c r="E11" s="61"/>
      <c r="H11" s="58"/>
      <c r="I11" s="19"/>
      <c r="J11" s="61"/>
      <c r="L11" s="67"/>
    </row>
    <row r="12" spans="1:15" ht="15" customHeight="1">
      <c r="A12" s="1" t="str">
        <f>SCALARS!A13</f>
        <v>Saturday</v>
      </c>
      <c r="B12" s="28">
        <f>SCALARS!B13</f>
        <v>46088</v>
      </c>
      <c r="C12" s="61">
        <f>SCALARS!F13</f>
        <v>2260.3371999999999</v>
      </c>
      <c r="D12" s="61"/>
      <c r="E12" s="61"/>
      <c r="H12" s="58"/>
      <c r="I12" s="19"/>
      <c r="J12" s="61"/>
      <c r="L12" s="67"/>
    </row>
    <row r="13" spans="1:15" ht="15" customHeight="1">
      <c r="A13" s="1" t="str">
        <f>SCALARS!A14</f>
        <v>Sunday</v>
      </c>
      <c r="B13" s="28">
        <f>SCALARS!B14</f>
        <v>46089</v>
      </c>
      <c r="C13" s="61">
        <f>SCALARS!F14</f>
        <v>2260.3465000000001</v>
      </c>
      <c r="D13" s="61"/>
      <c r="E13" s="61"/>
      <c r="H13" s="58"/>
      <c r="I13" s="19"/>
      <c r="J13" s="61"/>
      <c r="L13" s="67"/>
    </row>
    <row r="14" spans="1:15" ht="15" customHeight="1">
      <c r="A14" s="1" t="str">
        <f>SCALARS!A15</f>
        <v>Monday</v>
      </c>
      <c r="B14" s="28">
        <f>SCALARS!B15</f>
        <v>46090</v>
      </c>
      <c r="C14" s="61">
        <f>SCALARS!F15</f>
        <v>2260.3557999999998</v>
      </c>
      <c r="D14" s="61">
        <f t="shared" ref="D14:D18" si="0">1/F14</f>
        <v>2260.3467371894849</v>
      </c>
      <c r="E14" s="106">
        <f>C14-D14</f>
        <v>9.062810514933517E-3</v>
      </c>
      <c r="F14" s="1">
        <v>4.4241000000000001E-4</v>
      </c>
      <c r="H14" s="58">
        <f>I14/J14</f>
        <v>2260.3551257792251</v>
      </c>
      <c r="I14" s="19">
        <v>116349963</v>
      </c>
      <c r="J14" s="61">
        <v>51474.196100000001</v>
      </c>
      <c r="L14" s="67"/>
    </row>
    <row r="15" spans="1:15" s="4" customFormat="1" ht="15" customHeight="1">
      <c r="A15" s="4" t="str">
        <f>SCALARS!A16</f>
        <v>Tuesday</v>
      </c>
      <c r="B15" s="62">
        <f>SCALARS!B16</f>
        <v>46091</v>
      </c>
      <c r="C15" s="103">
        <f>SCALARS!F16</f>
        <v>2260.3651</v>
      </c>
      <c r="D15" s="61">
        <f t="shared" si="0"/>
        <v>2260.3467371894849</v>
      </c>
      <c r="E15" s="106">
        <f t="shared" ref="E15:E60" si="1">C15-D15</f>
        <v>1.8362810515100136E-2</v>
      </c>
      <c r="F15" s="4">
        <v>4.4241000000000001E-4</v>
      </c>
      <c r="H15" s="58">
        <f>I15/J15</f>
        <v>2260.3644176797698</v>
      </c>
      <c r="I15" s="63">
        <v>116349963</v>
      </c>
      <c r="J15" s="103">
        <v>51473.984499999999</v>
      </c>
      <c r="L15" s="67"/>
      <c r="M15" s="67"/>
      <c r="N15" s="67"/>
      <c r="O15" s="82"/>
    </row>
    <row r="16" spans="1:15" s="4" customFormat="1" ht="15" customHeight="1">
      <c r="A16" s="4" t="str">
        <f>SCALARS!A17</f>
        <v>Wednesday</v>
      </c>
      <c r="B16" s="62">
        <f>SCALARS!B17</f>
        <v>46092</v>
      </c>
      <c r="C16" s="103">
        <f>SCALARS!F17</f>
        <v>2260.3744000000002</v>
      </c>
      <c r="D16" s="61">
        <f t="shared" si="0"/>
        <v>2260.3978300180829</v>
      </c>
      <c r="E16" s="106">
        <f t="shared" si="1"/>
        <v>-2.3430018082763127E-2</v>
      </c>
      <c r="F16" s="113">
        <v>4.4240000000000002E-4</v>
      </c>
      <c r="H16" s="58">
        <f>I16/J16</f>
        <v>2260.3737053832556</v>
      </c>
      <c r="I16" s="63">
        <v>116519963</v>
      </c>
      <c r="J16" s="103">
        <v>51548.981800000001</v>
      </c>
      <c r="L16" s="67"/>
      <c r="M16" s="67"/>
      <c r="N16" s="67"/>
      <c r="O16" s="82"/>
    </row>
    <row r="17" spans="1:12" ht="15" customHeight="1">
      <c r="A17" s="1" t="str">
        <f>SCALARS!A18</f>
        <v>Thursday</v>
      </c>
      <c r="B17" s="28">
        <f>SCALARS!B18</f>
        <v>46093</v>
      </c>
      <c r="C17" s="61">
        <f>SCALARS!F18</f>
        <v>2260.3836999999999</v>
      </c>
      <c r="D17" s="61">
        <f t="shared" si="0"/>
        <v>2260.3978300180829</v>
      </c>
      <c r="E17" s="106">
        <f t="shared" si="1"/>
        <v>-1.4130018083051255E-2</v>
      </c>
      <c r="F17" s="6">
        <v>4.4240000000000002E-4</v>
      </c>
      <c r="H17" s="58">
        <f>I17/J17</f>
        <v>2260.3829954797129</v>
      </c>
      <c r="I17" s="19">
        <v>116679963</v>
      </c>
      <c r="J17" s="61">
        <v>51619.554400000001</v>
      </c>
      <c r="L17" s="67"/>
    </row>
    <row r="18" spans="1:12" ht="15" customHeight="1">
      <c r="A18" s="1" t="str">
        <f>SCALARS!A19</f>
        <v>Friday</v>
      </c>
      <c r="B18" s="28">
        <f>SCALARS!B19</f>
        <v>46094</v>
      </c>
      <c r="C18" s="61">
        <f>SCALARS!F19</f>
        <v>2260.393</v>
      </c>
      <c r="D18" s="61">
        <f t="shared" si="0"/>
        <v>2260.3978300180829</v>
      </c>
      <c r="E18" s="106">
        <f t="shared" si="1"/>
        <v>-4.8300180828846351E-3</v>
      </c>
      <c r="F18" s="6">
        <v>4.4240000000000002E-4</v>
      </c>
      <c r="H18" s="58">
        <f>I18/J18</f>
        <v>2260.3922864464112</v>
      </c>
      <c r="I18" s="19">
        <v>116839963</v>
      </c>
      <c r="J18" s="61">
        <v>51690.126400000001</v>
      </c>
      <c r="L18" s="67"/>
    </row>
    <row r="19" spans="1:12" ht="15" customHeight="1">
      <c r="A19" s="1" t="str">
        <f>SCALARS!A20</f>
        <v>Saturday</v>
      </c>
      <c r="B19" s="28">
        <f>SCALARS!B20</f>
        <v>46095</v>
      </c>
      <c r="C19" s="61">
        <f>SCALARS!F20</f>
        <v>2260.4023000000002</v>
      </c>
      <c r="D19" s="61"/>
      <c r="E19" s="106"/>
      <c r="H19" s="58"/>
      <c r="I19" s="19"/>
      <c r="J19" s="61"/>
      <c r="L19" s="67"/>
    </row>
    <row r="20" spans="1:12" ht="15" customHeight="1">
      <c r="A20" s="1" t="str">
        <f>SCALARS!A21</f>
        <v>Sunday</v>
      </c>
      <c r="B20" s="28">
        <f>SCALARS!B21</f>
        <v>46096</v>
      </c>
      <c r="C20" s="61">
        <f>SCALARS!F21</f>
        <v>2260.4115999999999</v>
      </c>
      <c r="D20" s="61"/>
      <c r="E20" s="106"/>
      <c r="H20" s="58"/>
      <c r="I20" s="19"/>
      <c r="J20" s="61"/>
      <c r="L20" s="67"/>
    </row>
    <row r="21" spans="1:12" ht="15" customHeight="1">
      <c r="A21" s="1" t="str">
        <f>SCALARS!A22</f>
        <v>Monday</v>
      </c>
      <c r="B21" s="28">
        <f>SCALARS!B22</f>
        <v>46097</v>
      </c>
      <c r="C21" s="61">
        <f>SCALARS!F22</f>
        <v>2260.4209000000001</v>
      </c>
      <c r="D21" s="61">
        <f t="shared" ref="D21:D23" si="2">1/F21</f>
        <v>2260.3978300180829</v>
      </c>
      <c r="E21" s="106">
        <f t="shared" si="1"/>
        <v>2.3069981917160476E-2</v>
      </c>
      <c r="F21" s="6">
        <v>4.4240000000000002E-4</v>
      </c>
      <c r="H21" s="58">
        <f>I21/J21</f>
        <v>2260.4201513370726</v>
      </c>
      <c r="I21" s="19">
        <v>116839963</v>
      </c>
      <c r="J21" s="61">
        <v>51689.489200000004</v>
      </c>
      <c r="L21" s="67"/>
    </row>
    <row r="22" spans="1:12" ht="15" customHeight="1">
      <c r="A22" s="1" t="str">
        <f>SCALARS!A23</f>
        <v>Tuesday</v>
      </c>
      <c r="B22" s="28">
        <f>SCALARS!B23</f>
        <v>46098</v>
      </c>
      <c r="C22" s="61">
        <f>SCALARS!F23</f>
        <v>2260.4301999999998</v>
      </c>
      <c r="D22" s="61">
        <f t="shared" si="2"/>
        <v>2260.448925156536</v>
      </c>
      <c r="E22" s="106">
        <f t="shared" si="1"/>
        <v>-1.8725156536220311E-2</v>
      </c>
      <c r="F22" s="6">
        <v>4.4239000000000002E-4</v>
      </c>
      <c r="H22" s="58">
        <f>I22/J22</f>
        <v>2260.4294441597399</v>
      </c>
      <c r="I22" s="19">
        <v>116839963</v>
      </c>
      <c r="J22" s="61">
        <v>51689.276700000002</v>
      </c>
      <c r="L22" s="67"/>
    </row>
    <row r="23" spans="1:12" ht="15" customHeight="1">
      <c r="A23" s="1" t="str">
        <f>SCALARS!A24</f>
        <v>Wednesday</v>
      </c>
      <c r="B23" s="28">
        <f>SCALARS!B24</f>
        <v>46099</v>
      </c>
      <c r="C23" s="61">
        <f>SCALARS!F24</f>
        <v>2260.4395</v>
      </c>
      <c r="D23" s="61">
        <f t="shared" si="2"/>
        <v>2260.448925156536</v>
      </c>
      <c r="E23" s="106">
        <f t="shared" si="1"/>
        <v>-9.4251565360536915E-3</v>
      </c>
      <c r="F23" s="6">
        <v>4.4239000000000002E-4</v>
      </c>
      <c r="H23" s="58">
        <f>I23/J23</f>
        <v>2260.4387326856681</v>
      </c>
      <c r="I23" s="19">
        <v>116839963</v>
      </c>
      <c r="J23" s="61">
        <v>51689.064299999998</v>
      </c>
      <c r="L23" s="67"/>
    </row>
    <row r="24" spans="1:12" ht="15" customHeight="1">
      <c r="A24" s="1" t="str">
        <f>SCALARS!A25</f>
        <v>Thursday</v>
      </c>
      <c r="B24" s="28">
        <f>SCALARS!B25</f>
        <v>46100</v>
      </c>
      <c r="C24" s="61">
        <f>SCALARS!F25</f>
        <v>2260.4488000000001</v>
      </c>
      <c r="D24" s="61">
        <f t="shared" ref="D24" si="3">1/F24</f>
        <v>2260.448925156536</v>
      </c>
      <c r="E24" s="106">
        <f t="shared" si="1"/>
        <v>-1.251565358870721E-4</v>
      </c>
      <c r="F24" s="6">
        <v>4.4239000000000002E-4</v>
      </c>
      <c r="H24" s="58">
        <f>I24/J24</f>
        <v>2260.4480212879325</v>
      </c>
      <c r="I24" s="19">
        <v>116839963</v>
      </c>
      <c r="J24" s="61">
        <v>51688.851900000001</v>
      </c>
      <c r="L24" s="67"/>
    </row>
    <row r="25" spans="1:12" ht="15" customHeight="1">
      <c r="A25" s="1" t="str">
        <f>SCALARS!A26</f>
        <v>Friday</v>
      </c>
      <c r="B25" s="28">
        <f>SCALARS!B26</f>
        <v>46101</v>
      </c>
      <c r="C25" s="61">
        <f>SCALARS!F26</f>
        <v>2260.4580999999998</v>
      </c>
      <c r="D25" s="61">
        <f t="shared" ref="D25" si="4">1/F25</f>
        <v>2260.448925156536</v>
      </c>
      <c r="E25" s="106">
        <f t="shared" si="1"/>
        <v>9.1748434638248E-3</v>
      </c>
      <c r="F25" s="6">
        <v>4.4239000000000002E-4</v>
      </c>
      <c r="H25" s="58">
        <f>I25/J25</f>
        <v>2260.4573123186515</v>
      </c>
      <c r="I25" s="19">
        <v>116989963</v>
      </c>
      <c r="J25" s="61">
        <v>51754.9977</v>
      </c>
      <c r="L25" s="67"/>
    </row>
    <row r="26" spans="1:12" ht="15" customHeight="1">
      <c r="A26" s="1" t="str">
        <f>SCALARS!A27</f>
        <v>Saturday</v>
      </c>
      <c r="B26" s="28">
        <f>SCALARS!B27</f>
        <v>46102</v>
      </c>
      <c r="C26" s="61">
        <f>SCALARS!F27</f>
        <v>2260.4674</v>
      </c>
      <c r="D26" s="61"/>
      <c r="E26" s="106"/>
      <c r="H26" s="58"/>
      <c r="I26" s="19"/>
      <c r="J26" s="61"/>
      <c r="L26" s="67"/>
    </row>
    <row r="27" spans="1:12" ht="15" customHeight="1">
      <c r="A27" s="1" t="str">
        <f>SCALARS!A28</f>
        <v>Sunday</v>
      </c>
      <c r="B27" s="28">
        <f>SCALARS!B28</f>
        <v>46103</v>
      </c>
      <c r="C27" s="61">
        <f>SCALARS!F28</f>
        <v>2260.4767000000002</v>
      </c>
      <c r="D27" s="61"/>
      <c r="E27" s="106"/>
      <c r="H27" s="58"/>
      <c r="I27" s="19"/>
      <c r="J27" s="61"/>
      <c r="L27" s="67"/>
    </row>
    <row r="28" spans="1:12" ht="15" customHeight="1">
      <c r="A28" s="1" t="str">
        <f>SCALARS!A29</f>
        <v>Monday</v>
      </c>
      <c r="B28" s="28">
        <f>SCALARS!B29</f>
        <v>46104</v>
      </c>
      <c r="C28" s="61">
        <f>SCALARS!F29</f>
        <v>2260.4859999999999</v>
      </c>
      <c r="D28" s="61"/>
      <c r="E28" s="106"/>
      <c r="F28" s="6"/>
      <c r="H28" s="58"/>
      <c r="I28" s="19"/>
      <c r="J28" s="61"/>
      <c r="L28" s="67"/>
    </row>
    <row r="29" spans="1:12" ht="15" customHeight="1">
      <c r="A29" s="1" t="str">
        <f>SCALARS!A30</f>
        <v>Tuesday</v>
      </c>
      <c r="B29" s="28">
        <f>SCALARS!B30</f>
        <v>46105</v>
      </c>
      <c r="C29" s="61">
        <f>SCALARS!F30</f>
        <v>2260.4953</v>
      </c>
      <c r="D29" s="61">
        <f t="shared" ref="D29" si="5">1/F29</f>
        <v>2260.5000226050001</v>
      </c>
      <c r="E29" s="106">
        <f t="shared" si="1"/>
        <v>-4.7226050000972464E-3</v>
      </c>
      <c r="F29" s="6">
        <v>4.4237999999999998E-4</v>
      </c>
      <c r="H29" s="58">
        <f>I29/J29</f>
        <v>2260.4944682017463</v>
      </c>
      <c r="I29" s="19">
        <v>116989963</v>
      </c>
      <c r="J29" s="61">
        <v>51754.146999999997</v>
      </c>
      <c r="L29" s="67"/>
    </row>
    <row r="30" spans="1:12" ht="15" customHeight="1">
      <c r="A30" s="1" t="str">
        <f>SCALARS!A31</f>
        <v>Wednesday</v>
      </c>
      <c r="B30" s="28">
        <f>SCALARS!B31</f>
        <v>46106</v>
      </c>
      <c r="C30" s="61">
        <f>SCALARS!F31</f>
        <v>2260.5046000000002</v>
      </c>
      <c r="D30" s="61">
        <f t="shared" ref="D30" si="6">1/F30</f>
        <v>2260.5000226050001</v>
      </c>
      <c r="E30" s="106">
        <f t="shared" si="1"/>
        <v>4.5773950000693731E-3</v>
      </c>
      <c r="F30" s="6">
        <v>4.4237999999999998E-4</v>
      </c>
      <c r="H30" s="58">
        <f>I30/J30</f>
        <v>2260.5037584553256</v>
      </c>
      <c r="I30" s="19">
        <v>116989963</v>
      </c>
      <c r="J30" s="61">
        <v>51753.934300000001</v>
      </c>
      <c r="L30" s="67"/>
    </row>
    <row r="31" spans="1:12" ht="15" customHeight="1">
      <c r="A31" s="1" t="str">
        <f>SCALARS!A32</f>
        <v>Thursday</v>
      </c>
      <c r="B31" s="28">
        <f>SCALARS!B32</f>
        <v>46107</v>
      </c>
      <c r="C31" s="61">
        <f>SCALARS!F32</f>
        <v>2260.5138999999999</v>
      </c>
      <c r="D31" s="61">
        <f t="shared" ref="D31" si="7">1/F31</f>
        <v>2260.5000226050001</v>
      </c>
      <c r="E31" s="106">
        <f t="shared" si="1"/>
        <v>1.3877394999781245E-2</v>
      </c>
      <c r="F31" s="6">
        <v>4.4237999999999998E-4</v>
      </c>
      <c r="H31" s="58">
        <f>I31/J31</f>
        <v>2260.5130487852684</v>
      </c>
      <c r="I31" s="19">
        <v>116989963</v>
      </c>
      <c r="J31" s="61">
        <v>51753.721599999997</v>
      </c>
      <c r="L31" s="67"/>
    </row>
    <row r="32" spans="1:12" ht="15" customHeight="1">
      <c r="A32" s="1" t="str">
        <f>SCALARS!A33</f>
        <v>Friday</v>
      </c>
      <c r="B32" s="28">
        <f>SCALARS!B33</f>
        <v>46108</v>
      </c>
      <c r="C32" s="61">
        <f>SCALARS!F33</f>
        <v>2260.5232000000001</v>
      </c>
      <c r="D32" s="61">
        <f t="shared" ref="D32" si="8">1/F32</f>
        <v>2260.5000226050001</v>
      </c>
      <c r="E32" s="106">
        <f t="shared" si="1"/>
        <v>2.3177394999947865E-2</v>
      </c>
      <c r="F32" s="6">
        <v>4.4237999999999998E-4</v>
      </c>
      <c r="H32" s="58">
        <f>I32/J32</f>
        <v>2260.5223385842319</v>
      </c>
      <c r="I32" s="19">
        <v>116809963</v>
      </c>
      <c r="J32" s="61">
        <v>51673.881300000001</v>
      </c>
      <c r="L32" s="67"/>
    </row>
    <row r="33" spans="1:12" ht="15" customHeight="1">
      <c r="A33" s="1" t="str">
        <f>SCALARS!A34</f>
        <v>Saturday</v>
      </c>
      <c r="B33" s="28">
        <f>SCALARS!B34</f>
        <v>46109</v>
      </c>
      <c r="C33" s="61">
        <f>SCALARS!F34</f>
        <v>2260.5324999999998</v>
      </c>
      <c r="D33" s="61"/>
      <c r="E33" s="106"/>
      <c r="H33" s="58"/>
      <c r="I33" s="19"/>
      <c r="J33" s="61"/>
      <c r="L33" s="67"/>
    </row>
    <row r="34" spans="1:12" ht="15" customHeight="1">
      <c r="A34" s="1" t="str">
        <f>SCALARS!A35</f>
        <v>Sunday</v>
      </c>
      <c r="B34" s="28">
        <f>SCALARS!B35</f>
        <v>46110</v>
      </c>
      <c r="C34" s="61">
        <f>SCALARS!F35</f>
        <v>2260.5418</v>
      </c>
      <c r="D34" s="61"/>
      <c r="E34" s="106"/>
      <c r="H34" s="58"/>
      <c r="I34" s="19"/>
      <c r="J34" s="61"/>
      <c r="L34" s="67"/>
    </row>
    <row r="35" spans="1:12" ht="15" customHeight="1">
      <c r="A35" s="1" t="str">
        <f>SCALARS!A36</f>
        <v>Monday</v>
      </c>
      <c r="B35" s="28">
        <f>SCALARS!B36</f>
        <v>46111</v>
      </c>
      <c r="C35" s="61">
        <f>SCALARS!F36</f>
        <v>2260.5511000000001</v>
      </c>
      <c r="D35" s="61">
        <f t="shared" ref="D35" si="9">1/F35</f>
        <v>2260.5511223636322</v>
      </c>
      <c r="E35" s="106">
        <f t="shared" si="1"/>
        <v>-2.2363632069755113E-5</v>
      </c>
      <c r="F35" s="6">
        <v>4.4236999999999998E-4</v>
      </c>
      <c r="H35" s="58">
        <f>I35/J35</f>
        <v>2260.5502094641079</v>
      </c>
      <c r="I35" s="19">
        <v>116809963</v>
      </c>
      <c r="J35" s="61">
        <v>51673.244200000001</v>
      </c>
      <c r="L35" s="67"/>
    </row>
    <row r="36" spans="1:12" ht="15" customHeight="1">
      <c r="A36" s="1" t="str">
        <f>SCALARS!A37</f>
        <v>Tuesday</v>
      </c>
      <c r="B36" s="28">
        <f>SCALARS!B37</f>
        <v>46112</v>
      </c>
      <c r="C36" s="61">
        <f>SCALARS!F37</f>
        <v>2260.5603999999998</v>
      </c>
      <c r="D36" s="61">
        <f t="shared" ref="D36:D67" si="10">1/F36</f>
        <v>2260.5511223636322</v>
      </c>
      <c r="E36" s="106">
        <f t="shared" si="1"/>
        <v>9.277636367642117E-3</v>
      </c>
      <c r="F36" s="6">
        <v>4.4236999999999998E-4</v>
      </c>
      <c r="H36" s="58">
        <f t="shared" ref="H36:H67" si="11">I36/J36</f>
        <v>2260.5594969936337</v>
      </c>
      <c r="I36" s="19">
        <v>116809963</v>
      </c>
      <c r="J36" s="61">
        <v>51673.031900000002</v>
      </c>
      <c r="L36" s="67"/>
    </row>
    <row r="37" spans="1:12" ht="15" customHeight="1">
      <c r="A37" s="1" t="str">
        <f>SCALARS!A38</f>
        <v>Wednesday</v>
      </c>
      <c r="B37" s="28">
        <f>SCALARS!B38</f>
        <v>46113</v>
      </c>
      <c r="C37" s="61">
        <f>SCALARS!F38</f>
        <v>2260.5697</v>
      </c>
      <c r="D37" s="61">
        <f t="shared" si="10"/>
        <v>2260.5511223636322</v>
      </c>
      <c r="E37" s="106">
        <f t="shared" si="1"/>
        <v>1.8577636367808736E-2</v>
      </c>
      <c r="F37" s="6">
        <v>4.4236999999999998E-4</v>
      </c>
      <c r="H37" s="58">
        <f t="shared" si="11"/>
        <v>2260.5687889742499</v>
      </c>
      <c r="I37" s="19">
        <v>116809963</v>
      </c>
      <c r="J37" s="61">
        <v>51672.819499999998</v>
      </c>
      <c r="L37" s="67"/>
    </row>
    <row r="38" spans="1:12" ht="15" customHeight="1">
      <c r="A38" s="1" t="str">
        <f>SCALARS!A39</f>
        <v>Thursday</v>
      </c>
      <c r="B38" s="28">
        <f>SCALARS!B39</f>
        <v>46114</v>
      </c>
      <c r="C38" s="61">
        <f>SCALARS!F39</f>
        <v>2260.5790000000002</v>
      </c>
      <c r="D38" s="61">
        <f t="shared" si="10"/>
        <v>2260.6022244325891</v>
      </c>
      <c r="E38" s="106">
        <f t="shared" si="1"/>
        <v>-2.3224432588904165E-2</v>
      </c>
      <c r="F38" s="6">
        <v>4.4235999999999999E-4</v>
      </c>
      <c r="H38" s="58">
        <f t="shared" si="11"/>
        <v>2260.5780769450926</v>
      </c>
      <c r="I38" s="19">
        <v>117149963</v>
      </c>
      <c r="J38" s="61">
        <v>51823.011200000001</v>
      </c>
      <c r="L38" s="67"/>
    </row>
    <row r="39" spans="1:12" ht="15" customHeight="1">
      <c r="A39" s="1" t="str">
        <f>SCALARS!A40</f>
        <v>Friday</v>
      </c>
      <c r="B39" s="28">
        <f>SCALARS!B40</f>
        <v>46115</v>
      </c>
      <c r="C39" s="61">
        <f>SCALARS!F40</f>
        <v>2260.5882999999999</v>
      </c>
      <c r="D39" s="61"/>
      <c r="E39" s="106"/>
      <c r="F39" s="6"/>
      <c r="H39" s="58"/>
      <c r="I39" s="19"/>
      <c r="J39" s="61"/>
      <c r="L39" s="67"/>
    </row>
    <row r="40" spans="1:12" ht="15" customHeight="1">
      <c r="A40" s="1" t="str">
        <f>SCALARS!A41</f>
        <v>Saturday</v>
      </c>
      <c r="B40" s="28">
        <f>SCALARS!B41</f>
        <v>46116</v>
      </c>
      <c r="C40" s="61">
        <f>SCALARS!F41</f>
        <v>2260.5976000000001</v>
      </c>
      <c r="D40" s="61"/>
      <c r="E40" s="106"/>
      <c r="F40" s="6"/>
      <c r="H40" s="58"/>
      <c r="I40" s="19"/>
      <c r="J40" s="61"/>
      <c r="L40" s="67"/>
    </row>
    <row r="41" spans="1:12" ht="15" customHeight="1">
      <c r="A41" s="1" t="str">
        <f>SCALARS!A42</f>
        <v>Sunday</v>
      </c>
      <c r="B41" s="28">
        <f>SCALARS!B42</f>
        <v>46117</v>
      </c>
      <c r="C41" s="61">
        <f>SCALARS!F42</f>
        <v>2260.6069000000002</v>
      </c>
      <c r="D41" s="61"/>
      <c r="E41" s="106"/>
      <c r="F41" s="6"/>
      <c r="H41" s="58"/>
      <c r="I41" s="19"/>
      <c r="J41" s="61"/>
      <c r="L41" s="67"/>
    </row>
    <row r="42" spans="1:12" ht="15" customHeight="1">
      <c r="A42" s="1" t="str">
        <f>SCALARS!A43</f>
        <v>Monday</v>
      </c>
      <c r="B42" s="28">
        <f>SCALARS!B43</f>
        <v>46118</v>
      </c>
      <c r="C42" s="61">
        <f>SCALARS!F43</f>
        <v>2260.6161999999999</v>
      </c>
      <c r="D42" s="61">
        <f t="shared" si="10"/>
        <v>2260.6022244325891</v>
      </c>
      <c r="E42" s="106">
        <f t="shared" si="1"/>
        <v>1.3975567410852818E-2</v>
      </c>
      <c r="F42" s="6">
        <v>4.4235999999999999E-4</v>
      </c>
      <c r="H42" s="58">
        <f t="shared" si="11"/>
        <v>2260.6152383928161</v>
      </c>
      <c r="I42" s="19">
        <v>117149963</v>
      </c>
      <c r="J42" s="61">
        <v>51822.159299999999</v>
      </c>
      <c r="L42" s="67"/>
    </row>
    <row r="43" spans="1:12" ht="15" customHeight="1">
      <c r="A43" s="1" t="str">
        <f>SCALARS!A44</f>
        <v>Tuesday</v>
      </c>
      <c r="B43" s="28">
        <f>SCALARS!B44</f>
        <v>46119</v>
      </c>
      <c r="C43" s="61">
        <f>SCALARS!F44</f>
        <v>2260.6255000000001</v>
      </c>
      <c r="D43" s="61">
        <f t="shared" si="10"/>
        <v>2260.6022244325891</v>
      </c>
      <c r="E43" s="106">
        <f t="shared" si="1"/>
        <v>2.3275567411019438E-2</v>
      </c>
      <c r="F43" s="6">
        <v>4.4235999999999999E-4</v>
      </c>
      <c r="H43" s="58">
        <f t="shared" si="11"/>
        <v>2260.6245305606785</v>
      </c>
      <c r="I43" s="19">
        <v>117719963</v>
      </c>
      <c r="J43" s="61">
        <v>52074.089</v>
      </c>
      <c r="L43" s="67"/>
    </row>
    <row r="44" spans="1:12" ht="15" customHeight="1">
      <c r="A44" s="1" t="str">
        <f>SCALARS!A45</f>
        <v>Wednesday</v>
      </c>
      <c r="B44" s="28">
        <f>SCALARS!B45</f>
        <v>46120</v>
      </c>
      <c r="C44" s="61">
        <f>SCALARS!F45</f>
        <v>2260.6347999999998</v>
      </c>
      <c r="D44" s="61">
        <f t="shared" si="10"/>
        <v>2260.6533288120268</v>
      </c>
      <c r="E44" s="106">
        <f t="shared" si="1"/>
        <v>-1.8528812026943342E-2</v>
      </c>
      <c r="F44" s="6">
        <v>4.4234999999999999E-4</v>
      </c>
      <c r="H44" s="58">
        <f t="shared" si="11"/>
        <v>2260.6338207018393</v>
      </c>
      <c r="I44" s="19">
        <v>117719963</v>
      </c>
      <c r="J44" s="61">
        <v>52073.875</v>
      </c>
      <c r="L44" s="67"/>
    </row>
    <row r="45" spans="1:12" ht="15" customHeight="1">
      <c r="A45" s="1" t="str">
        <f>SCALARS!A46</f>
        <v>Thursday</v>
      </c>
      <c r="B45" s="28">
        <f>SCALARS!B46</f>
        <v>46121</v>
      </c>
      <c r="C45" s="61">
        <f>SCALARS!F46</f>
        <v>2260.6441</v>
      </c>
      <c r="D45" s="61">
        <f t="shared" si="10"/>
        <v>2260.6533288120268</v>
      </c>
      <c r="E45" s="106">
        <f t="shared" si="1"/>
        <v>-9.2288120267767226E-3</v>
      </c>
      <c r="F45" s="6">
        <v>4.4234999999999999E-4</v>
      </c>
      <c r="H45" s="58">
        <f t="shared" si="11"/>
        <v>2260.6431109193572</v>
      </c>
      <c r="I45" s="19">
        <v>117719963</v>
      </c>
      <c r="J45" s="61">
        <v>52073.661</v>
      </c>
      <c r="L45" s="67"/>
    </row>
    <row r="46" spans="1:12" ht="15" customHeight="1">
      <c r="A46" s="1" t="str">
        <f>SCALARS!A47</f>
        <v>Friday</v>
      </c>
      <c r="B46" s="28">
        <f>SCALARS!B47</f>
        <v>46122</v>
      </c>
      <c r="C46" s="61">
        <f>SCALARS!F47</f>
        <v>2260.6534000000001</v>
      </c>
      <c r="D46" s="61">
        <f t="shared" si="10"/>
        <v>2260.6533288120268</v>
      </c>
      <c r="E46" s="106">
        <f t="shared" si="1"/>
        <v>7.1187973389896797E-5</v>
      </c>
      <c r="F46" s="6">
        <v>4.4234999999999999E-4</v>
      </c>
      <c r="H46" s="58">
        <f t="shared" si="11"/>
        <v>2260.6524012132327</v>
      </c>
      <c r="I46" s="19">
        <v>117719963</v>
      </c>
      <c r="J46" s="61">
        <v>52073.447</v>
      </c>
      <c r="L46" s="67"/>
    </row>
    <row r="47" spans="1:12" ht="15" customHeight="1">
      <c r="A47" s="1" t="str">
        <f>SCALARS!A48</f>
        <v>Saturday</v>
      </c>
      <c r="B47" s="28">
        <f>SCALARS!B48</f>
        <v>46123</v>
      </c>
      <c r="C47" s="61">
        <f>SCALARS!F48</f>
        <v>2260.6626999999999</v>
      </c>
      <c r="D47" s="61"/>
      <c r="E47" s="106"/>
      <c r="F47" s="6"/>
      <c r="H47" s="58"/>
      <c r="I47" s="19"/>
      <c r="J47" s="61"/>
      <c r="L47" s="67"/>
    </row>
    <row r="48" spans="1:12" ht="15" customHeight="1">
      <c r="A48" s="1" t="str">
        <f>SCALARS!A49</f>
        <v>Sunday</v>
      </c>
      <c r="B48" s="28">
        <f>SCALARS!B49</f>
        <v>46124</v>
      </c>
      <c r="C48" s="61">
        <f>SCALARS!F49</f>
        <v>2260.672</v>
      </c>
      <c r="D48" s="61"/>
      <c r="E48" s="106"/>
      <c r="F48" s="6"/>
      <c r="H48" s="58"/>
      <c r="I48" s="19"/>
      <c r="J48" s="61"/>
      <c r="L48" s="67"/>
    </row>
    <row r="49" spans="1:12" ht="15" customHeight="1">
      <c r="A49" s="1" t="str">
        <f>SCALARS!A50</f>
        <v>Monday</v>
      </c>
      <c r="B49" s="28">
        <f>SCALARS!B50</f>
        <v>46125</v>
      </c>
      <c r="C49" s="61">
        <f>SCALARS!F50</f>
        <v>2260.6813000000002</v>
      </c>
      <c r="D49" s="61">
        <f t="shared" si="10"/>
        <v>2260.7044355021026</v>
      </c>
      <c r="E49" s="106">
        <f t="shared" si="1"/>
        <v>-2.3135502102377359E-2</v>
      </c>
      <c r="F49" s="6">
        <v>4.4234E-4</v>
      </c>
      <c r="H49" s="58">
        <f t="shared" si="11"/>
        <v>2260.6802259422616</v>
      </c>
      <c r="I49" s="19">
        <v>117999963</v>
      </c>
      <c r="J49" s="61">
        <v>52196.662600000003</v>
      </c>
      <c r="L49" s="67"/>
    </row>
    <row r="50" spans="1:12" ht="15" customHeight="1">
      <c r="A50" s="1" t="str">
        <f>SCALARS!A51</f>
        <v>Tuesday</v>
      </c>
      <c r="B50" s="28">
        <f>SCALARS!B51</f>
        <v>46126</v>
      </c>
      <c r="C50" s="61">
        <f>SCALARS!F51</f>
        <v>2260.6905999999999</v>
      </c>
      <c r="D50" s="61">
        <f t="shared" si="10"/>
        <v>2260.7044355021026</v>
      </c>
      <c r="E50" s="106">
        <f t="shared" si="1"/>
        <v>-1.3835502102665487E-2</v>
      </c>
      <c r="F50" s="6">
        <v>4.4234E-4</v>
      </c>
      <c r="H50" s="58">
        <f t="shared" si="11"/>
        <v>2260.6895164756156</v>
      </c>
      <c r="I50" s="19">
        <v>117659963</v>
      </c>
      <c r="J50" s="61">
        <v>52046.051500000001</v>
      </c>
      <c r="L50" s="67"/>
    </row>
    <row r="51" spans="1:12" ht="15" customHeight="1">
      <c r="A51" s="1" t="str">
        <f>SCALARS!A52</f>
        <v>Wednesday</v>
      </c>
      <c r="B51" s="28">
        <f>SCALARS!B52</f>
        <v>46127</v>
      </c>
      <c r="C51" s="61">
        <f>SCALARS!F52</f>
        <v>2260.6999000000001</v>
      </c>
      <c r="D51" s="61">
        <f t="shared" si="10"/>
        <v>2260.7044355021026</v>
      </c>
      <c r="E51" s="106">
        <f t="shared" si="1"/>
        <v>-4.5355021024988673E-3</v>
      </c>
      <c r="F51" s="6">
        <v>4.4234E-4</v>
      </c>
      <c r="H51" s="58">
        <f t="shared" si="11"/>
        <v>2260.698810372553</v>
      </c>
      <c r="I51" s="19">
        <v>117809963</v>
      </c>
      <c r="J51" s="61">
        <v>52112.188699999999</v>
      </c>
      <c r="L51" s="67"/>
    </row>
    <row r="52" spans="1:12" ht="15" customHeight="1">
      <c r="A52" s="1" t="str">
        <f>SCALARS!A53</f>
        <v>Thursday</v>
      </c>
      <c r="B52" s="28">
        <f>SCALARS!B53</f>
        <v>46128</v>
      </c>
      <c r="C52" s="61">
        <f>SCALARS!F53</f>
        <v>2260.7091999999998</v>
      </c>
      <c r="D52" s="61">
        <f t="shared" si="10"/>
        <v>2260.7044355021026</v>
      </c>
      <c r="E52" s="106">
        <f t="shared" si="1"/>
        <v>4.7644978972130048E-3</v>
      </c>
      <c r="F52" s="6">
        <v>4.4234E-4</v>
      </c>
      <c r="H52" s="58">
        <f t="shared" si="11"/>
        <v>2260.7080983647852</v>
      </c>
      <c r="I52" s="19">
        <v>117809963</v>
      </c>
      <c r="J52" s="61">
        <v>52111.974600000001</v>
      </c>
      <c r="L52" s="67"/>
    </row>
    <row r="53" spans="1:12" ht="15" customHeight="1">
      <c r="A53" s="1" t="str">
        <f>SCALARS!A54</f>
        <v>Friday</v>
      </c>
      <c r="B53" s="28">
        <f>SCALARS!B54</f>
        <v>46129</v>
      </c>
      <c r="C53" s="61">
        <f>SCALARS!F54</f>
        <v>2260.7184999999999</v>
      </c>
      <c r="D53" s="61">
        <f t="shared" si="10"/>
        <v>2260.7044355021026</v>
      </c>
      <c r="E53" s="106">
        <f t="shared" si="1"/>
        <v>1.4064497897379624E-2</v>
      </c>
      <c r="F53" s="6">
        <v>4.4234E-4</v>
      </c>
      <c r="H53" s="58">
        <f t="shared" si="11"/>
        <v>2260.7173878583508</v>
      </c>
      <c r="I53" s="19">
        <v>118309963</v>
      </c>
      <c r="J53" s="61">
        <v>52332.929199999999</v>
      </c>
      <c r="L53" s="67"/>
    </row>
    <row r="54" spans="1:12" ht="15" customHeight="1">
      <c r="A54" s="1" t="str">
        <f>SCALARS!A55</f>
        <v>Saturday</v>
      </c>
      <c r="B54" s="28">
        <f>SCALARS!B55</f>
        <v>46130</v>
      </c>
      <c r="C54" s="61">
        <f>SCALARS!F55</f>
        <v>2260.7278000000001</v>
      </c>
      <c r="D54" s="61"/>
      <c r="E54" s="106"/>
      <c r="F54" s="6"/>
      <c r="H54" s="58"/>
      <c r="I54" s="19"/>
      <c r="J54" s="61"/>
      <c r="L54" s="67"/>
    </row>
    <row r="55" spans="1:12" ht="15" customHeight="1">
      <c r="A55" s="1" t="str">
        <f>SCALARS!A56</f>
        <v>Sunday</v>
      </c>
      <c r="B55" s="28">
        <f>SCALARS!B56</f>
        <v>46131</v>
      </c>
      <c r="C55" s="61">
        <f>SCALARS!F56</f>
        <v>2260.7370999999998</v>
      </c>
      <c r="D55" s="61"/>
      <c r="E55" s="106"/>
      <c r="F55" s="6"/>
      <c r="H55" s="58"/>
      <c r="I55" s="19"/>
      <c r="J55" s="61"/>
      <c r="L55" s="67"/>
    </row>
    <row r="56" spans="1:12" ht="15" customHeight="1">
      <c r="A56" s="1" t="str">
        <f>SCALARS!A57</f>
        <v>Monday</v>
      </c>
      <c r="B56" s="28">
        <f>SCALARS!B57</f>
        <v>46132</v>
      </c>
      <c r="C56" s="61">
        <f>SCALARS!F57</f>
        <v>2260.7464</v>
      </c>
      <c r="D56" s="61">
        <f t="shared" si="10"/>
        <v>2260.755544502973</v>
      </c>
      <c r="E56" s="106">
        <f t="shared" si="1"/>
        <v>-9.1445029729584348E-3</v>
      </c>
      <c r="F56" s="6">
        <v>4.4233E-4</v>
      </c>
      <c r="H56" s="58">
        <f t="shared" si="11"/>
        <v>2260.7451275202466</v>
      </c>
      <c r="I56" s="19">
        <v>119159963</v>
      </c>
      <c r="J56" s="61">
        <v>52708.2693</v>
      </c>
      <c r="L56" s="67"/>
    </row>
    <row r="57" spans="1:12" ht="15" customHeight="1">
      <c r="A57" s="1" t="str">
        <f>SCALARS!A58</f>
        <v>Tuesday</v>
      </c>
      <c r="B57" s="28">
        <f>SCALARS!B58</f>
        <v>46133</v>
      </c>
      <c r="C57" s="61">
        <f>SCALARS!F58</f>
        <v>2260.7557000000002</v>
      </c>
      <c r="D57" s="61">
        <f t="shared" si="10"/>
        <v>2260.755544502973</v>
      </c>
      <c r="E57" s="106">
        <f t="shared" si="1"/>
        <v>1.5549702720818459E-4</v>
      </c>
      <c r="F57" s="6">
        <v>4.4233E-4</v>
      </c>
      <c r="H57" s="58">
        <f t="shared" si="11"/>
        <v>2260.7544178918224</v>
      </c>
      <c r="I57" s="19">
        <v>119159963</v>
      </c>
      <c r="J57" s="61">
        <v>52708.0527</v>
      </c>
      <c r="L57" s="67"/>
    </row>
    <row r="58" spans="1:12" ht="15" customHeight="1">
      <c r="A58" s="1" t="str">
        <f>SCALARS!A59</f>
        <v>Wednesday</v>
      </c>
      <c r="B58" s="28">
        <f>SCALARS!B59</f>
        <v>46134</v>
      </c>
      <c r="C58" s="61">
        <f>SCALARS!F59</f>
        <v>2260.7649999999999</v>
      </c>
      <c r="D58" s="61">
        <f t="shared" si="10"/>
        <v>2260.755544502973</v>
      </c>
      <c r="E58" s="106">
        <f t="shared" si="1"/>
        <v>9.4554970269200567E-3</v>
      </c>
      <c r="F58" s="6">
        <v>4.4233E-4</v>
      </c>
      <c r="H58" s="58">
        <f t="shared" si="11"/>
        <v>2260.7637113038004</v>
      </c>
      <c r="I58" s="19">
        <v>119679963</v>
      </c>
      <c r="J58" s="61">
        <v>52937.846799999999</v>
      </c>
      <c r="L58" s="67"/>
    </row>
    <row r="59" spans="1:12" ht="15" customHeight="1">
      <c r="A59" s="1" t="str">
        <f>SCALARS!A60</f>
        <v>Thursday</v>
      </c>
      <c r="B59" s="28">
        <f>SCALARS!B60</f>
        <v>46135</v>
      </c>
      <c r="C59" s="61">
        <f>SCALARS!F60</f>
        <v>2260.7743</v>
      </c>
      <c r="D59" s="61"/>
      <c r="E59" s="106"/>
      <c r="F59" s="6"/>
      <c r="H59" s="58"/>
      <c r="I59" s="19"/>
      <c r="J59" s="61"/>
      <c r="L59" s="67"/>
    </row>
    <row r="60" spans="1:12" ht="15" customHeight="1">
      <c r="A60" s="1" t="str">
        <f>SCALARS!A61</f>
        <v>Friday</v>
      </c>
      <c r="B60" s="28">
        <f>SCALARS!B61</f>
        <v>46136</v>
      </c>
      <c r="C60" s="61">
        <f>SCALARS!F61</f>
        <v>2260.7836000000002</v>
      </c>
      <c r="D60" s="61">
        <f t="shared" si="10"/>
        <v>2260.8066558147948</v>
      </c>
      <c r="E60" s="106">
        <f t="shared" si="1"/>
        <v>-2.3055814794588514E-2</v>
      </c>
      <c r="F60" s="6">
        <v>4.4232000000000001E-4</v>
      </c>
      <c r="H60" s="58">
        <f t="shared" si="11"/>
        <v>2260.7822934766718</v>
      </c>
      <c r="I60" s="19">
        <v>119829963</v>
      </c>
      <c r="J60" s="61">
        <v>53003.760399999999</v>
      </c>
      <c r="L60" s="67"/>
    </row>
    <row r="61" spans="1:12" ht="15" customHeight="1">
      <c r="A61" s="1" t="str">
        <f>SCALARS!A62</f>
        <v>Saturday</v>
      </c>
      <c r="B61" s="28">
        <f>SCALARS!B62</f>
        <v>46137</v>
      </c>
      <c r="C61" s="61">
        <f>SCALARS!F62</f>
        <v>2260.7928999999999</v>
      </c>
      <c r="D61" s="61"/>
      <c r="E61" s="106"/>
      <c r="F61" s="6"/>
      <c r="H61" s="58"/>
      <c r="I61" s="19"/>
      <c r="J61" s="61"/>
      <c r="L61" s="67"/>
    </row>
    <row r="62" spans="1:12" ht="15" customHeight="1">
      <c r="A62" s="1" t="str">
        <f>SCALARS!A63</f>
        <v>Sunday</v>
      </c>
      <c r="B62" s="28">
        <f>SCALARS!B63</f>
        <v>46138</v>
      </c>
      <c r="C62" s="61">
        <f>SCALARS!F63</f>
        <v>2260.8022000000001</v>
      </c>
      <c r="D62" s="61"/>
      <c r="E62" s="106"/>
      <c r="F62" s="6"/>
      <c r="H62" s="58"/>
      <c r="I62" s="19"/>
      <c r="J62" s="61"/>
      <c r="L62" s="67"/>
    </row>
    <row r="63" spans="1:12" ht="15" customHeight="1">
      <c r="A63" s="1" t="str">
        <f>SCALARS!A64</f>
        <v>Monday</v>
      </c>
      <c r="B63" s="28">
        <f>SCALARS!B64</f>
        <v>46139</v>
      </c>
      <c r="C63" s="61">
        <f>SCALARS!F64</f>
        <v>2260.8114999999998</v>
      </c>
      <c r="D63" s="61">
        <f t="shared" si="10"/>
        <v>2260.8066558147948</v>
      </c>
      <c r="E63" s="106">
        <f t="shared" ref="E63:E67" si="12">C63-D63</f>
        <v>4.8441852050018497E-3</v>
      </c>
      <c r="F63" s="6">
        <v>4.4232000000000001E-4</v>
      </c>
      <c r="H63" s="58">
        <f t="shared" si="11"/>
        <v>2260.8101634494747</v>
      </c>
      <c r="I63" s="19">
        <v>119829963</v>
      </c>
      <c r="J63" s="61">
        <v>53003.107000000004</v>
      </c>
      <c r="L63" s="67"/>
    </row>
    <row r="64" spans="1:12" ht="15" customHeight="1">
      <c r="A64" s="1" t="str">
        <f>SCALARS!A65</f>
        <v>Tuesday</v>
      </c>
      <c r="B64" s="28">
        <f>SCALARS!B65</f>
        <v>46140</v>
      </c>
      <c r="C64" s="61">
        <f>SCALARS!F65</f>
        <v>2260.8208</v>
      </c>
      <c r="D64" s="61">
        <f t="shared" si="10"/>
        <v>2260.8066558147948</v>
      </c>
      <c r="E64" s="106">
        <f t="shared" si="12"/>
        <v>1.4144185205168469E-2</v>
      </c>
      <c r="F64" s="6">
        <v>4.4232000000000001E-4</v>
      </c>
      <c r="H64" s="58">
        <f t="shared" si="11"/>
        <v>2260.8194578585717</v>
      </c>
      <c r="I64" s="19">
        <v>119829963</v>
      </c>
      <c r="J64" s="61">
        <v>53002.8891</v>
      </c>
      <c r="L64" s="67"/>
    </row>
    <row r="65" spans="1:12" ht="15" customHeight="1">
      <c r="A65" s="1" t="str">
        <f>SCALARS!A66</f>
        <v>Wednesday</v>
      </c>
      <c r="B65" s="28">
        <f>SCALARS!B66</f>
        <v>46141</v>
      </c>
      <c r="C65" s="61">
        <f>SCALARS!F66</f>
        <v>2260.8301000000001</v>
      </c>
      <c r="D65" s="61">
        <f t="shared" si="10"/>
        <v>2260.8066558147948</v>
      </c>
      <c r="E65" s="106">
        <f t="shared" si="12"/>
        <v>2.3444185205335089E-2</v>
      </c>
      <c r="F65" s="6">
        <v>4.4232000000000001E-4</v>
      </c>
      <c r="H65" s="58">
        <f t="shared" si="11"/>
        <v>2260.8287480785898</v>
      </c>
      <c r="I65" s="19">
        <v>119829963</v>
      </c>
      <c r="J65" s="61">
        <v>53002.671300000002</v>
      </c>
      <c r="L65" s="67"/>
    </row>
    <row r="66" spans="1:12" ht="15" customHeight="1">
      <c r="A66" s="1" t="str">
        <f>SCALARS!A67</f>
        <v>Thursday</v>
      </c>
      <c r="B66" s="28">
        <f>SCALARS!B67</f>
        <v>46142</v>
      </c>
      <c r="C66" s="61">
        <f>SCALARS!F67</f>
        <v>2260.8393999999998</v>
      </c>
      <c r="D66" s="61">
        <f t="shared" si="10"/>
        <v>2260.8577694377245</v>
      </c>
      <c r="E66" s="106">
        <f t="shared" si="12"/>
        <v>-1.8369437724686577E-2</v>
      </c>
      <c r="F66" s="6">
        <v>4.4231000000000001E-4</v>
      </c>
      <c r="H66" s="58">
        <f t="shared" si="11"/>
        <v>2260.8380383749591</v>
      </c>
      <c r="I66" s="19">
        <v>119829963</v>
      </c>
      <c r="J66" s="61">
        <v>53002.453500000003</v>
      </c>
      <c r="L66" s="67"/>
    </row>
    <row r="67" spans="1:12" ht="15" customHeight="1">
      <c r="A67" s="1" t="str">
        <f>SCALARS!A68</f>
        <v>Friday</v>
      </c>
      <c r="B67" s="28">
        <f>SCALARS!B68</f>
        <v>46143</v>
      </c>
      <c r="C67" s="61">
        <f>SCALARS!F68</f>
        <v>2260.8487</v>
      </c>
      <c r="D67" s="61">
        <f t="shared" si="10"/>
        <v>2260.8577694377245</v>
      </c>
      <c r="E67" s="106">
        <f t="shared" si="12"/>
        <v>-9.0694377245199576E-3</v>
      </c>
      <c r="F67" s="6">
        <v>4.4231000000000001E-4</v>
      </c>
      <c r="H67" s="58">
        <f t="shared" si="11"/>
        <v>2260.8473287476818</v>
      </c>
      <c r="I67" s="19">
        <v>119829963</v>
      </c>
      <c r="J67" s="61">
        <v>53002.235699999997</v>
      </c>
      <c r="L67" s="67"/>
    </row>
    <row r="68" spans="1:12" ht="15" customHeight="1">
      <c r="A68" s="1" t="str">
        <f>SCALARS!A69</f>
        <v>Saturday</v>
      </c>
      <c r="B68" s="28">
        <f>SCALARS!B69</f>
        <v>46144</v>
      </c>
      <c r="C68" s="61">
        <f>SCALARS!F69</f>
        <v>2260.8580000000002</v>
      </c>
      <c r="D68" s="61"/>
      <c r="E68" s="106"/>
      <c r="F68" s="6"/>
      <c r="H68" s="58"/>
      <c r="I68" s="19"/>
      <c r="J68" s="61"/>
    </row>
    <row r="69" spans="1:12" ht="15" customHeight="1">
      <c r="A69" s="1" t="str">
        <f>SCALARS!A70</f>
        <v>Sunday</v>
      </c>
      <c r="B69" s="28">
        <f>SCALARS!B70</f>
        <v>46145</v>
      </c>
      <c r="C69" s="61">
        <f>SCALARS!F70</f>
        <v>2260.8672999999999</v>
      </c>
      <c r="D69" s="61"/>
      <c r="E69" s="106"/>
      <c r="F69" s="6"/>
      <c r="H69" s="58"/>
      <c r="I69" s="19"/>
      <c r="J69" s="61"/>
    </row>
    <row r="70" spans="1:12" ht="15" customHeight="1">
      <c r="A70" s="1" t="str">
        <f>SCALARS!A71</f>
        <v>Monday</v>
      </c>
      <c r="B70" s="28">
        <f>SCALARS!B71</f>
        <v>46146</v>
      </c>
      <c r="C70" s="61">
        <f>SCALARS!F71</f>
        <v>2260.8766000000001</v>
      </c>
      <c r="D70" s="61">
        <f t="shared" ref="D70:D95" si="13">1/F70</f>
        <v>2260.8577694377245</v>
      </c>
      <c r="E70" s="106">
        <f t="shared" ref="E70:E95" si="14">C70-D70</f>
        <v>1.8830562275525153E-2</v>
      </c>
      <c r="F70" s="6">
        <v>4.4231000000000001E-4</v>
      </c>
      <c r="H70" s="58">
        <f t="shared" ref="H70:H95" si="15">I70/J70</f>
        <v>2260.8751741796123</v>
      </c>
      <c r="I70" s="19">
        <v>120009963</v>
      </c>
      <c r="J70" s="61">
        <v>53081.198100000001</v>
      </c>
    </row>
    <row r="71" spans="1:12" ht="15" customHeight="1">
      <c r="A71" s="1" t="str">
        <f>SCALARS!A72</f>
        <v>Tuesday</v>
      </c>
      <c r="B71" s="28">
        <f>SCALARS!B72</f>
        <v>46147</v>
      </c>
      <c r="C71" s="61">
        <f>SCALARS!F72</f>
        <v>2260.8859000000002</v>
      </c>
      <c r="D71" s="61">
        <f t="shared" si="13"/>
        <v>2260.9088853719195</v>
      </c>
      <c r="E71" s="106">
        <f t="shared" si="14"/>
        <v>-2.2985371919276076E-2</v>
      </c>
      <c r="F71" s="6">
        <v>4.4230000000000002E-4</v>
      </c>
      <c r="H71" s="58">
        <f t="shared" si="15"/>
        <v>2260.8844679598692</v>
      </c>
      <c r="I71" s="19">
        <v>120009963</v>
      </c>
      <c r="J71" s="61">
        <v>53080.979899999998</v>
      </c>
    </row>
    <row r="72" spans="1:12" ht="15" customHeight="1">
      <c r="A72" s="1" t="str">
        <f>SCALARS!A73</f>
        <v>Wednesday</v>
      </c>
      <c r="B72" s="28">
        <f>SCALARS!B73</f>
        <v>46148</v>
      </c>
      <c r="C72" s="61">
        <f>SCALARS!F73</f>
        <v>2260.8951999999999</v>
      </c>
      <c r="D72" s="61">
        <f t="shared" si="13"/>
        <v>2260.9088853719195</v>
      </c>
      <c r="E72" s="106">
        <f t="shared" si="14"/>
        <v>-1.3685371919564204E-2</v>
      </c>
      <c r="F72" s="6">
        <v>4.4230000000000002E-4</v>
      </c>
      <c r="H72" s="58">
        <f t="shared" si="15"/>
        <v>2260.8937575571872</v>
      </c>
      <c r="I72" s="19">
        <v>120009963</v>
      </c>
      <c r="J72" s="61">
        <v>53080.7618</v>
      </c>
    </row>
    <row r="73" spans="1:12" ht="15" customHeight="1">
      <c r="A73" s="1" t="str">
        <f>SCALARS!A74</f>
        <v>Thursday</v>
      </c>
      <c r="B73" s="28">
        <f>SCALARS!B74</f>
        <v>46149</v>
      </c>
      <c r="C73" s="61">
        <f>SCALARS!F74</f>
        <v>2260.9045000000001</v>
      </c>
      <c r="D73" s="61">
        <f t="shared" si="13"/>
        <v>2260.9088853719195</v>
      </c>
      <c r="E73" s="106">
        <f t="shared" si="14"/>
        <v>-4.3853719193975849E-3</v>
      </c>
      <c r="F73" s="6">
        <v>4.4230000000000002E-4</v>
      </c>
      <c r="H73" s="58">
        <f t="shared" si="15"/>
        <v>2260.9030514902265</v>
      </c>
      <c r="I73" s="19">
        <v>120009963</v>
      </c>
      <c r="J73" s="61">
        <v>53080.543599999997</v>
      </c>
    </row>
    <row r="74" spans="1:12" ht="15" customHeight="1">
      <c r="A74" s="1" t="str">
        <f>SCALARS!A75</f>
        <v>Friday</v>
      </c>
      <c r="B74" s="28">
        <f>SCALARS!B75</f>
        <v>46150</v>
      </c>
      <c r="C74" s="61">
        <f>SCALARS!F75</f>
        <v>2260.9137999999998</v>
      </c>
      <c r="D74" s="61">
        <f t="shared" si="13"/>
        <v>2260.9088853719195</v>
      </c>
      <c r="E74" s="106">
        <f t="shared" si="14"/>
        <v>4.9146280803142872E-3</v>
      </c>
      <c r="F74" s="6">
        <v>4.4230000000000002E-4</v>
      </c>
      <c r="H74" s="58">
        <f t="shared" si="15"/>
        <v>2260.9123408926898</v>
      </c>
      <c r="I74" s="19">
        <v>120169963</v>
      </c>
      <c r="J74" s="61">
        <v>53151.093399999998</v>
      </c>
    </row>
    <row r="75" spans="1:12" ht="15" customHeight="1">
      <c r="A75" s="1" t="str">
        <f>SCALARS!A76</f>
        <v>Saturday</v>
      </c>
      <c r="B75" s="28">
        <f>SCALARS!B76</f>
        <v>46151</v>
      </c>
      <c r="C75" s="61">
        <f>SCALARS!F76</f>
        <v>2260.9231</v>
      </c>
      <c r="D75" s="61"/>
      <c r="E75" s="106"/>
      <c r="F75" s="6"/>
      <c r="H75" s="58"/>
      <c r="I75" s="19"/>
      <c r="J75" s="61"/>
    </row>
    <row r="76" spans="1:12" ht="15" customHeight="1">
      <c r="A76" s="1" t="str">
        <f>SCALARS!A77</f>
        <v>Sunday</v>
      </c>
      <c r="B76" s="28">
        <f>SCALARS!B77</f>
        <v>46152</v>
      </c>
      <c r="C76" s="61">
        <f>SCALARS!F77</f>
        <v>2260.9324000000001</v>
      </c>
      <c r="D76" s="61"/>
      <c r="E76" s="106"/>
      <c r="F76" s="6"/>
      <c r="H76" s="58"/>
      <c r="I76" s="19"/>
      <c r="J76" s="61"/>
    </row>
    <row r="77" spans="1:12" ht="15" customHeight="1">
      <c r="A77" s="1" t="str">
        <f>SCALARS!A78</f>
        <v>Monday</v>
      </c>
      <c r="B77" s="28">
        <f>SCALARS!B78</f>
        <v>46153</v>
      </c>
      <c r="C77" s="61">
        <f>SCALARS!F78</f>
        <v>2260.9416999999999</v>
      </c>
      <c r="D77" s="61">
        <f t="shared" si="13"/>
        <v>2260.9600036175357</v>
      </c>
      <c r="E77" s="106">
        <f t="shared" si="14"/>
        <v>-1.8303617535821104E-2</v>
      </c>
      <c r="F77" s="6">
        <v>4.4229000000000002E-4</v>
      </c>
      <c r="H77" s="58">
        <f t="shared" si="15"/>
        <v>2260.9402160318223</v>
      </c>
      <c r="I77" s="19">
        <v>120169963</v>
      </c>
      <c r="J77" s="61">
        <v>53150.438099999999</v>
      </c>
    </row>
    <row r="78" spans="1:12" ht="15" customHeight="1">
      <c r="A78" s="1" t="str">
        <f>SCALARS!A79</f>
        <v>Tuesday</v>
      </c>
      <c r="B78" s="28">
        <f>SCALARS!B79</f>
        <v>46154</v>
      </c>
      <c r="C78" s="61">
        <f>SCALARS!F79</f>
        <v>2260.951</v>
      </c>
      <c r="D78" s="61">
        <f t="shared" si="13"/>
        <v>2260.9600036175357</v>
      </c>
      <c r="E78" s="106">
        <f t="shared" si="14"/>
        <v>-9.0036175356544845E-3</v>
      </c>
      <c r="F78" s="6">
        <v>4.4229000000000002E-4</v>
      </c>
      <c r="H78" s="58">
        <f t="shared" si="15"/>
        <v>2260.9495064796506</v>
      </c>
      <c r="I78" s="19">
        <v>120169963</v>
      </c>
      <c r="J78" s="61">
        <v>53150.219700000001</v>
      </c>
    </row>
    <row r="79" spans="1:12" ht="15" customHeight="1">
      <c r="A79" s="1" t="str">
        <f>SCALARS!A80</f>
        <v>Wednesday</v>
      </c>
      <c r="B79" s="28">
        <f>SCALARS!B80</f>
        <v>46155</v>
      </c>
      <c r="C79" s="61">
        <f>SCALARS!F80</f>
        <v>2260.9603000000002</v>
      </c>
      <c r="D79" s="61">
        <f t="shared" si="13"/>
        <v>2260.9600036175357</v>
      </c>
      <c r="E79" s="106">
        <f t="shared" si="14"/>
        <v>2.963824645121349E-4</v>
      </c>
      <c r="F79" s="6">
        <v>4.4229000000000002E-4</v>
      </c>
      <c r="H79" s="58">
        <f t="shared" si="15"/>
        <v>2260.9587970038297</v>
      </c>
      <c r="I79" s="19">
        <v>120169963</v>
      </c>
      <c r="J79" s="61">
        <v>53150.001300000004</v>
      </c>
    </row>
    <row r="80" spans="1:12" ht="15" customHeight="1">
      <c r="A80" s="1" t="str">
        <f>SCALARS!A81</f>
        <v>Thursday</v>
      </c>
      <c r="B80" s="28">
        <f>SCALARS!B81</f>
        <v>46156</v>
      </c>
      <c r="C80" s="61">
        <f>SCALARS!F81</f>
        <v>2260.9695999999999</v>
      </c>
      <c r="D80" s="61">
        <f t="shared" si="13"/>
        <v>2260.9600036175357</v>
      </c>
      <c r="E80" s="106">
        <f t="shared" si="14"/>
        <v>9.596382464224007E-3</v>
      </c>
      <c r="F80" s="6">
        <v>4.4229000000000002E-4</v>
      </c>
      <c r="H80" s="58">
        <f t="shared" si="15"/>
        <v>2260.9680918583172</v>
      </c>
      <c r="I80" s="19">
        <v>120169963</v>
      </c>
      <c r="J80" s="61">
        <v>53149.782800000001</v>
      </c>
    </row>
    <row r="81" spans="1:10" ht="15" customHeight="1">
      <c r="A81" s="1" t="str">
        <f>SCALARS!A82</f>
        <v>Friday</v>
      </c>
      <c r="B81" s="28">
        <f>SCALARS!B82</f>
        <v>46157</v>
      </c>
      <c r="C81" s="61">
        <f>SCALARS!F82</f>
        <v>2260.9789000000001</v>
      </c>
      <c r="D81" s="61">
        <f t="shared" si="13"/>
        <v>2260.9600036175357</v>
      </c>
      <c r="E81" s="106">
        <f t="shared" si="14"/>
        <v>1.8896382464390626E-2</v>
      </c>
      <c r="F81" s="6">
        <v>4.4229000000000002E-4</v>
      </c>
      <c r="H81" s="58">
        <f t="shared" si="15"/>
        <v>2260.9773829646638</v>
      </c>
      <c r="I81" s="19">
        <v>120519963</v>
      </c>
      <c r="J81" s="61">
        <v>53304.364699999998</v>
      </c>
    </row>
    <row r="82" spans="1:10" ht="15" customHeight="1">
      <c r="A82" s="1" t="str">
        <f>SCALARS!A83</f>
        <v>Saturday</v>
      </c>
      <c r="B82" s="28">
        <f>SCALARS!B83</f>
        <v>46158</v>
      </c>
      <c r="C82" s="61">
        <f>SCALARS!F83</f>
        <v>2260.9881999999998</v>
      </c>
      <c r="D82" s="61"/>
      <c r="E82" s="106"/>
      <c r="F82" s="6"/>
      <c r="H82" s="58"/>
      <c r="I82" s="19"/>
      <c r="J82" s="61"/>
    </row>
    <row r="83" spans="1:10" ht="15" customHeight="1">
      <c r="A83" s="1" t="str">
        <f>SCALARS!A84</f>
        <v>Sunday</v>
      </c>
      <c r="B83" s="28">
        <f>SCALARS!B84</f>
        <v>46159</v>
      </c>
      <c r="C83" s="61">
        <f>SCALARS!F84</f>
        <v>2260.9974999999999</v>
      </c>
      <c r="D83" s="61"/>
      <c r="E83" s="106"/>
      <c r="F83" s="6"/>
      <c r="H83" s="58"/>
      <c r="I83" s="19"/>
      <c r="J83" s="61"/>
    </row>
    <row r="84" spans="1:10" ht="15" customHeight="1">
      <c r="A84" s="1" t="str">
        <f>SCALARS!A85</f>
        <v>Monday</v>
      </c>
      <c r="B84" s="28">
        <f>SCALARS!B85</f>
        <v>46160</v>
      </c>
      <c r="C84" s="61">
        <f>SCALARS!F85</f>
        <v>2261.0068000000001</v>
      </c>
      <c r="D84" s="61">
        <f t="shared" si="13"/>
        <v>2261.0111241747309</v>
      </c>
      <c r="E84" s="106">
        <f t="shared" si="14"/>
        <v>-4.3241747307547485E-3</v>
      </c>
      <c r="F84" s="6">
        <v>4.4227999999999997E-4</v>
      </c>
      <c r="H84" s="58">
        <f t="shared" si="15"/>
        <v>2261.0052593433584</v>
      </c>
      <c r="I84" s="19">
        <v>120519963</v>
      </c>
      <c r="J84" s="61">
        <v>53303.707499999997</v>
      </c>
    </row>
    <row r="85" spans="1:10" ht="15" customHeight="1">
      <c r="A85" s="1" t="str">
        <f>SCALARS!A86</f>
        <v>Tuesday</v>
      </c>
      <c r="B85" s="28">
        <f>SCALARS!B86</f>
        <v>46161</v>
      </c>
      <c r="C85" s="61">
        <f>SCALARS!F86</f>
        <v>2261.0160999999998</v>
      </c>
      <c r="D85" s="61">
        <f t="shared" si="13"/>
        <v>2261.0111241747309</v>
      </c>
      <c r="E85" s="106">
        <f t="shared" si="14"/>
        <v>4.9758252689571236E-3</v>
      </c>
      <c r="F85" s="6">
        <v>4.4227999999999997E-4</v>
      </c>
      <c r="H85" s="58">
        <f t="shared" si="15"/>
        <v>2261.0145487944942</v>
      </c>
      <c r="I85" s="19">
        <v>120519963</v>
      </c>
      <c r="J85" s="61">
        <v>53303.488499999999</v>
      </c>
    </row>
    <row r="86" spans="1:10" ht="15" customHeight="1">
      <c r="A86" s="1" t="str">
        <f>SCALARS!A87</f>
        <v>Wednesday</v>
      </c>
      <c r="B86" s="28">
        <f>SCALARS!B87</f>
        <v>46162</v>
      </c>
      <c r="C86" s="61">
        <f>SCALARS!F87</f>
        <v>2261.0254</v>
      </c>
      <c r="D86" s="61">
        <f t="shared" si="13"/>
        <v>2261.0111241747309</v>
      </c>
      <c r="E86" s="106">
        <f t="shared" si="14"/>
        <v>1.4275825269123743E-2</v>
      </c>
      <c r="F86" s="6">
        <v>4.4227999999999997E-4</v>
      </c>
      <c r="H86" s="58">
        <f t="shared" si="15"/>
        <v>2261.0238425637735</v>
      </c>
      <c r="I86" s="19">
        <v>120519963</v>
      </c>
      <c r="J86" s="61">
        <v>53303.269399999997</v>
      </c>
    </row>
    <row r="87" spans="1:10" ht="15" customHeight="1">
      <c r="A87" s="1" t="str">
        <f>SCALARS!A88</f>
        <v>Thursday</v>
      </c>
      <c r="B87" s="28">
        <f>SCALARS!B88</f>
        <v>46163</v>
      </c>
      <c r="C87" s="61">
        <f>SCALARS!F88</f>
        <v>2261.0347000000002</v>
      </c>
      <c r="D87" s="61">
        <f t="shared" si="13"/>
        <v>2261.0111241747309</v>
      </c>
      <c r="E87" s="106">
        <f t="shared" si="14"/>
        <v>2.3575825269290362E-2</v>
      </c>
      <c r="F87" s="6">
        <v>4.4227999999999997E-4</v>
      </c>
      <c r="H87" s="58">
        <f t="shared" si="15"/>
        <v>2261.0331321676103</v>
      </c>
      <c r="I87" s="19">
        <v>120519963</v>
      </c>
      <c r="J87" s="61">
        <v>53303.0504</v>
      </c>
    </row>
    <row r="88" spans="1:10" ht="15" customHeight="1">
      <c r="A88" s="1" t="str">
        <f>SCALARS!A89</f>
        <v>Friday</v>
      </c>
      <c r="B88" s="28">
        <f>SCALARS!B89</f>
        <v>46164</v>
      </c>
      <c r="C88" s="61">
        <f>SCALARS!F89</f>
        <v>2261.0439999999999</v>
      </c>
      <c r="D88" s="61">
        <f t="shared" si="13"/>
        <v>2261.062247043661</v>
      </c>
      <c r="E88" s="106">
        <f t="shared" si="14"/>
        <v>-1.8247043661176576E-2</v>
      </c>
      <c r="F88" s="6">
        <v>4.4226999999999998E-4</v>
      </c>
      <c r="H88" s="58">
        <f t="shared" si="15"/>
        <v>2261.0424260896625</v>
      </c>
      <c r="I88" s="19">
        <v>120519963</v>
      </c>
      <c r="J88" s="61">
        <v>53302.831299999998</v>
      </c>
    </row>
    <row r="89" spans="1:10" ht="15" customHeight="1">
      <c r="A89" s="1" t="str">
        <f>SCALARS!A90</f>
        <v>Saturday</v>
      </c>
      <c r="B89" s="28">
        <f>SCALARS!B90</f>
        <v>46165</v>
      </c>
      <c r="C89" s="61">
        <f>SCALARS!F90</f>
        <v>2261.0533</v>
      </c>
      <c r="D89" s="61"/>
      <c r="E89" s="106"/>
      <c r="F89" s="6"/>
      <c r="H89" s="58"/>
      <c r="I89" s="19"/>
      <c r="J89" s="61"/>
    </row>
    <row r="90" spans="1:10" ht="15" customHeight="1">
      <c r="A90" s="1" t="str">
        <f>SCALARS!A91</f>
        <v>Sunday</v>
      </c>
      <c r="B90" s="28">
        <f>SCALARS!B91</f>
        <v>46166</v>
      </c>
      <c r="C90" s="61">
        <f>SCALARS!F91</f>
        <v>2261.0626000000002</v>
      </c>
      <c r="D90" s="61"/>
      <c r="E90" s="106"/>
      <c r="F90" s="6"/>
      <c r="H90" s="58"/>
      <c r="I90" s="19"/>
      <c r="J90" s="61"/>
    </row>
    <row r="91" spans="1:10" ht="15" customHeight="1">
      <c r="A91" s="1" t="str">
        <f>SCALARS!A92</f>
        <v>Monday</v>
      </c>
      <c r="B91" s="28">
        <f>SCALARS!B92</f>
        <v>46167</v>
      </c>
      <c r="C91" s="61">
        <f>SCALARS!F92</f>
        <v>2261.0718999999999</v>
      </c>
      <c r="D91" s="61"/>
      <c r="E91" s="106"/>
      <c r="F91" s="6"/>
      <c r="H91" s="58"/>
      <c r="I91" s="19"/>
      <c r="J91" s="61"/>
    </row>
    <row r="92" spans="1:10" ht="15" customHeight="1">
      <c r="A92" s="1" t="str">
        <f>SCALARS!A93</f>
        <v>Tuesday</v>
      </c>
      <c r="B92" s="28">
        <f>SCALARS!B93</f>
        <v>46168</v>
      </c>
      <c r="C92" s="61">
        <f>SCALARS!F93</f>
        <v>2261.0812000000001</v>
      </c>
      <c r="D92" s="61">
        <f t="shared" si="13"/>
        <v>2261.062247043661</v>
      </c>
      <c r="E92" s="106">
        <f t="shared" si="14"/>
        <v>1.8952956339035154E-2</v>
      </c>
      <c r="F92" s="6">
        <v>4.4226999999999998E-4</v>
      </c>
      <c r="H92" s="58">
        <f t="shared" si="15"/>
        <v>2261.0795940578923</v>
      </c>
      <c r="I92" s="19">
        <v>120519963</v>
      </c>
      <c r="J92" s="61">
        <v>53301.955099999999</v>
      </c>
    </row>
    <row r="93" spans="1:10" ht="15" customHeight="1">
      <c r="A93" s="1" t="str">
        <f>SCALARS!A94</f>
        <v>Wednesday</v>
      </c>
      <c r="B93" s="28">
        <f>SCALARS!B94</f>
        <v>46169</v>
      </c>
      <c r="C93" s="61">
        <f>SCALARS!F94</f>
        <v>2261.0904999999998</v>
      </c>
      <c r="D93" s="61">
        <f t="shared" si="13"/>
        <v>2261.1133722244836</v>
      </c>
      <c r="E93" s="106">
        <f t="shared" si="14"/>
        <v>-2.2872224483762693E-2</v>
      </c>
      <c r="F93" s="6">
        <v>4.4225999999999998E-4</v>
      </c>
      <c r="H93" s="58">
        <f t="shared" si="15"/>
        <v>2261.088883442681</v>
      </c>
      <c r="I93" s="19">
        <v>120119963</v>
      </c>
      <c r="J93" s="61">
        <v>53124.830199999997</v>
      </c>
    </row>
    <row r="94" spans="1:10" ht="15" customHeight="1">
      <c r="A94" s="1" t="str">
        <f>SCALARS!A95</f>
        <v>Thursday</v>
      </c>
      <c r="B94" s="28">
        <f>SCALARS!B95</f>
        <v>46170</v>
      </c>
      <c r="C94" s="61">
        <f>SCALARS!F95</f>
        <v>2261.0998</v>
      </c>
      <c r="D94" s="61">
        <f t="shared" si="13"/>
        <v>2261.1133722244836</v>
      </c>
      <c r="E94" s="106">
        <f t="shared" si="14"/>
        <v>-1.3572224483596074E-2</v>
      </c>
      <c r="F94" s="6">
        <v>4.4225999999999998E-4</v>
      </c>
      <c r="H94" s="58">
        <f t="shared" si="15"/>
        <v>2261.0981793419351</v>
      </c>
      <c r="I94" s="19">
        <v>119819963</v>
      </c>
      <c r="J94" s="61">
        <v>52991.9329</v>
      </c>
    </row>
    <row r="95" spans="1:10" ht="15" customHeight="1">
      <c r="A95" s="1" t="str">
        <f>SCALARS!A96</f>
        <v>Friday</v>
      </c>
      <c r="B95" s="28">
        <f>SCALARS!B96</f>
        <v>46171</v>
      </c>
      <c r="C95" s="61">
        <f>SCALARS!F96</f>
        <v>2261.1091000000001</v>
      </c>
      <c r="D95" s="61">
        <f t="shared" si="13"/>
        <v>2261.1133722244836</v>
      </c>
      <c r="E95" s="106">
        <f t="shared" si="14"/>
        <v>-4.2722244834294543E-3</v>
      </c>
      <c r="F95" s="6">
        <v>4.4225999999999998E-4</v>
      </c>
      <c r="H95" s="58">
        <f t="shared" si="15"/>
        <v>2261.1074683613942</v>
      </c>
      <c r="I95" s="19">
        <v>119819963</v>
      </c>
      <c r="J95" s="61">
        <v>52991.715199999999</v>
      </c>
    </row>
    <row r="96" spans="1:10" ht="15" customHeight="1">
      <c r="A96" s="1" t="str">
        <f>SCALARS!A97</f>
        <v>Saturday</v>
      </c>
      <c r="B96" s="28">
        <f>SCALARS!B97</f>
        <v>46172</v>
      </c>
      <c r="C96" s="61">
        <f>SCALARS!F97</f>
        <v>2261.1183999999998</v>
      </c>
      <c r="D96" s="61"/>
      <c r="E96" s="106"/>
      <c r="F96" s="6"/>
      <c r="H96" s="58"/>
      <c r="I96" s="19"/>
      <c r="J96" s="61"/>
    </row>
    <row r="97" spans="1:10" ht="15" customHeight="1">
      <c r="A97" s="1" t="str">
        <f>SCALARS!A98</f>
        <v>Sunday</v>
      </c>
      <c r="B97" s="28">
        <f>SCALARS!B98</f>
        <v>46173</v>
      </c>
      <c r="C97" s="61">
        <f>SCALARS!F98</f>
        <v>2261.1277</v>
      </c>
      <c r="D97" s="61"/>
      <c r="E97" s="106"/>
      <c r="F97" s="6"/>
      <c r="H97" s="58"/>
      <c r="I97" s="19"/>
      <c r="J97" s="61"/>
    </row>
    <row r="98" spans="1:10" ht="15" customHeight="1">
      <c r="A98" s="1" t="str">
        <f>SCALARS!A99</f>
        <v>Monday</v>
      </c>
      <c r="B98" s="28">
        <f>SCALARS!B99</f>
        <v>46174</v>
      </c>
      <c r="C98" s="61">
        <f>SCALARS!F99</f>
        <v>2261.1370000000002</v>
      </c>
      <c r="D98" s="61">
        <f t="shared" ref="D98:D102" si="16">1/F98</f>
        <v>2261.1133722244836</v>
      </c>
      <c r="E98" s="106">
        <f t="shared" ref="E98:E102" si="17">C98-D98</f>
        <v>2.3627775516615657E-2</v>
      </c>
      <c r="F98" s="6">
        <v>4.4225999999999998E-4</v>
      </c>
      <c r="H98" s="58">
        <f t="shared" ref="H98:H102" si="18">I98/J98</f>
        <v>2261.1353952856371</v>
      </c>
      <c r="I98" s="19">
        <v>119519963</v>
      </c>
      <c r="J98" s="61">
        <v>52858.383999999998</v>
      </c>
    </row>
    <row r="99" spans="1:10" ht="15" customHeight="1">
      <c r="A99" s="1" t="str">
        <f>SCALARS!A100</f>
        <v>Tuesday</v>
      </c>
      <c r="B99" s="28">
        <f>SCALARS!B100</f>
        <v>46175</v>
      </c>
      <c r="C99" s="61">
        <f>SCALARS!F100</f>
        <v>2261.1462999999999</v>
      </c>
      <c r="D99" s="61">
        <f t="shared" si="16"/>
        <v>2261.1644997173544</v>
      </c>
      <c r="E99" s="106">
        <f t="shared" si="17"/>
        <v>-1.819971735449144E-2</v>
      </c>
      <c r="F99" s="6">
        <v>4.4224999999999999E-4</v>
      </c>
      <c r="H99" s="58">
        <f t="shared" si="18"/>
        <v>2261.1446865387697</v>
      </c>
      <c r="I99" s="19">
        <v>119519963</v>
      </c>
      <c r="J99" s="61">
        <v>52858.166799999999</v>
      </c>
    </row>
    <row r="100" spans="1:10" ht="15" customHeight="1">
      <c r="A100" s="1" t="str">
        <f>SCALARS!A101</f>
        <v>Wednesday</v>
      </c>
      <c r="B100" s="28">
        <f>SCALARS!B101</f>
        <v>46176</v>
      </c>
      <c r="C100" s="61">
        <f>SCALARS!F101</f>
        <v>2261.1556</v>
      </c>
      <c r="D100" s="61">
        <f t="shared" si="16"/>
        <v>2261.1644997173544</v>
      </c>
      <c r="E100" s="106">
        <f t="shared" si="17"/>
        <v>-8.8997173543248209E-3</v>
      </c>
      <c r="F100" s="6">
        <v>4.4224999999999999E-4</v>
      </c>
      <c r="H100" s="149">
        <f t="shared" si="18"/>
        <v>2261.15397786826</v>
      </c>
      <c r="I100" s="145">
        <v>119519963</v>
      </c>
      <c r="J100" s="106">
        <v>52857.9496</v>
      </c>
    </row>
    <row r="101" spans="1:10" ht="15" customHeight="1">
      <c r="A101" s="1" t="str">
        <f>SCALARS!A102</f>
        <v>Thursday</v>
      </c>
      <c r="B101" s="28">
        <f>SCALARS!B102</f>
        <v>46177</v>
      </c>
      <c r="C101" s="61">
        <f>SCALARS!F102</f>
        <v>2261.1649000000002</v>
      </c>
      <c r="D101" s="61">
        <f t="shared" si="16"/>
        <v>2261.1644997173544</v>
      </c>
      <c r="E101" s="106">
        <f t="shared" si="17"/>
        <v>4.0028264584179851E-4</v>
      </c>
      <c r="F101" s="6">
        <v>4.4224999999999999E-4</v>
      </c>
      <c r="H101" s="149">
        <f t="shared" si="18"/>
        <v>2261.1632692741091</v>
      </c>
      <c r="I101" s="145">
        <v>119519963</v>
      </c>
      <c r="J101" s="106">
        <v>52857.732400000001</v>
      </c>
    </row>
    <row r="102" spans="1:10" ht="15" customHeight="1">
      <c r="A102" s="1" t="str">
        <f>SCALARS!A103</f>
        <v>Friday</v>
      </c>
      <c r="B102" s="28">
        <f>SCALARS!B103</f>
        <v>46178</v>
      </c>
      <c r="C102" s="61">
        <f>SCALARS!F103</f>
        <v>2261.1741999999999</v>
      </c>
      <c r="D102" s="61">
        <f t="shared" si="16"/>
        <v>2261.1644997173544</v>
      </c>
      <c r="E102" s="106">
        <f t="shared" si="17"/>
        <v>9.7002826455536706E-3</v>
      </c>
      <c r="F102" s="6">
        <v>4.4224999999999999E-4</v>
      </c>
      <c r="H102" s="58">
        <f t="shared" si="18"/>
        <v>2261.1725650341818</v>
      </c>
      <c r="I102" s="19">
        <v>119519963</v>
      </c>
      <c r="J102" s="61">
        <v>52857.515099999997</v>
      </c>
    </row>
    <row r="103" spans="1:10" ht="15" customHeight="1">
      <c r="A103" s="1" t="str">
        <f>SCALARS!A104</f>
        <v>Saturday</v>
      </c>
      <c r="B103" s="28">
        <f>SCALARS!B104</f>
        <v>46179</v>
      </c>
      <c r="C103" s="61">
        <f>SCALARS!F104</f>
        <v>2261.1835000000001</v>
      </c>
    </row>
    <row r="104" spans="1:10" ht="15" customHeight="1">
      <c r="A104" s="1" t="str">
        <f>SCALARS!A105</f>
        <v>Sunday</v>
      </c>
      <c r="B104" s="28">
        <f>SCALARS!B105</f>
        <v>46180</v>
      </c>
      <c r="C104" s="61">
        <f>SCALARS!F105</f>
        <v>2261.1927999999998</v>
      </c>
      <c r="D104" s="61"/>
      <c r="E104" s="106"/>
      <c r="F104" s="6"/>
      <c r="H104" s="58"/>
      <c r="I104" s="19"/>
      <c r="J104" s="61"/>
    </row>
    <row r="105" spans="1:10" ht="15" customHeight="1">
      <c r="A105" s="1" t="str">
        <f>SCALARS!A106</f>
        <v>Monday</v>
      </c>
      <c r="B105" s="28">
        <f>SCALARS!B106</f>
        <v>46181</v>
      </c>
      <c r="C105" s="61">
        <f>SCALARS!F106</f>
        <v>2261.2021</v>
      </c>
      <c r="D105" s="61">
        <f t="shared" ref="D105:D109" si="19">1/F105</f>
        <v>2261.2156295224313</v>
      </c>
      <c r="E105" s="106">
        <f t="shared" ref="E105:E109" si="20">C105-D105</f>
        <v>-1.3529522431326768E-2</v>
      </c>
      <c r="F105" s="6">
        <v>4.4223999999999999E-4</v>
      </c>
      <c r="H105" s="58">
        <f t="shared" ref="H105:H109" si="21">I105/J105</f>
        <v>2261.2004399390821</v>
      </c>
      <c r="I105" s="19">
        <v>119519963</v>
      </c>
      <c r="J105" s="61">
        <v>52856.863499999999</v>
      </c>
    </row>
    <row r="106" spans="1:10" ht="15" customHeight="1">
      <c r="A106" s="1" t="str">
        <f>SCALARS!A107</f>
        <v>Tuesday</v>
      </c>
      <c r="B106" s="28">
        <f>SCALARS!B107</f>
        <v>46182</v>
      </c>
      <c r="C106" s="61">
        <f>SCALARS!F107</f>
        <v>2261.2114000000001</v>
      </c>
      <c r="D106" s="61">
        <f t="shared" si="19"/>
        <v>2261.2156295224313</v>
      </c>
      <c r="E106" s="106">
        <f t="shared" si="20"/>
        <v>-4.2295224311601487E-3</v>
      </c>
      <c r="F106" s="6">
        <v>4.4223999999999999E-4</v>
      </c>
      <c r="H106" s="58">
        <f t="shared" si="21"/>
        <v>2261.2097317267744</v>
      </c>
      <c r="I106" s="19">
        <v>119519963</v>
      </c>
      <c r="J106" s="61">
        <v>52856.6463</v>
      </c>
    </row>
    <row r="107" spans="1:10" ht="15" customHeight="1">
      <c r="A107" s="1" t="str">
        <f>SCALARS!A108</f>
        <v>Wednesday</v>
      </c>
      <c r="B107" s="28">
        <f>SCALARS!B108</f>
        <v>46183</v>
      </c>
      <c r="C107" s="61">
        <f>SCALARS!F108</f>
        <v>2261.2206999999999</v>
      </c>
      <c r="D107" s="61">
        <f t="shared" si="19"/>
        <v>2261.2156295224313</v>
      </c>
      <c r="E107" s="106">
        <f t="shared" si="20"/>
        <v>5.0704775685517234E-3</v>
      </c>
      <c r="F107" s="6">
        <v>4.4223999999999999E-4</v>
      </c>
      <c r="H107" s="58">
        <f t="shared" si="21"/>
        <v>2261.2190275979392</v>
      </c>
      <c r="I107" s="19">
        <v>119679963</v>
      </c>
      <c r="J107" s="61">
        <v>52927.187299999998</v>
      </c>
    </row>
    <row r="108" spans="1:10" ht="15" customHeight="1">
      <c r="A108" s="1" t="str">
        <f>SCALARS!A109</f>
        <v>Thursday</v>
      </c>
      <c r="B108" s="28">
        <f>SCALARS!B109</f>
        <v>46184</v>
      </c>
      <c r="C108" s="61">
        <f>SCALARS!F109</f>
        <v>2261.23</v>
      </c>
      <c r="D108" s="61">
        <f t="shared" si="19"/>
        <v>2261.2156295224313</v>
      </c>
      <c r="E108" s="106">
        <f t="shared" si="20"/>
        <v>1.4370477568718343E-2</v>
      </c>
      <c r="F108" s="6">
        <v>4.4223999999999999E-4</v>
      </c>
      <c r="H108" s="58">
        <f t="shared" si="21"/>
        <v>2261.2283204245259</v>
      </c>
      <c r="I108" s="19">
        <v>120319963</v>
      </c>
      <c r="J108" s="61">
        <v>53210.001799999998</v>
      </c>
    </row>
    <row r="109" spans="1:10" ht="15" customHeight="1">
      <c r="A109" s="1" t="str">
        <f>SCALARS!A110</f>
        <v>Friday</v>
      </c>
      <c r="B109" s="28">
        <f>SCALARS!B110</f>
        <v>46185</v>
      </c>
      <c r="C109" s="61">
        <f>SCALARS!F110</f>
        <v>2261.2393000000002</v>
      </c>
      <c r="D109" s="61">
        <f t="shared" si="19"/>
        <v>2261.2156295224313</v>
      </c>
      <c r="E109" s="106">
        <f t="shared" si="20"/>
        <v>2.3670477568884962E-2</v>
      </c>
      <c r="F109" s="6">
        <v>4.4223999999999999E-4</v>
      </c>
      <c r="H109" s="58">
        <f t="shared" si="21"/>
        <v>2261.2376118611951</v>
      </c>
      <c r="I109" s="19">
        <v>120519963</v>
      </c>
      <c r="J109" s="61">
        <v>53298.230300000003</v>
      </c>
    </row>
    <row r="110" spans="1:10" ht="15" customHeight="1">
      <c r="A110" s="1" t="str">
        <f>SCALARS!A111</f>
        <v>Saturday</v>
      </c>
      <c r="B110" s="28">
        <f>SCALARS!B111</f>
        <v>46186</v>
      </c>
      <c r="C110" s="61">
        <f>SCALARS!F111</f>
        <v>2261.2485999999999</v>
      </c>
      <c r="D110" s="61"/>
      <c r="E110" s="106"/>
      <c r="F110" s="6"/>
      <c r="H110" s="58"/>
      <c r="I110" s="19"/>
      <c r="J110" s="61"/>
    </row>
    <row r="111" spans="1:10" ht="15" customHeight="1">
      <c r="A111" s="1" t="str">
        <f>SCALARS!A112</f>
        <v>Sunday</v>
      </c>
      <c r="B111" s="28">
        <f>SCALARS!B112</f>
        <v>46187</v>
      </c>
      <c r="C111" s="61">
        <f>SCALARS!F112</f>
        <v>2261.2579000000001</v>
      </c>
      <c r="D111" s="61"/>
      <c r="E111" s="106"/>
      <c r="F111" s="6"/>
      <c r="H111" s="58"/>
      <c r="I111" s="19"/>
      <c r="J111" s="61"/>
    </row>
    <row r="112" spans="1:10" ht="15" customHeight="1">
      <c r="A112" s="1" t="str">
        <f>SCALARS!A113</f>
        <v>Monday</v>
      </c>
      <c r="B112" s="28">
        <f>SCALARS!B113</f>
        <v>46188</v>
      </c>
      <c r="C112" s="61">
        <f>SCALARS!F113</f>
        <v>2261.2671999999998</v>
      </c>
      <c r="D112" s="61">
        <f t="shared" ref="D112:D115" si="22">1/F112</f>
        <v>2261.2667616398708</v>
      </c>
      <c r="E112" s="106">
        <f t="shared" ref="E112:E115" si="23">C112-D112</f>
        <v>4.383601290101069E-4</v>
      </c>
      <c r="F112" s="6">
        <v>4.4223E-4</v>
      </c>
      <c r="H112" s="58">
        <f t="shared" ref="H112:H115" si="24">I112/J112</f>
        <v>2261.2654904144865</v>
      </c>
      <c r="I112" s="19">
        <v>120519963</v>
      </c>
      <c r="J112" s="61">
        <v>53297.573199999999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SCALARS!F114</f>
        <v>2261.2764999999999</v>
      </c>
      <c r="D113" s="61">
        <f t="shared" si="22"/>
        <v>2261.2667616398708</v>
      </c>
      <c r="E113" s="106">
        <f t="shared" si="23"/>
        <v>9.7383601291767263E-3</v>
      </c>
      <c r="F113" s="6">
        <v>4.4223E-4</v>
      </c>
      <c r="H113" s="58">
        <f t="shared" si="24"/>
        <v>2261.274783498774</v>
      </c>
      <c r="I113" s="19">
        <v>120879963</v>
      </c>
      <c r="J113" s="61">
        <v>53456.556400000001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SCALARS!F115</f>
        <v>2261.2858000000001</v>
      </c>
      <c r="D114" s="61">
        <f t="shared" si="22"/>
        <v>2261.2667616398708</v>
      </c>
      <c r="E114" s="106">
        <f t="shared" si="23"/>
        <v>1.9038360129343346E-2</v>
      </c>
      <c r="F114" s="6">
        <v>4.4223E-4</v>
      </c>
      <c r="H114" s="58">
        <f t="shared" si="24"/>
        <v>2261.2840767678658</v>
      </c>
      <c r="I114" s="19">
        <v>121029963</v>
      </c>
      <c r="J114" s="61">
        <v>53522.670700000002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SCALARS!F116</f>
        <v>2261.2950999999998</v>
      </c>
      <c r="D115" s="61">
        <f t="shared" si="22"/>
        <v>2261.3178960698297</v>
      </c>
      <c r="E115" s="106">
        <f t="shared" si="23"/>
        <v>-2.2796069829837506E-2</v>
      </c>
      <c r="F115" s="6">
        <v>4.4222E-4</v>
      </c>
      <c r="H115" s="58">
        <f t="shared" si="24"/>
        <v>2261.2933673807029</v>
      </c>
      <c r="I115" s="19">
        <v>121029963</v>
      </c>
      <c r="J115" s="61">
        <v>53522.450799999999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SCALARS!F117</f>
        <v>2261.3044</v>
      </c>
      <c r="D116" s="161" t="s">
        <v>73</v>
      </c>
      <c r="E116" s="106"/>
      <c r="F116" s="6"/>
      <c r="H116" s="58"/>
      <c r="I116" s="19"/>
      <c r="J116" s="61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SCALARS!F118</f>
        <v>2261.3137000000002</v>
      </c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SCALARS!F119</f>
        <v>2261.3229999999999</v>
      </c>
      <c r="D118" s="61"/>
      <c r="E118" s="106"/>
      <c r="F118" s="6"/>
      <c r="H118" s="58"/>
      <c r="I118" s="19"/>
      <c r="J118" s="61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SCALARS!F120</f>
        <v>2261.3323</v>
      </c>
      <c r="D119" s="61">
        <f t="shared" ref="D119:D123" si="25">1/F119</f>
        <v>2261.3178960698297</v>
      </c>
      <c r="E119" s="106">
        <f t="shared" ref="E119:E123" si="26">C119-D119</f>
        <v>1.4403930170374224E-2</v>
      </c>
      <c r="F119" s="6">
        <v>4.4222E-4</v>
      </c>
      <c r="H119" s="58">
        <f t="shared" ref="H119:H123" si="27">I119/J119</f>
        <v>2261.3305432707321</v>
      </c>
      <c r="I119" s="19">
        <v>121029963</v>
      </c>
      <c r="J119" s="61">
        <v>53521.570899999999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SCALARS!F121</f>
        <v>2261.3416000000002</v>
      </c>
      <c r="D120" s="61">
        <f t="shared" si="25"/>
        <v>2261.3178960698297</v>
      </c>
      <c r="E120" s="106">
        <f t="shared" si="26"/>
        <v>2.3703930170540843E-2</v>
      </c>
      <c r="F120" s="6">
        <v>4.4222E-4</v>
      </c>
      <c r="H120" s="58">
        <f t="shared" si="27"/>
        <v>2261.3398363334531</v>
      </c>
      <c r="I120" s="19">
        <v>122719963</v>
      </c>
      <c r="J120" s="61">
        <v>54268.695500000002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SCALARS!F122</f>
        <v>2261.3508999999999</v>
      </c>
      <c r="D121" s="61">
        <f t="shared" si="25"/>
        <v>2261.3690328124644</v>
      </c>
      <c r="E121" s="106">
        <f t="shared" si="26"/>
        <v>-1.8132812464500603E-2</v>
      </c>
      <c r="F121" s="163">
        <v>4.4221000000000001E-4</v>
      </c>
      <c r="H121" s="58">
        <f t="shared" si="27"/>
        <v>2261.3491286308085</v>
      </c>
      <c r="I121" s="19">
        <v>122719963</v>
      </c>
      <c r="J121" s="61">
        <v>54268.472500000003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SCALARS!F123</f>
        <v>2261.3602000000001</v>
      </c>
      <c r="D122" s="61">
        <f t="shared" si="25"/>
        <v>2261.3690328124644</v>
      </c>
      <c r="E122" s="106">
        <f t="shared" si="26"/>
        <v>-8.8328124643339834E-3</v>
      </c>
      <c r="F122" s="6">
        <v>4.4221000000000001E-4</v>
      </c>
      <c r="H122" s="58">
        <f t="shared" si="27"/>
        <v>2261.3584188069353</v>
      </c>
      <c r="I122" s="19">
        <v>123609963</v>
      </c>
      <c r="J122" s="61">
        <v>54661.818299999999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SCALARS!F124</f>
        <v>2261.3694999999998</v>
      </c>
      <c r="D123" s="61">
        <f t="shared" si="25"/>
        <v>2261.3690328124644</v>
      </c>
      <c r="E123" s="106">
        <f t="shared" si="26"/>
        <v>4.6718753537788871E-4</v>
      </c>
      <c r="F123" s="6">
        <v>4.4221000000000001E-4</v>
      </c>
      <c r="H123" s="58">
        <f t="shared" si="27"/>
        <v>2261.3677146800201</v>
      </c>
      <c r="I123" s="19">
        <v>123609963</v>
      </c>
      <c r="J123" s="61">
        <v>54661.5936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SCALARS!F125</f>
        <v>2261.3788</v>
      </c>
      <c r="D124" s="61"/>
      <c r="E124" s="106"/>
      <c r="F124" s="6"/>
      <c r="H124" s="58"/>
      <c r="I124" s="19"/>
      <c r="J124" s="61"/>
      <c r="L124" s="19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SCALARS!F126</f>
        <v>2261.3881000000001</v>
      </c>
      <c r="D125" s="61"/>
      <c r="E125" s="106"/>
      <c r="F125" s="6"/>
      <c r="H125" s="58"/>
      <c r="I125" s="19"/>
      <c r="J125" s="61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SCALARS!F127</f>
        <v>2261.3973999999998</v>
      </c>
      <c r="D126" s="61">
        <f t="shared" ref="D126:D127" si="28">1/F126</f>
        <v>2261.4201718679328</v>
      </c>
      <c r="E126" s="106">
        <f t="shared" ref="E126:E127" si="29">C126-D126</f>
        <v>-2.2771867932988243E-2</v>
      </c>
      <c r="F126" s="6">
        <v>4.4220000000000001E-4</v>
      </c>
      <c r="H126" s="58">
        <f t="shared" ref="H126:H127" si="30">I126/J126</f>
        <v>2261.3955944835666</v>
      </c>
      <c r="I126" s="19">
        <v>123609963</v>
      </c>
      <c r="J126" s="61">
        <v>54660.919699999999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SCALARS!F128</f>
        <v>2261.4067</v>
      </c>
      <c r="D127" s="61">
        <f t="shared" si="28"/>
        <v>2261.4201718679328</v>
      </c>
      <c r="E127" s="106">
        <f t="shared" si="29"/>
        <v>-1.3471867932821624E-2</v>
      </c>
      <c r="F127" s="6">
        <v>4.4220000000000001E-4</v>
      </c>
      <c r="H127" s="58">
        <f t="shared" si="30"/>
        <v>2261.4048877550194</v>
      </c>
      <c r="I127" s="19">
        <v>122749963</v>
      </c>
      <c r="J127" s="61">
        <v>54280.400500000003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SCALARS!F129</f>
        <v>2261.4160000000002</v>
      </c>
      <c r="D128" s="61">
        <f t="shared" ref="D128:D158" si="31">1/F128</f>
        <v>2261.4201718679328</v>
      </c>
      <c r="E128" s="106">
        <f t="shared" ref="E128:E158" si="32">C128-D128</f>
        <v>-4.1718679326550046E-3</v>
      </c>
      <c r="F128" s="6">
        <v>4.4220000000000001E-4</v>
      </c>
      <c r="H128" s="58">
        <f t="shared" ref="H128:H158" si="33">I128/J128</f>
        <v>2261.4141824820194</v>
      </c>
      <c r="I128" s="19">
        <v>122749963</v>
      </c>
      <c r="J128" s="61">
        <v>54280.1774</v>
      </c>
    </row>
    <row r="129" spans="1:10" ht="15" customHeight="1">
      <c r="A129" s="1" t="str">
        <f>SCALARS!A130</f>
        <v>Thursday</v>
      </c>
      <c r="B129" s="28">
        <f>SCALARS!B130</f>
        <v>46205</v>
      </c>
      <c r="C129" s="61">
        <f>SCALARS!F130</f>
        <v>2261.4252999999999</v>
      </c>
      <c r="D129" s="61">
        <f t="shared" si="31"/>
        <v>2261.4201718679328</v>
      </c>
      <c r="E129" s="106">
        <f t="shared" si="32"/>
        <v>5.1281320670568675E-3</v>
      </c>
      <c r="F129" s="6">
        <v>4.4220000000000001E-4</v>
      </c>
      <c r="H129" s="58">
        <f t="shared" si="33"/>
        <v>2261.4234737630295</v>
      </c>
      <c r="I129" s="19">
        <v>124119963</v>
      </c>
      <c r="J129" s="61">
        <v>54885.767500000002</v>
      </c>
    </row>
    <row r="130" spans="1:10" ht="15" customHeight="1">
      <c r="A130" s="1" t="str">
        <f>SCALARS!A131</f>
        <v>Friday</v>
      </c>
      <c r="B130" s="28">
        <f>SCALARS!B131</f>
        <v>46206</v>
      </c>
      <c r="C130" s="61">
        <f>SCALARS!F131</f>
        <v>2261.4346</v>
      </c>
      <c r="D130" s="161" t="s">
        <v>73</v>
      </c>
      <c r="E130" s="106"/>
      <c r="F130" s="6"/>
      <c r="H130" s="58"/>
      <c r="I130" s="19"/>
      <c r="J130" s="61"/>
    </row>
    <row r="131" spans="1:10" ht="15" customHeight="1">
      <c r="A131" s="1" t="str">
        <f>SCALARS!A132</f>
        <v>Saturday</v>
      </c>
      <c r="B131" s="28">
        <f>SCALARS!B132</f>
        <v>46207</v>
      </c>
      <c r="C131" s="61">
        <f>SCALARS!F132</f>
        <v>2261.4439000000002</v>
      </c>
      <c r="H131" s="58"/>
      <c r="I131" s="19"/>
      <c r="J131" s="61"/>
    </row>
    <row r="132" spans="1:10" ht="15" customHeight="1">
      <c r="A132" s="1" t="str">
        <f>SCALARS!A133</f>
        <v>Sunday</v>
      </c>
      <c r="B132" s="28">
        <f>SCALARS!B133</f>
        <v>46208</v>
      </c>
      <c r="C132" s="61">
        <f>SCALARS!F133</f>
        <v>2261.4531999999999</v>
      </c>
      <c r="D132" s="61"/>
      <c r="E132" s="106"/>
      <c r="F132" s="6"/>
      <c r="H132" s="58"/>
      <c r="I132" s="19"/>
      <c r="J132" s="61"/>
    </row>
    <row r="133" spans="1:10" ht="15" customHeight="1">
      <c r="A133" s="1" t="str">
        <f>SCALARS!A134</f>
        <v>Monday</v>
      </c>
      <c r="B133" s="28">
        <f>SCALARS!B134</f>
        <v>46209</v>
      </c>
      <c r="C133" s="61">
        <f>SCALARS!F134</f>
        <v>2261.4625000000001</v>
      </c>
      <c r="D133" s="61">
        <f t="shared" si="31"/>
        <v>2261.4713132363913</v>
      </c>
      <c r="E133" s="106">
        <f t="shared" si="32"/>
        <v>-8.8132363912336587E-3</v>
      </c>
      <c r="F133" s="6">
        <v>4.4219000000000002E-4</v>
      </c>
      <c r="H133" s="58">
        <f t="shared" si="33"/>
        <v>2261.4606471485686</v>
      </c>
      <c r="I133" s="19">
        <v>124119963</v>
      </c>
      <c r="J133" s="61">
        <v>54884.865299999998</v>
      </c>
    </row>
    <row r="134" spans="1:10" ht="15" customHeight="1">
      <c r="A134" s="1" t="str">
        <f>SCALARS!A135</f>
        <v>Tuesday</v>
      </c>
      <c r="B134" s="28">
        <f>SCALARS!B135</f>
        <v>46210</v>
      </c>
      <c r="C134" s="61">
        <f>SCALARS!F135</f>
        <v>2261.4717999999998</v>
      </c>
      <c r="D134" s="61">
        <f t="shared" si="31"/>
        <v>2261.4713132363913</v>
      </c>
      <c r="E134" s="106">
        <f t="shared" si="32"/>
        <v>4.8676360847821343E-4</v>
      </c>
      <c r="F134" s="6">
        <v>4.4219000000000002E-4</v>
      </c>
      <c r="H134" s="58">
        <f t="shared" si="33"/>
        <v>2261.4699428260014</v>
      </c>
      <c r="I134" s="19">
        <v>125619963</v>
      </c>
      <c r="J134" s="61">
        <v>55547.9251</v>
      </c>
    </row>
    <row r="135" spans="1:10" ht="15" customHeight="1">
      <c r="A135" s="1" t="str">
        <f>SCALARS!A136</f>
        <v>Wednesday</v>
      </c>
      <c r="B135" s="28">
        <f>SCALARS!B136</f>
        <v>46211</v>
      </c>
      <c r="C135" s="61">
        <f>SCALARS!F136</f>
        <v>2261.4811</v>
      </c>
      <c r="D135" s="61">
        <f t="shared" si="31"/>
        <v>2261.4713132363913</v>
      </c>
      <c r="E135" s="106">
        <f t="shared" si="32"/>
        <v>9.7867636086448329E-3</v>
      </c>
      <c r="F135" s="6">
        <v>4.4219000000000002E-4</v>
      </c>
      <c r="H135" s="58">
        <f t="shared" si="33"/>
        <v>2261.4792374253761</v>
      </c>
      <c r="I135" s="19">
        <v>125619963</v>
      </c>
      <c r="J135" s="61">
        <v>55547.696799999998</v>
      </c>
    </row>
    <row r="136" spans="1:10" ht="15" customHeight="1">
      <c r="A136" s="1" t="str">
        <f>SCALARS!A137</f>
        <v>Thursday</v>
      </c>
      <c r="B136" s="28">
        <f>SCALARS!B137</f>
        <v>46212</v>
      </c>
      <c r="C136" s="61">
        <f>SCALARS!F137</f>
        <v>2261.4904000000001</v>
      </c>
      <c r="D136" s="61">
        <f t="shared" si="31"/>
        <v>2261.4713132363913</v>
      </c>
      <c r="E136" s="106">
        <f t="shared" si="32"/>
        <v>1.9086763608811452E-2</v>
      </c>
      <c r="F136" s="6">
        <v>4.4219000000000002E-4</v>
      </c>
      <c r="H136" s="58">
        <f t="shared" si="33"/>
        <v>2261.488529523469</v>
      </c>
      <c r="I136" s="19">
        <v>127539963</v>
      </c>
      <c r="J136" s="61">
        <v>56396.466899999999</v>
      </c>
    </row>
    <row r="137" spans="1:10" ht="15" customHeight="1">
      <c r="A137" s="1" t="str">
        <f>SCALARS!A138</f>
        <v>Friday</v>
      </c>
      <c r="B137" s="28">
        <f>SCALARS!B138</f>
        <v>46213</v>
      </c>
      <c r="C137" s="61">
        <f>SCALARS!F138</f>
        <v>2261.4996999999998</v>
      </c>
      <c r="D137" s="61">
        <f t="shared" si="31"/>
        <v>2261.5224569179973</v>
      </c>
      <c r="E137" s="106">
        <f t="shared" si="32"/>
        <v>-2.2756917997412529E-2</v>
      </c>
      <c r="F137" s="6">
        <v>4.4218000000000003E-4</v>
      </c>
      <c r="H137" s="58">
        <f t="shared" si="33"/>
        <v>2261.4978247014224</v>
      </c>
      <c r="I137" s="19">
        <v>127539963</v>
      </c>
      <c r="J137" s="61">
        <v>56396.235099999998</v>
      </c>
    </row>
    <row r="138" spans="1:10" ht="15" customHeight="1">
      <c r="A138" s="1" t="str">
        <f>SCALARS!A139</f>
        <v>Saturday</v>
      </c>
      <c r="B138" s="28">
        <f>SCALARS!B139</f>
        <v>46214</v>
      </c>
      <c r="C138" s="61">
        <f>SCALARS!F139</f>
        <v>2261.509</v>
      </c>
      <c r="D138" s="61"/>
      <c r="E138" s="106"/>
      <c r="F138" s="6"/>
      <c r="H138" s="58"/>
      <c r="I138" s="19"/>
      <c r="J138" s="61"/>
    </row>
    <row r="139" spans="1:10" ht="15" customHeight="1">
      <c r="A139" s="1" t="str">
        <f>SCALARS!A140</f>
        <v>Sunday</v>
      </c>
      <c r="B139" s="28">
        <f>SCALARS!B140</f>
        <v>46215</v>
      </c>
      <c r="C139" s="61">
        <f>SCALARS!F140</f>
        <v>2261.5183000000002</v>
      </c>
      <c r="D139" s="61"/>
      <c r="E139" s="106"/>
      <c r="F139" s="6"/>
      <c r="H139" s="58"/>
      <c r="I139" s="19"/>
      <c r="J139" s="61"/>
    </row>
    <row r="140" spans="1:10" ht="15" customHeight="1">
      <c r="A140" s="1" t="str">
        <f>SCALARS!A141</f>
        <v>Monday</v>
      </c>
      <c r="B140" s="28">
        <f>SCALARS!B141</f>
        <v>46216</v>
      </c>
      <c r="C140" s="61">
        <f>SCALARS!F141</f>
        <v>2261.5275999999999</v>
      </c>
      <c r="D140" s="61">
        <f t="shared" si="31"/>
        <v>2261.5224569179973</v>
      </c>
      <c r="E140" s="106">
        <f t="shared" si="32"/>
        <v>5.1430820026325819E-3</v>
      </c>
      <c r="F140" s="6">
        <v>4.4218000000000003E-4</v>
      </c>
      <c r="H140" s="58">
        <f t="shared" si="33"/>
        <v>2261.5257066836339</v>
      </c>
      <c r="I140" s="19">
        <v>127539963</v>
      </c>
      <c r="J140" s="61">
        <v>56395.539799999999</v>
      </c>
    </row>
    <row r="141" spans="1:10" ht="15" customHeight="1">
      <c r="A141" s="1" t="str">
        <f>SCALARS!A142</f>
        <v>Tuesday</v>
      </c>
      <c r="B141" s="28">
        <f>SCALARS!B142</f>
        <v>46217</v>
      </c>
      <c r="C141" s="61">
        <f>SCALARS!F142</f>
        <v>2261.5369000000001</v>
      </c>
      <c r="D141" s="61">
        <f t="shared" si="31"/>
        <v>2261.5224569179973</v>
      </c>
      <c r="E141" s="106">
        <f t="shared" si="32"/>
        <v>1.4443082002799201E-2</v>
      </c>
      <c r="F141" s="6">
        <v>4.4218000000000003E-4</v>
      </c>
      <c r="H141" s="58">
        <f t="shared" si="33"/>
        <v>2261.5349998535016</v>
      </c>
      <c r="I141" s="19">
        <v>129479963</v>
      </c>
      <c r="J141" s="61">
        <v>57253.1325</v>
      </c>
    </row>
    <row r="142" spans="1:10" ht="15" customHeight="1">
      <c r="A142" s="1" t="str">
        <f>SCALARS!A143</f>
        <v>Wednesday</v>
      </c>
      <c r="B142" s="28">
        <f>SCALARS!B143</f>
        <v>46218</v>
      </c>
      <c r="C142" s="61">
        <f>SCALARS!F143</f>
        <v>2261.5462000000002</v>
      </c>
      <c r="D142" s="61">
        <f t="shared" si="31"/>
        <v>2261.5224569179973</v>
      </c>
      <c r="E142" s="106">
        <f t="shared" si="32"/>
        <v>2.3743082002965821E-2</v>
      </c>
      <c r="F142" s="6">
        <v>4.4218000000000003E-4</v>
      </c>
      <c r="H142" s="58">
        <f t="shared" si="33"/>
        <v>2261.5442950993697</v>
      </c>
      <c r="I142" s="19">
        <v>129709963</v>
      </c>
      <c r="J142" s="61">
        <v>57354.597600000001</v>
      </c>
    </row>
    <row r="143" spans="1:10" ht="15" customHeight="1">
      <c r="A143" s="1" t="str">
        <f>SCALARS!A144</f>
        <v>Thursday</v>
      </c>
      <c r="B143" s="28">
        <f>SCALARS!B144</f>
        <v>46219</v>
      </c>
      <c r="C143" s="61">
        <f>SCALARS!F144</f>
        <v>2261.5554999999999</v>
      </c>
      <c r="D143" s="61">
        <f t="shared" si="31"/>
        <v>2261.5736029129071</v>
      </c>
      <c r="E143" s="106">
        <f t="shared" si="32"/>
        <v>-1.8102912907124846E-2</v>
      </c>
      <c r="F143" s="6">
        <v>4.4216999999999998E-4</v>
      </c>
      <c r="H143" s="58">
        <f t="shared" si="33"/>
        <v>2261.5535878074634</v>
      </c>
      <c r="I143" s="19">
        <v>130059963</v>
      </c>
      <c r="J143" s="61">
        <v>57509.122799999997</v>
      </c>
    </row>
    <row r="144" spans="1:10" ht="15" customHeight="1">
      <c r="A144" s="1" t="str">
        <f>SCALARS!A145</f>
        <v>Friday</v>
      </c>
      <c r="B144" s="28">
        <f>SCALARS!B145</f>
        <v>46220</v>
      </c>
      <c r="C144" s="61">
        <f>SCALARS!F145</f>
        <v>2261.5648000000001</v>
      </c>
      <c r="D144" s="61">
        <f t="shared" si="31"/>
        <v>2261.5736029129071</v>
      </c>
      <c r="E144" s="106">
        <f t="shared" si="32"/>
        <v>-8.8029129069582268E-3</v>
      </c>
      <c r="F144" s="6">
        <v>4.4216999999999998E-4</v>
      </c>
      <c r="H144" s="58">
        <f t="shared" si="33"/>
        <v>2261.5628803732793</v>
      </c>
      <c r="I144" s="19">
        <v>130059963</v>
      </c>
      <c r="J144" s="61">
        <v>57508.886500000001</v>
      </c>
    </row>
    <row r="145" spans="1:10" ht="15" customHeight="1">
      <c r="A145" s="1" t="str">
        <f>SCALARS!A146</f>
        <v>Saturday</v>
      </c>
      <c r="B145" s="28">
        <f>SCALARS!B146</f>
        <v>46221</v>
      </c>
      <c r="C145" s="61">
        <f>SCALARS!F146</f>
        <v>2261.5740999999998</v>
      </c>
      <c r="D145" s="61"/>
      <c r="E145" s="106"/>
      <c r="F145" s="6"/>
      <c r="H145" s="58"/>
      <c r="I145" s="19"/>
      <c r="J145" s="61"/>
    </row>
    <row r="146" spans="1:10" ht="15" customHeight="1">
      <c r="A146" s="1" t="str">
        <f>SCALARS!A147</f>
        <v>Sunday</v>
      </c>
      <c r="B146" s="28">
        <f>SCALARS!B147</f>
        <v>46222</v>
      </c>
      <c r="C146" s="61">
        <f>SCALARS!F147</f>
        <v>2261.5834</v>
      </c>
      <c r="D146" s="61"/>
      <c r="E146" s="106"/>
      <c r="F146" s="6"/>
      <c r="H146" s="58"/>
      <c r="I146" s="19"/>
      <c r="J146" s="61"/>
    </row>
    <row r="147" spans="1:10" ht="15" customHeight="1">
      <c r="A147" s="1" t="str">
        <f>SCALARS!A148</f>
        <v>Monday</v>
      </c>
      <c r="B147" s="28">
        <f>SCALARS!B148</f>
        <v>46223</v>
      </c>
      <c r="C147" s="61">
        <f>SCALARS!F148</f>
        <v>2261.5927000000001</v>
      </c>
      <c r="D147" s="61">
        <f t="shared" si="31"/>
        <v>2261.5736029129071</v>
      </c>
      <c r="E147" s="106">
        <f t="shared" si="32"/>
        <v>1.9097087093086884E-2</v>
      </c>
      <c r="F147" s="6">
        <v>4.4216999999999998E-4</v>
      </c>
      <c r="H147" s="58">
        <f t="shared" si="33"/>
        <v>2261.5907663942066</v>
      </c>
      <c r="I147" s="19">
        <v>130059963</v>
      </c>
      <c r="J147" s="61">
        <v>57508.1774</v>
      </c>
    </row>
    <row r="148" spans="1:10" ht="15" customHeight="1">
      <c r="A148" s="1" t="str">
        <f>SCALARS!A149</f>
        <v>Tuesday</v>
      </c>
      <c r="B148" s="28">
        <f>SCALARS!B149</f>
        <v>46224</v>
      </c>
      <c r="C148" s="61">
        <f>SCALARS!F149</f>
        <v>2261.6019999999999</v>
      </c>
      <c r="D148" s="61">
        <f t="shared" si="31"/>
        <v>2261.6247512212776</v>
      </c>
      <c r="E148" s="106">
        <f t="shared" si="32"/>
        <v>-2.2751221277758304E-2</v>
      </c>
      <c r="F148" s="6">
        <v>4.4215999999999998E-4</v>
      </c>
      <c r="H148" s="58">
        <f t="shared" si="33"/>
        <v>2261.6000573810234</v>
      </c>
      <c r="I148" s="19">
        <v>131499963</v>
      </c>
      <c r="J148" s="61">
        <v>58144.658499999998</v>
      </c>
    </row>
    <row r="149" spans="1:10" ht="15" customHeight="1">
      <c r="A149" s="1" t="str">
        <f>SCALARS!A150</f>
        <v>Wednesday</v>
      </c>
      <c r="B149" s="28">
        <f>SCALARS!B150</f>
        <v>46225</v>
      </c>
      <c r="C149" s="61">
        <f>SCALARS!F150</f>
        <v>2261.6113</v>
      </c>
      <c r="D149" s="61">
        <f t="shared" si="31"/>
        <v>2261.6247512212776</v>
      </c>
      <c r="E149" s="106">
        <f t="shared" si="32"/>
        <v>-1.3451221277591685E-2</v>
      </c>
      <c r="F149" s="6">
        <v>4.4215999999999998E-4</v>
      </c>
      <c r="H149" s="58">
        <f t="shared" si="33"/>
        <v>2261.6093521206117</v>
      </c>
      <c r="I149" s="19">
        <v>131719963</v>
      </c>
      <c r="J149" s="61">
        <v>58241.695399999997</v>
      </c>
    </row>
    <row r="150" spans="1:10" ht="15" customHeight="1">
      <c r="A150" s="1" t="str">
        <f>SCALARS!A151</f>
        <v>Thursday</v>
      </c>
      <c r="B150" s="28">
        <f>SCALARS!B151</f>
        <v>46226</v>
      </c>
      <c r="C150" s="61">
        <f>SCALARS!F151</f>
        <v>2261.6206000000002</v>
      </c>
      <c r="D150" s="61">
        <f t="shared" si="31"/>
        <v>2261.6247512212776</v>
      </c>
      <c r="E150" s="106">
        <f t="shared" si="32"/>
        <v>-4.1512212774250656E-3</v>
      </c>
      <c r="F150" s="6">
        <v>4.4215999999999998E-4</v>
      </c>
      <c r="H150" s="58">
        <f t="shared" si="33"/>
        <v>2261.6186465262426</v>
      </c>
      <c r="I150" s="19">
        <v>133019963</v>
      </c>
      <c r="J150" s="61">
        <v>58816.265599999999</v>
      </c>
    </row>
    <row r="151" spans="1:10" ht="15" customHeight="1">
      <c r="A151" s="1" t="str">
        <f>SCALARS!A152</f>
        <v>Friday</v>
      </c>
      <c r="B151" s="28">
        <f>SCALARS!B152</f>
        <v>46227</v>
      </c>
      <c r="C151" s="61">
        <f>SCALARS!F152</f>
        <v>2261.6298999999999</v>
      </c>
      <c r="D151" s="61">
        <f t="shared" si="31"/>
        <v>2261.6247512212776</v>
      </c>
      <c r="E151" s="106">
        <f t="shared" si="32"/>
        <v>5.1487787222868064E-3</v>
      </c>
      <c r="F151" s="6">
        <v>4.4215999999999998E-4</v>
      </c>
      <c r="H151" s="58">
        <f t="shared" si="33"/>
        <v>2261.6279404769489</v>
      </c>
      <c r="I151" s="19">
        <v>133019963</v>
      </c>
      <c r="J151" s="61">
        <v>58816.0239</v>
      </c>
    </row>
    <row r="152" spans="1:10" ht="15" customHeight="1">
      <c r="A152" s="1" t="str">
        <f>SCALARS!A153</f>
        <v>Saturday</v>
      </c>
      <c r="B152" s="28">
        <f>SCALARS!B153</f>
        <v>46228</v>
      </c>
      <c r="C152" s="61">
        <f>SCALARS!F153</f>
        <v>2261.6392000000001</v>
      </c>
      <c r="D152" s="61"/>
      <c r="E152" s="106"/>
      <c r="F152" s="6"/>
      <c r="H152" s="58"/>
      <c r="I152" s="19"/>
      <c r="J152" s="61"/>
    </row>
    <row r="153" spans="1:10" ht="15" customHeight="1">
      <c r="A153" s="1" t="str">
        <f>SCALARS!A154</f>
        <v>Sunday</v>
      </c>
      <c r="B153" s="28">
        <f>SCALARS!B154</f>
        <v>46229</v>
      </c>
      <c r="C153" s="61">
        <f>SCALARS!F154</f>
        <v>2261.6484999999998</v>
      </c>
      <c r="D153" s="61"/>
      <c r="E153" s="106"/>
      <c r="F153" s="6"/>
      <c r="H153" s="58"/>
      <c r="I153" s="19"/>
      <c r="J153" s="61"/>
    </row>
    <row r="154" spans="1:10" ht="15" customHeight="1">
      <c r="A154" s="1" t="str">
        <f>SCALARS!A155</f>
        <v>Monday</v>
      </c>
      <c r="B154" s="28">
        <f>SCALARS!B155</f>
        <v>46230</v>
      </c>
      <c r="C154" s="61">
        <f>SCALARS!F155</f>
        <v>2261.6578</v>
      </c>
      <c r="D154" s="61">
        <f t="shared" si="31"/>
        <v>2261.6759018432658</v>
      </c>
      <c r="E154" s="106">
        <f t="shared" si="32"/>
        <v>-1.8101843265867501E-2</v>
      </c>
      <c r="F154" s="6">
        <v>4.4214999999999999E-4</v>
      </c>
      <c r="H154" s="58">
        <f t="shared" si="33"/>
        <v>2261.6558266327397</v>
      </c>
      <c r="I154" s="19">
        <v>133019963</v>
      </c>
      <c r="J154" s="61">
        <v>58815.298699999999</v>
      </c>
    </row>
    <row r="155" spans="1:10" ht="15" customHeight="1">
      <c r="A155" s="1" t="str">
        <f>SCALARS!A156</f>
        <v>Tuesday</v>
      </c>
      <c r="B155" s="28">
        <f>SCALARS!B156</f>
        <v>46231</v>
      </c>
      <c r="C155" s="61">
        <f>SCALARS!F156</f>
        <v>2261.6671000000001</v>
      </c>
      <c r="D155" s="61">
        <f t="shared" si="31"/>
        <v>2261.6759018432658</v>
      </c>
      <c r="E155" s="106">
        <f t="shared" si="32"/>
        <v>-8.8018432657008816E-3</v>
      </c>
      <c r="F155" s="6">
        <v>4.4214999999999999E-4</v>
      </c>
      <c r="H155" s="58">
        <f t="shared" si="33"/>
        <v>2261.6651208890266</v>
      </c>
      <c r="I155" s="19">
        <v>133019963</v>
      </c>
      <c r="J155" s="61">
        <v>58815.057000000001</v>
      </c>
    </row>
    <row r="156" spans="1:10" ht="15" customHeight="1">
      <c r="A156" s="1" t="str">
        <f>SCALARS!A157</f>
        <v>Wednesday</v>
      </c>
      <c r="B156" s="28">
        <f>SCALARS!B157</f>
        <v>46232</v>
      </c>
      <c r="C156" s="61">
        <f>SCALARS!F157</f>
        <v>2261.6763999999998</v>
      </c>
      <c r="D156" s="61">
        <f t="shared" si="31"/>
        <v>2261.6759018432658</v>
      </c>
      <c r="E156" s="106">
        <f t="shared" si="32"/>
        <v>4.9815673401099048E-4</v>
      </c>
      <c r="F156" s="6">
        <v>4.4214999999999999E-4</v>
      </c>
      <c r="H156" s="58">
        <f t="shared" si="33"/>
        <v>2261.6744133904313</v>
      </c>
      <c r="I156" s="19">
        <v>133199963</v>
      </c>
      <c r="J156" s="61">
        <v>58894.402399999999</v>
      </c>
    </row>
    <row r="157" spans="1:10" ht="15" customHeight="1">
      <c r="A157" s="1" t="str">
        <f>SCALARS!A158</f>
        <v>Thursday</v>
      </c>
      <c r="B157" s="28">
        <f>SCALARS!B158</f>
        <v>46233</v>
      </c>
      <c r="C157" s="61">
        <f>SCALARS!F158</f>
        <v>2261.6857</v>
      </c>
      <c r="D157" s="61" t="e">
        <f t="shared" si="31"/>
        <v>#DIV/0!</v>
      </c>
      <c r="E157" s="106" t="e">
        <f t="shared" si="32"/>
        <v>#DIV/0!</v>
      </c>
      <c r="F157" s="6"/>
      <c r="H157" s="58" t="e">
        <f t="shared" si="33"/>
        <v>#DIV/0!</v>
      </c>
      <c r="I157" s="19"/>
      <c r="J157" s="61"/>
    </row>
    <row r="158" spans="1:10" ht="15" customHeight="1">
      <c r="A158" s="1" t="str">
        <f>SCALARS!A159</f>
        <v>Friday</v>
      </c>
      <c r="B158" s="28">
        <f>SCALARS!B159</f>
        <v>46234</v>
      </c>
      <c r="C158" s="61">
        <f>SCALARS!F159</f>
        <v>2261.6950000000002</v>
      </c>
      <c r="D158" s="61" t="e">
        <f t="shared" si="31"/>
        <v>#DIV/0!</v>
      </c>
      <c r="E158" s="106" t="e">
        <f t="shared" si="32"/>
        <v>#DIV/0!</v>
      </c>
      <c r="F158" s="6"/>
      <c r="H158" s="58" t="e">
        <f t="shared" si="33"/>
        <v>#DIV/0!</v>
      </c>
      <c r="I158" s="19"/>
      <c r="J158" s="61"/>
    </row>
  </sheetData>
  <hyperlinks>
    <hyperlink ref="A1" r:id="rId1" xr:uid="{5CF37876-438A-406F-A7CE-F218AE7D8D57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486A-CC8B-49A3-89CC-3C2AB3BC7E64}">
  <sheetPr codeName="Sheet4">
    <tabColor theme="2" tint="-9.9978637043366805E-2"/>
  </sheetPr>
  <dimension ref="A1:P158"/>
  <sheetViews>
    <sheetView zoomScale="80" zoomScaleNormal="80" workbookViewId="0">
      <pane xSplit="6" ySplit="5" topLeftCell="G91" activePane="bottomRight" state="frozen"/>
      <selection pane="topRight" activeCell="F1" sqref="F1"/>
      <selection pane="bottomLeft" activeCell="A6" sqref="A6"/>
      <selection pane="bottomRight" activeCell="K164" sqref="K164"/>
    </sheetView>
  </sheetViews>
  <sheetFormatPr defaultColWidth="8.85546875" defaultRowHeight="15" customHeight="1"/>
  <cols>
    <col min="1" max="1" width="14.42578125" style="1" customWidth="1"/>
    <col min="2" max="2" width="10.28515625" style="1" customWidth="1"/>
    <col min="3" max="3" width="13.7109375" style="1" bestFit="1" customWidth="1"/>
    <col min="4" max="4" width="13.7109375" style="1" customWidth="1"/>
    <col min="5" max="5" width="13.7109375" style="1" bestFit="1" customWidth="1"/>
    <col min="6" max="6" width="10.140625" style="57" bestFit="1" customWidth="1"/>
    <col min="7" max="7" width="13.42578125" style="1" bestFit="1" customWidth="1"/>
    <col min="9" max="9" width="15.140625" style="1" bestFit="1" customWidth="1"/>
    <col min="10" max="10" width="17" style="1" bestFit="1" customWidth="1"/>
    <col min="11" max="11" width="22" style="1" bestFit="1" customWidth="1"/>
    <col min="12" max="12" width="8.85546875" style="1"/>
    <col min="13" max="13" width="11.42578125" style="81" bestFit="1" customWidth="1"/>
    <col min="14" max="14" width="11.7109375" style="67" bestFit="1" customWidth="1"/>
    <col min="15" max="15" width="11.7109375" style="67" customWidth="1"/>
    <col min="16" max="16" width="11.42578125" style="82" bestFit="1" customWidth="1"/>
    <col min="17" max="16384" width="8.85546875" style="1"/>
  </cols>
  <sheetData>
    <row r="1" spans="1:16" ht="15" customHeight="1">
      <c r="A1" s="5" t="s">
        <v>11</v>
      </c>
      <c r="F1" s="1"/>
      <c r="H1" s="1"/>
      <c r="L1" s="84"/>
      <c r="N1" s="81"/>
      <c r="O1" s="81"/>
      <c r="P1" s="81"/>
    </row>
    <row r="2" spans="1:16" ht="15" customHeight="1">
      <c r="A2" s="5"/>
      <c r="F2" s="1"/>
      <c r="H2" s="1"/>
      <c r="L2" s="84"/>
      <c r="N2" s="81"/>
      <c r="O2" s="81"/>
      <c r="P2" s="81"/>
    </row>
    <row r="3" spans="1:16" ht="15" customHeight="1">
      <c r="A3" s="5"/>
      <c r="F3" s="1"/>
      <c r="H3" s="1"/>
    </row>
    <row r="4" spans="1:16" ht="15" customHeight="1">
      <c r="A4" s="5"/>
    </row>
    <row r="5" spans="1:16" s="50" customFormat="1" ht="30" customHeight="1">
      <c r="A5" s="48" t="s">
        <v>58</v>
      </c>
      <c r="B5" s="49" t="s">
        <v>6</v>
      </c>
      <c r="C5" s="44" t="s">
        <v>55</v>
      </c>
      <c r="D5" s="44" t="s">
        <v>88</v>
      </c>
      <c r="E5" s="44" t="s">
        <v>1</v>
      </c>
      <c r="F5" s="59" t="s">
        <v>67</v>
      </c>
      <c r="G5" s="21" t="s">
        <v>10</v>
      </c>
      <c r="I5" s="44" t="s">
        <v>57</v>
      </c>
      <c r="J5" s="22" t="s">
        <v>9</v>
      </c>
      <c r="K5" s="21" t="s">
        <v>12</v>
      </c>
      <c r="M5" s="83"/>
      <c r="N5" s="83"/>
      <c r="O5" s="83"/>
      <c r="P5" s="83"/>
    </row>
    <row r="6" spans="1:16" ht="15" customHeight="1">
      <c r="A6" s="1" t="str">
        <f>SCALARS!A7</f>
        <v>Sunday</v>
      </c>
      <c r="B6" s="28">
        <f>SCALARS!B7</f>
        <v>46082</v>
      </c>
      <c r="C6" s="61">
        <f>SCALARS!J7</f>
        <v>1282.9366</v>
      </c>
      <c r="D6" s="61">
        <f>-SCALARS!J$5</f>
        <v>0</v>
      </c>
      <c r="E6" s="61"/>
      <c r="F6" s="61"/>
      <c r="I6" s="46"/>
      <c r="J6" s="19"/>
      <c r="K6" s="8"/>
      <c r="M6" s="67"/>
    </row>
    <row r="7" spans="1:16" ht="15" customHeight="1">
      <c r="A7" s="1" t="str">
        <f>SCALARS!A8</f>
        <v>Monday</v>
      </c>
      <c r="B7" s="28">
        <f>SCALARS!B8</f>
        <v>46083</v>
      </c>
      <c r="C7" s="61">
        <f>SCALARS!J8</f>
        <v>1282.9893</v>
      </c>
      <c r="D7" s="61">
        <f>-SCALARS!J$5</f>
        <v>0</v>
      </c>
      <c r="E7" s="61"/>
      <c r="F7" s="61"/>
      <c r="I7" s="46"/>
      <c r="J7" s="19"/>
      <c r="K7" s="8"/>
      <c r="M7" s="67"/>
    </row>
    <row r="8" spans="1:16" ht="15" customHeight="1">
      <c r="A8" s="1" t="str">
        <f>SCALARS!A9</f>
        <v>Tuesday</v>
      </c>
      <c r="B8" s="28">
        <f>SCALARS!B9</f>
        <v>46084</v>
      </c>
      <c r="C8" s="61">
        <f>SCALARS!J9</f>
        <v>1283.0419999999999</v>
      </c>
      <c r="D8" s="61">
        <f>-SCALARS!J$5</f>
        <v>0</v>
      </c>
      <c r="E8" s="61"/>
      <c r="F8" s="61"/>
      <c r="I8" s="46"/>
      <c r="J8" s="19"/>
      <c r="K8" s="8"/>
      <c r="M8" s="67"/>
    </row>
    <row r="9" spans="1:16" ht="15" customHeight="1">
      <c r="A9" s="1" t="str">
        <f>SCALARS!A10</f>
        <v>Wednesday</v>
      </c>
      <c r="B9" s="28">
        <f>SCALARS!B10</f>
        <v>46085</v>
      </c>
      <c r="C9" s="61">
        <f>SCALARS!J10</f>
        <v>1283.0947000000001</v>
      </c>
      <c r="D9" s="61">
        <f>-SCALARS!J$5</f>
        <v>0</v>
      </c>
      <c r="E9" s="61"/>
      <c r="F9" s="61"/>
      <c r="I9" s="46"/>
      <c r="J9" s="19"/>
      <c r="K9" s="8"/>
      <c r="M9" s="67"/>
    </row>
    <row r="10" spans="1:16" ht="15" customHeight="1">
      <c r="A10" s="1" t="str">
        <f>SCALARS!A11</f>
        <v>Thursday</v>
      </c>
      <c r="B10" s="28">
        <f>SCALARS!B11</f>
        <v>46086</v>
      </c>
      <c r="C10" s="61">
        <f>SCALARS!J11</f>
        <v>1283.1474000000001</v>
      </c>
      <c r="D10" s="61">
        <f>-SCALARS!J$5</f>
        <v>0</v>
      </c>
      <c r="E10" s="61"/>
      <c r="F10" s="61"/>
      <c r="I10" s="46"/>
      <c r="J10" s="19"/>
      <c r="K10" s="8"/>
      <c r="M10" s="67"/>
    </row>
    <row r="11" spans="1:16" ht="15" customHeight="1">
      <c r="A11" s="1" t="str">
        <f>SCALARS!A12</f>
        <v>Friday</v>
      </c>
      <c r="B11" s="28">
        <f>SCALARS!B12</f>
        <v>46087</v>
      </c>
      <c r="C11" s="61">
        <f>SCALARS!J12</f>
        <v>1283.2001</v>
      </c>
      <c r="D11" s="61">
        <f>-SCALARS!J$5</f>
        <v>0</v>
      </c>
      <c r="E11" s="61"/>
      <c r="F11" s="61"/>
      <c r="G11" s="6"/>
      <c r="I11" s="58"/>
      <c r="J11" s="19"/>
      <c r="K11" s="8"/>
      <c r="M11" s="67"/>
    </row>
    <row r="12" spans="1:16" ht="15" customHeight="1">
      <c r="A12" s="1" t="str">
        <f>SCALARS!A13</f>
        <v>Saturday</v>
      </c>
      <c r="B12" s="28">
        <f>SCALARS!B13</f>
        <v>46088</v>
      </c>
      <c r="C12" s="61">
        <f>SCALARS!J13</f>
        <v>1283.2528</v>
      </c>
      <c r="D12" s="61">
        <f>-SCALARS!J$5</f>
        <v>0</v>
      </c>
      <c r="E12" s="61"/>
      <c r="F12" s="61"/>
      <c r="G12" s="6"/>
      <c r="I12" s="58"/>
      <c r="J12" s="19"/>
      <c r="K12" s="8"/>
      <c r="M12" s="67"/>
    </row>
    <row r="13" spans="1:16" ht="15" customHeight="1">
      <c r="A13" s="1" t="str">
        <f>SCALARS!A14</f>
        <v>Sunday</v>
      </c>
      <c r="B13" s="28">
        <f>SCALARS!B14</f>
        <v>46089</v>
      </c>
      <c r="C13" s="61">
        <f>SCALARS!J14</f>
        <v>1283.3054999999999</v>
      </c>
      <c r="D13" s="61">
        <f>-SCALARS!J$5</f>
        <v>0</v>
      </c>
      <c r="E13" s="61"/>
      <c r="F13" s="61"/>
      <c r="G13" s="6"/>
      <c r="I13" s="58"/>
      <c r="J13" s="19"/>
      <c r="K13" s="8"/>
      <c r="M13" s="67"/>
    </row>
    <row r="14" spans="1:16" ht="15" customHeight="1">
      <c r="A14" s="1" t="str">
        <f>SCALARS!A15</f>
        <v>Monday</v>
      </c>
      <c r="B14" s="28">
        <f>SCALARS!B15</f>
        <v>46090</v>
      </c>
      <c r="C14" s="61">
        <f>SCALARS!J15</f>
        <v>1283.3581999999999</v>
      </c>
      <c r="D14" s="61">
        <f>-SCALARS!J$5</f>
        <v>0</v>
      </c>
      <c r="E14" s="61">
        <f t="shared" ref="E14:E23" si="0">1/G14</f>
        <v>1283.3510863566946</v>
      </c>
      <c r="F14" s="106">
        <f>C14+D14-E14</f>
        <v>7.1136433052743087E-3</v>
      </c>
      <c r="G14" s="6">
        <v>7.7921000000000002E-4</v>
      </c>
      <c r="I14" s="58">
        <f>J14/K14</f>
        <v>0</v>
      </c>
      <c r="J14" s="19">
        <f>J11</f>
        <v>0</v>
      </c>
      <c r="K14" s="61">
        <v>156285.31299999999</v>
      </c>
      <c r="M14" s="67"/>
    </row>
    <row r="15" spans="1:16" ht="15" customHeight="1">
      <c r="A15" s="1" t="str">
        <f>SCALARS!A16</f>
        <v>Tuesday</v>
      </c>
      <c r="B15" s="28">
        <f>SCALARS!B16</f>
        <v>46091</v>
      </c>
      <c r="C15" s="61">
        <f>SCALARS!J16</f>
        <v>1283.4109000000001</v>
      </c>
      <c r="D15" s="61">
        <f>-SCALARS!J$5</f>
        <v>0</v>
      </c>
      <c r="E15" s="61">
        <f t="shared" si="0"/>
        <v>1283.4169693391686</v>
      </c>
      <c r="F15" s="106">
        <f t="shared" ref="F15:F78" si="1">C15+D15-E15</f>
        <v>-6.0693391685617826E-3</v>
      </c>
      <c r="G15" s="56">
        <v>7.7917000000000004E-4</v>
      </c>
      <c r="H15" s="4"/>
      <c r="I15" s="58">
        <f t="shared" ref="I15:I32" si="2">J15/K15</f>
        <v>0</v>
      </c>
      <c r="J15" s="63">
        <f>J14</f>
        <v>0</v>
      </c>
      <c r="K15" s="103">
        <v>156278.8903</v>
      </c>
      <c r="L15" s="4"/>
      <c r="M15" s="67"/>
    </row>
    <row r="16" spans="1:16" ht="15" customHeight="1">
      <c r="A16" s="1" t="str">
        <f>SCALARS!A17</f>
        <v>Wednesday</v>
      </c>
      <c r="B16" s="28">
        <f>SCALARS!B17</f>
        <v>46092</v>
      </c>
      <c r="C16" s="61">
        <f>SCALARS!J17</f>
        <v>1283.4636</v>
      </c>
      <c r="D16" s="61">
        <f>-SCALARS!J$5</f>
        <v>0</v>
      </c>
      <c r="E16" s="61">
        <f t="shared" si="0"/>
        <v>1283.4663860153503</v>
      </c>
      <c r="F16" s="106">
        <f t="shared" si="1"/>
        <v>-2.786015350238813E-3</v>
      </c>
      <c r="G16" s="56">
        <v>7.7914E-4</v>
      </c>
      <c r="H16" s="4"/>
      <c r="I16" s="58">
        <f t="shared" si="2"/>
        <v>1283.4640848466438</v>
      </c>
      <c r="J16" s="63">
        <v>200570100</v>
      </c>
      <c r="K16" s="103">
        <v>156272.46789999999</v>
      </c>
      <c r="L16" s="4"/>
      <c r="M16" s="67"/>
    </row>
    <row r="17" spans="1:13" ht="15" customHeight="1">
      <c r="A17" s="1" t="str">
        <f>SCALARS!A18</f>
        <v>Thursday</v>
      </c>
      <c r="B17" s="28">
        <f>SCALARS!B18</f>
        <v>46093</v>
      </c>
      <c r="C17" s="61">
        <f>SCALARS!J18</f>
        <v>1283.5163</v>
      </c>
      <c r="D17" s="61">
        <f>-SCALARS!J$5</f>
        <v>0</v>
      </c>
      <c r="E17" s="61">
        <f t="shared" si="0"/>
        <v>1283.515806497157</v>
      </c>
      <c r="F17" s="106">
        <f t="shared" si="1"/>
        <v>4.9350284302818181E-4</v>
      </c>
      <c r="G17" s="56">
        <v>7.7910999999999996E-4</v>
      </c>
      <c r="I17" s="58">
        <f t="shared" si="2"/>
        <v>1283.5168323138262</v>
      </c>
      <c r="J17" s="19">
        <v>200280100</v>
      </c>
      <c r="K17" s="61">
        <v>156040.10399999999</v>
      </c>
      <c r="M17" s="67"/>
    </row>
    <row r="18" spans="1:13" ht="15" customHeight="1">
      <c r="A18" s="1" t="str">
        <f>SCALARS!A19</f>
        <v>Friday</v>
      </c>
      <c r="B18" s="28">
        <f>SCALARS!B19</f>
        <v>46094</v>
      </c>
      <c r="C18" s="61">
        <f>SCALARS!J19</f>
        <v>1283.569</v>
      </c>
      <c r="D18" s="61">
        <f>-SCALARS!J$5</f>
        <v>0</v>
      </c>
      <c r="E18" s="61">
        <f t="shared" si="0"/>
        <v>1283.5652307850285</v>
      </c>
      <c r="F18" s="106">
        <f t="shared" si="1"/>
        <v>3.7692149714985135E-3</v>
      </c>
      <c r="G18" s="56">
        <v>7.7908000000000003E-4</v>
      </c>
      <c r="I18" s="58">
        <f t="shared" si="2"/>
        <v>1283.5695814880494</v>
      </c>
      <c r="J18" s="19">
        <v>200100100</v>
      </c>
      <c r="K18" s="61">
        <v>155893.45749999999</v>
      </c>
      <c r="M18" s="67"/>
    </row>
    <row r="19" spans="1:13" ht="15" customHeight="1">
      <c r="A19" s="1" t="str">
        <f>SCALARS!A20</f>
        <v>Saturday</v>
      </c>
      <c r="B19" s="28">
        <f>SCALARS!B20</f>
        <v>46095</v>
      </c>
      <c r="C19" s="61">
        <f>SCALARS!J20</f>
        <v>1283.6216999999999</v>
      </c>
      <c r="D19" s="61">
        <f>-SCALARS!J$5</f>
        <v>0</v>
      </c>
      <c r="E19" s="61"/>
      <c r="F19" s="106"/>
      <c r="G19" s="56"/>
      <c r="I19" s="58"/>
      <c r="J19" s="19"/>
      <c r="K19" s="61"/>
      <c r="M19" s="67"/>
    </row>
    <row r="20" spans="1:13" ht="15" customHeight="1">
      <c r="A20" s="1" t="str">
        <f>SCALARS!A21</f>
        <v>Sunday</v>
      </c>
      <c r="B20" s="28">
        <f>SCALARS!B21</f>
        <v>46096</v>
      </c>
      <c r="C20" s="61">
        <f>SCALARS!J21</f>
        <v>1283.6745000000001</v>
      </c>
      <c r="D20" s="61">
        <f>-SCALARS!J$5</f>
        <v>0</v>
      </c>
      <c r="E20" s="61"/>
      <c r="F20" s="106"/>
      <c r="G20" s="56"/>
      <c r="I20" s="58"/>
      <c r="J20" s="19"/>
      <c r="K20" s="61"/>
      <c r="M20" s="67"/>
    </row>
    <row r="21" spans="1:13" ht="15" customHeight="1">
      <c r="A21" s="1" t="str">
        <f>SCALARS!A22</f>
        <v>Monday</v>
      </c>
      <c r="B21" s="28">
        <f>SCALARS!B22</f>
        <v>46097</v>
      </c>
      <c r="C21" s="61">
        <f>SCALARS!J22</f>
        <v>1283.7273</v>
      </c>
      <c r="D21" s="61">
        <f>-SCALARS!J$5</f>
        <v>0</v>
      </c>
      <c r="E21" s="61">
        <f t="shared" si="0"/>
        <v>1283.7300059051581</v>
      </c>
      <c r="F21" s="106">
        <f t="shared" si="1"/>
        <v>-2.7059051581090898E-3</v>
      </c>
      <c r="G21" s="56">
        <v>7.7897999999999997E-4</v>
      </c>
      <c r="I21" s="58">
        <f t="shared" si="2"/>
        <v>1283.7278431996958</v>
      </c>
      <c r="J21" s="19">
        <v>200100100</v>
      </c>
      <c r="K21" s="61">
        <v>155874.23850000001</v>
      </c>
      <c r="M21" s="67"/>
    </row>
    <row r="22" spans="1:13" ht="15" customHeight="1">
      <c r="A22" s="1" t="str">
        <f>SCALARS!A23</f>
        <v>Tuesday</v>
      </c>
      <c r="B22" s="28">
        <f>SCALARS!B23</f>
        <v>46098</v>
      </c>
      <c r="C22" s="61">
        <f>SCALARS!J23</f>
        <v>1283.7800999999999</v>
      </c>
      <c r="D22" s="61">
        <f>-SCALARS!J$5</f>
        <v>0</v>
      </c>
      <c r="E22" s="61">
        <f t="shared" si="0"/>
        <v>1283.7794466910584</v>
      </c>
      <c r="F22" s="106">
        <f t="shared" si="1"/>
        <v>6.5330894153703412E-4</v>
      </c>
      <c r="G22" s="56">
        <v>7.7895000000000004E-4</v>
      </c>
      <c r="I22" s="58">
        <f t="shared" si="2"/>
        <v>1283.7806013838288</v>
      </c>
      <c r="J22" s="19">
        <v>200100100</v>
      </c>
      <c r="K22" s="61">
        <v>155867.8327</v>
      </c>
      <c r="M22" s="67"/>
    </row>
    <row r="23" spans="1:13" ht="15" customHeight="1">
      <c r="A23" s="1" t="str">
        <f>SCALARS!A24</f>
        <v>Wednesday</v>
      </c>
      <c r="B23" s="28">
        <f>SCALARS!B24</f>
        <v>46099</v>
      </c>
      <c r="C23" s="61">
        <f>SCALARS!J24</f>
        <v>1283.8329000000001</v>
      </c>
      <c r="D23" s="61">
        <f>-SCALARS!J$5</f>
        <v>0</v>
      </c>
      <c r="E23" s="61">
        <f t="shared" si="0"/>
        <v>1283.8288912853695</v>
      </c>
      <c r="F23" s="106">
        <f t="shared" si="1"/>
        <v>4.0087146305722854E-3</v>
      </c>
      <c r="G23" s="56">
        <v>7.7892E-4</v>
      </c>
      <c r="I23" s="58">
        <f t="shared" si="2"/>
        <v>1283.8333614335079</v>
      </c>
      <c r="J23" s="19">
        <v>200100100</v>
      </c>
      <c r="K23" s="61">
        <v>155861.42720000001</v>
      </c>
      <c r="M23" s="67"/>
    </row>
    <row r="24" spans="1:13" ht="15" customHeight="1">
      <c r="A24" s="1" t="str">
        <f>SCALARS!A25</f>
        <v>Thursday</v>
      </c>
      <c r="B24" s="28">
        <f>SCALARS!B25</f>
        <v>46100</v>
      </c>
      <c r="C24" s="61">
        <f>SCALARS!J25</f>
        <v>1283.8857</v>
      </c>
      <c r="D24" s="61">
        <f>-SCALARS!J$5</f>
        <v>0</v>
      </c>
      <c r="E24" s="61">
        <f t="shared" ref="E24" si="3">1/G24</f>
        <v>1283.8783396885312</v>
      </c>
      <c r="F24" s="106">
        <f t="shared" si="1"/>
        <v>7.3603114688012283E-3</v>
      </c>
      <c r="G24" s="56">
        <v>7.7888999999999996E-4</v>
      </c>
      <c r="I24" s="58">
        <f t="shared" si="2"/>
        <v>1283.8861242192793</v>
      </c>
      <c r="J24" s="19">
        <v>199760100</v>
      </c>
      <c r="K24" s="61">
        <v>155590.2009</v>
      </c>
      <c r="M24" s="67"/>
    </row>
    <row r="25" spans="1:13" ht="15" customHeight="1">
      <c r="A25" s="1" t="str">
        <f>SCALARS!A26</f>
        <v>Friday</v>
      </c>
      <c r="B25" s="28">
        <f>SCALARS!B26</f>
        <v>46101</v>
      </c>
      <c r="C25" s="61">
        <f>SCALARS!J26</f>
        <v>1283.9385</v>
      </c>
      <c r="D25" s="61">
        <f>-SCALARS!J$5</f>
        <v>0</v>
      </c>
      <c r="E25" s="61">
        <f t="shared" ref="E25" si="4">1/G25</f>
        <v>1283.944276818386</v>
      </c>
      <c r="F25" s="106">
        <f t="shared" si="1"/>
        <v>-5.7768183860389399E-3</v>
      </c>
      <c r="G25" s="56">
        <v>7.7884999999999999E-4</v>
      </c>
      <c r="I25" s="58">
        <f t="shared" si="2"/>
        <v>1283.9388884621992</v>
      </c>
      <c r="J25" s="19">
        <v>199660100</v>
      </c>
      <c r="K25" s="61">
        <v>155505.9215</v>
      </c>
      <c r="M25" s="67"/>
    </row>
    <row r="26" spans="1:13" ht="15" customHeight="1">
      <c r="A26" s="1" t="str">
        <f>SCALARS!A27</f>
        <v>Saturday</v>
      </c>
      <c r="B26" s="28">
        <f>SCALARS!B27</f>
        <v>46102</v>
      </c>
      <c r="C26" s="61">
        <f>SCALARS!J27</f>
        <v>1283.9912999999999</v>
      </c>
      <c r="D26" s="61">
        <f>-SCALARS!J$5</f>
        <v>0</v>
      </c>
      <c r="E26" s="61"/>
      <c r="F26" s="106"/>
      <c r="I26" s="58"/>
      <c r="J26" s="19"/>
      <c r="K26" s="61"/>
      <c r="M26" s="67"/>
    </row>
    <row r="27" spans="1:13" ht="15" customHeight="1">
      <c r="A27" s="1" t="str">
        <f>SCALARS!A28</f>
        <v>Sunday</v>
      </c>
      <c r="B27" s="28">
        <f>SCALARS!B28</f>
        <v>46103</v>
      </c>
      <c r="C27" s="61">
        <f>SCALARS!J28</f>
        <v>1284.0441000000001</v>
      </c>
      <c r="D27" s="61">
        <f>-SCALARS!J$5</f>
        <v>0</v>
      </c>
      <c r="E27" s="61"/>
      <c r="F27" s="106"/>
      <c r="I27" s="58"/>
      <c r="J27" s="19"/>
      <c r="K27" s="61"/>
      <c r="M27" s="67"/>
    </row>
    <row r="28" spans="1:13" ht="15" customHeight="1">
      <c r="A28" s="1" t="str">
        <f>SCALARS!A29</f>
        <v>Monday</v>
      </c>
      <c r="B28" s="28">
        <f>SCALARS!B29</f>
        <v>46104</v>
      </c>
      <c r="C28" s="61">
        <f>SCALARS!J29</f>
        <v>1284.0969</v>
      </c>
      <c r="D28" s="61">
        <f>-SCALARS!J$5</f>
        <v>0</v>
      </c>
      <c r="E28" s="61"/>
      <c r="F28" s="106"/>
      <c r="G28" s="56"/>
      <c r="I28" s="58"/>
      <c r="J28" s="19"/>
      <c r="K28" s="61"/>
      <c r="M28" s="67"/>
    </row>
    <row r="29" spans="1:13" ht="15" customHeight="1">
      <c r="A29" s="1" t="str">
        <f>SCALARS!A30</f>
        <v>Tuesday</v>
      </c>
      <c r="B29" s="28">
        <f>SCALARS!B30</f>
        <v>46105</v>
      </c>
      <c r="C29" s="61">
        <f>SCALARS!J30</f>
        <v>1284.1496999999999</v>
      </c>
      <c r="D29" s="61">
        <f>-SCALARS!J$5</f>
        <v>0</v>
      </c>
      <c r="E29" s="61">
        <f t="shared" ref="E29" si="5">1/G29</f>
        <v>1284.1421288508211</v>
      </c>
      <c r="F29" s="106">
        <f t="shared" si="1"/>
        <v>7.571149178829728E-3</v>
      </c>
      <c r="G29" s="56">
        <v>7.7873000000000005E-4</v>
      </c>
      <c r="I29" s="58">
        <f t="shared" si="2"/>
        <v>1284.1499685371489</v>
      </c>
      <c r="J29" s="19">
        <v>199190100</v>
      </c>
      <c r="K29" s="61">
        <v>155114.3596</v>
      </c>
      <c r="M29" s="67"/>
    </row>
    <row r="30" spans="1:13" ht="15" customHeight="1">
      <c r="A30" s="1" t="str">
        <f>SCALARS!A31</f>
        <v>Wednesday</v>
      </c>
      <c r="B30" s="28">
        <f>SCALARS!B31</f>
        <v>46106</v>
      </c>
      <c r="C30" s="61">
        <f>SCALARS!J31</f>
        <v>1284.2025000000001</v>
      </c>
      <c r="D30" s="61">
        <f>-SCALARS!J$5</f>
        <v>0</v>
      </c>
      <c r="E30" s="61">
        <f t="shared" ref="E30" si="6">1/G30</f>
        <v>1284.2080930794027</v>
      </c>
      <c r="F30" s="106">
        <f t="shared" si="1"/>
        <v>-5.5930794026153308E-3</v>
      </c>
      <c r="G30" s="56">
        <v>7.7868999999999996E-4</v>
      </c>
      <c r="I30" s="58">
        <f t="shared" si="2"/>
        <v>1284.2027443010109</v>
      </c>
      <c r="J30" s="19">
        <v>199190100</v>
      </c>
      <c r="K30" s="61">
        <v>155107.98499999999</v>
      </c>
      <c r="M30" s="67"/>
    </row>
    <row r="31" spans="1:13" ht="15" customHeight="1">
      <c r="A31" s="1" t="str">
        <f>SCALARS!A32</f>
        <v>Thursday</v>
      </c>
      <c r="B31" s="28">
        <f>SCALARS!B32</f>
        <v>46107</v>
      </c>
      <c r="C31" s="61">
        <f>SCALARS!J32</f>
        <v>1284.2553</v>
      </c>
      <c r="D31" s="61">
        <f>-SCALARS!J$5</f>
        <v>0</v>
      </c>
      <c r="E31" s="61">
        <f t="shared" ref="E31" si="7">1/G31</f>
        <v>1284.2575706983791</v>
      </c>
      <c r="F31" s="106">
        <f t="shared" si="1"/>
        <v>-2.2706983791067614E-3</v>
      </c>
      <c r="G31" s="56">
        <v>7.7866000000000003E-4</v>
      </c>
      <c r="I31" s="58">
        <f t="shared" si="2"/>
        <v>1284.255521918961</v>
      </c>
      <c r="J31" s="19">
        <v>199190100</v>
      </c>
      <c r="K31" s="61">
        <v>155101.61069999999</v>
      </c>
      <c r="M31" s="67"/>
    </row>
    <row r="32" spans="1:13" ht="15" customHeight="1">
      <c r="A32" s="1" t="str">
        <f>SCALARS!A33</f>
        <v>Friday</v>
      </c>
      <c r="B32" s="28">
        <f>SCALARS!B33</f>
        <v>46108</v>
      </c>
      <c r="C32" s="61">
        <f>SCALARS!J33</f>
        <v>1284.3081</v>
      </c>
      <c r="D32" s="61">
        <f>-SCALARS!J$5</f>
        <v>0</v>
      </c>
      <c r="E32" s="61">
        <f t="shared" ref="E32" si="8">1/G32</f>
        <v>1284.3070521300233</v>
      </c>
      <c r="F32" s="106">
        <f t="shared" si="1"/>
        <v>1.0478699766736099E-3</v>
      </c>
      <c r="G32" s="56">
        <v>7.7862999999999999E-4</v>
      </c>
      <c r="I32" s="58">
        <f t="shared" si="2"/>
        <v>1284.3083018554892</v>
      </c>
      <c r="J32" s="19">
        <v>198720100</v>
      </c>
      <c r="K32" s="61">
        <v>154729.28090000001</v>
      </c>
      <c r="M32" s="67"/>
    </row>
    <row r="33" spans="1:13" ht="15" customHeight="1">
      <c r="A33" s="1" t="str">
        <f>SCALARS!A34</f>
        <v>Saturday</v>
      </c>
      <c r="B33" s="28">
        <f>SCALARS!B34</f>
        <v>46109</v>
      </c>
      <c r="C33" s="61">
        <f>SCALARS!J34</f>
        <v>1284.3608999999999</v>
      </c>
      <c r="D33" s="61">
        <f>-SCALARS!J$5</f>
        <v>0</v>
      </c>
      <c r="E33" s="61"/>
      <c r="F33" s="106"/>
      <c r="I33" s="58"/>
      <c r="J33" s="19"/>
      <c r="K33" s="61"/>
      <c r="M33" s="67"/>
    </row>
    <row r="34" spans="1:13" ht="15" customHeight="1">
      <c r="A34" s="1" t="str">
        <f>SCALARS!A35</f>
        <v>Sunday</v>
      </c>
      <c r="B34" s="28">
        <f>SCALARS!B35</f>
        <v>46110</v>
      </c>
      <c r="C34" s="61">
        <f>SCALARS!J35</f>
        <v>1284.4137000000001</v>
      </c>
      <c r="D34" s="61">
        <f>-SCALARS!J$5</f>
        <v>0</v>
      </c>
      <c r="E34" s="61"/>
      <c r="F34" s="106"/>
      <c r="I34" s="58"/>
      <c r="J34" s="19"/>
      <c r="K34" s="61"/>
      <c r="M34" s="67"/>
    </row>
    <row r="35" spans="1:13" ht="15" customHeight="1">
      <c r="A35" s="1" t="str">
        <f>SCALARS!A36</f>
        <v>Monday</v>
      </c>
      <c r="B35" s="28">
        <f>SCALARS!B36</f>
        <v>46111</v>
      </c>
      <c r="C35" s="61">
        <f>SCALARS!J36</f>
        <v>1284.4665</v>
      </c>
      <c r="D35" s="61">
        <f>-SCALARS!J$5</f>
        <v>0</v>
      </c>
      <c r="E35" s="61">
        <f t="shared" ref="E35" si="9">1/G35</f>
        <v>1284.4720177770926</v>
      </c>
      <c r="F35" s="106">
        <f t="shared" si="1"/>
        <v>-5.517777092563847E-3</v>
      </c>
      <c r="G35" s="56">
        <v>7.7853000000000004E-4</v>
      </c>
      <c r="I35" s="58">
        <f t="shared" ref="I35" si="10">J35/K35</f>
        <v>1284.4666540113928</v>
      </c>
      <c r="J35" s="19">
        <v>198720100</v>
      </c>
      <c r="K35" s="61">
        <v>154710.20550000001</v>
      </c>
      <c r="M35" s="67"/>
    </row>
    <row r="36" spans="1:13" ht="15" customHeight="1">
      <c r="A36" s="1" t="str">
        <f>SCALARS!A37</f>
        <v>Tuesday</v>
      </c>
      <c r="B36" s="28">
        <f>SCALARS!B37</f>
        <v>46112</v>
      </c>
      <c r="C36" s="61">
        <f>SCALARS!J37</f>
        <v>1284.5192999999999</v>
      </c>
      <c r="D36" s="61">
        <f>-SCALARS!J$5</f>
        <v>0</v>
      </c>
      <c r="E36" s="61">
        <f t="shared" ref="E36:E65" si="11">1/G36</f>
        <v>1284.5215157353887</v>
      </c>
      <c r="F36" s="106">
        <f t="shared" si="1"/>
        <v>-2.2157353887450881E-3</v>
      </c>
      <c r="G36" s="56">
        <v>7.785E-4</v>
      </c>
      <c r="I36" s="58">
        <f t="shared" ref="I36:I65" si="12">J36/K36</f>
        <v>1284.5194420361656</v>
      </c>
      <c r="J36" s="19">
        <v>198720100</v>
      </c>
      <c r="K36" s="61">
        <v>154703.84760000001</v>
      </c>
      <c r="M36" s="67"/>
    </row>
    <row r="37" spans="1:13" ht="15" customHeight="1">
      <c r="A37" s="1" t="str">
        <f>SCALARS!A38</f>
        <v>Wednesday</v>
      </c>
      <c r="B37" s="28">
        <f>SCALARS!B38</f>
        <v>46113</v>
      </c>
      <c r="C37" s="61">
        <f>SCALARS!J38</f>
        <v>1284.5721000000001</v>
      </c>
      <c r="D37" s="61">
        <f>-SCALARS!J$5</f>
        <v>0</v>
      </c>
      <c r="E37" s="61">
        <f t="shared" si="11"/>
        <v>1284.5710175087031</v>
      </c>
      <c r="F37" s="106">
        <f t="shared" si="1"/>
        <v>1.0824912969837897E-3</v>
      </c>
      <c r="G37" s="56">
        <v>7.7846999999999996E-4</v>
      </c>
      <c r="I37" s="58">
        <f t="shared" si="12"/>
        <v>1284.5722327392464</v>
      </c>
      <c r="J37" s="19">
        <v>198720100</v>
      </c>
      <c r="K37" s="61">
        <v>154697.48989999999</v>
      </c>
      <c r="M37" s="67"/>
    </row>
    <row r="38" spans="1:13" ht="15" customHeight="1">
      <c r="A38" s="1" t="str">
        <f>SCALARS!A39</f>
        <v>Thursday</v>
      </c>
      <c r="B38" s="28">
        <f>SCALARS!B39</f>
        <v>46114</v>
      </c>
      <c r="C38" s="61">
        <f>SCALARS!J39</f>
        <v>1284.6249</v>
      </c>
      <c r="D38" s="61">
        <f>-SCALARS!J$5</f>
        <v>0</v>
      </c>
      <c r="E38" s="61">
        <f t="shared" si="11"/>
        <v>1284.620523097477</v>
      </c>
      <c r="F38" s="106">
        <f t="shared" si="1"/>
        <v>4.3769025230631087E-3</v>
      </c>
      <c r="G38" s="56">
        <v>7.7844000000000003E-4</v>
      </c>
      <c r="I38" s="58">
        <f t="shared" si="12"/>
        <v>1284.6250259725102</v>
      </c>
      <c r="J38" s="19">
        <v>198470100</v>
      </c>
      <c r="K38" s="61">
        <v>154496.52309999999</v>
      </c>
      <c r="M38" s="67"/>
    </row>
    <row r="39" spans="1:13" ht="15" customHeight="1">
      <c r="A39" s="1" t="str">
        <f>SCALARS!A40</f>
        <v>Friday</v>
      </c>
      <c r="B39" s="28">
        <f>SCALARS!B40</f>
        <v>46115</v>
      </c>
      <c r="C39" s="61">
        <f>SCALARS!J40</f>
        <v>1284.6777</v>
      </c>
      <c r="D39" s="61">
        <f>-SCALARS!J$5</f>
        <v>0</v>
      </c>
      <c r="E39" s="61"/>
      <c r="F39" s="106"/>
      <c r="G39" s="56"/>
      <c r="I39" s="58"/>
      <c r="J39" s="19"/>
      <c r="K39" s="61"/>
      <c r="M39" s="67"/>
    </row>
    <row r="40" spans="1:13" ht="15" customHeight="1">
      <c r="A40" s="1" t="str">
        <f>SCALARS!A41</f>
        <v>Saturday</v>
      </c>
      <c r="B40" s="28">
        <f>SCALARS!B41</f>
        <v>46116</v>
      </c>
      <c r="C40" s="61">
        <f>SCALARS!J41</f>
        <v>1284.7304999999999</v>
      </c>
      <c r="D40" s="61">
        <f>-SCALARS!J$5</f>
        <v>0</v>
      </c>
      <c r="E40" s="61"/>
      <c r="F40" s="106"/>
      <c r="G40" s="56"/>
      <c r="I40" s="58"/>
      <c r="J40" s="19"/>
      <c r="K40" s="61"/>
      <c r="M40" s="67"/>
    </row>
    <row r="41" spans="1:13" ht="15" customHeight="1">
      <c r="A41" s="1" t="str">
        <f>SCALARS!A42</f>
        <v>Sunday</v>
      </c>
      <c r="B41" s="28">
        <f>SCALARS!B42</f>
        <v>46117</v>
      </c>
      <c r="C41" s="61">
        <f>SCALARS!J42</f>
        <v>1284.7833000000001</v>
      </c>
      <c r="D41" s="61">
        <f>-SCALARS!J$5</f>
        <v>0</v>
      </c>
      <c r="E41" s="61"/>
      <c r="F41" s="106"/>
      <c r="G41" s="56"/>
      <c r="I41" s="58"/>
      <c r="J41" s="19"/>
      <c r="K41" s="61"/>
      <c r="M41" s="67"/>
    </row>
    <row r="42" spans="1:13" ht="15" customHeight="1">
      <c r="A42" s="1" t="str">
        <f>SCALARS!A43</f>
        <v>Monday</v>
      </c>
      <c r="B42" s="28">
        <f>SCALARS!B43</f>
        <v>46118</v>
      </c>
      <c r="C42" s="61">
        <f>SCALARS!J43</f>
        <v>1284.8361</v>
      </c>
      <c r="D42" s="61">
        <f>-SCALARS!J$5</f>
        <v>0</v>
      </c>
      <c r="E42" s="61">
        <f t="shared" si="11"/>
        <v>1284.8350914160167</v>
      </c>
      <c r="F42" s="106">
        <f t="shared" si="1"/>
        <v>1.008583983320932E-3</v>
      </c>
      <c r="G42" s="56">
        <v>7.7831000000000005E-4</v>
      </c>
      <c r="I42" s="58">
        <f t="shared" si="12"/>
        <v>1284.8362187139594</v>
      </c>
      <c r="J42" s="19">
        <v>198470100</v>
      </c>
      <c r="K42" s="61">
        <v>154471.128</v>
      </c>
      <c r="M42" s="67"/>
    </row>
    <row r="43" spans="1:13" ht="15" customHeight="1">
      <c r="A43" s="1" t="str">
        <f>SCALARS!A44</f>
        <v>Tuesday</v>
      </c>
      <c r="B43" s="28">
        <f>SCALARS!B44</f>
        <v>46119</v>
      </c>
      <c r="C43" s="61">
        <f>SCALARS!J44</f>
        <v>1284.8888999999999</v>
      </c>
      <c r="D43" s="61">
        <f>-SCALARS!J$5</f>
        <v>0</v>
      </c>
      <c r="E43" s="61">
        <f t="shared" si="11"/>
        <v>1284.8846173613608</v>
      </c>
      <c r="F43" s="106">
        <f t="shared" si="1"/>
        <v>4.2826386390970583E-3</v>
      </c>
      <c r="G43" s="56">
        <v>7.7828000000000001E-4</v>
      </c>
      <c r="I43" s="58">
        <f t="shared" si="12"/>
        <v>1284.8890221349418</v>
      </c>
      <c r="J43" s="19">
        <v>198470100</v>
      </c>
      <c r="K43" s="61">
        <v>154464.77989999999</v>
      </c>
      <c r="M43" s="67"/>
    </row>
    <row r="44" spans="1:13" ht="15" customHeight="1">
      <c r="A44" s="1" t="str">
        <f>SCALARS!A45</f>
        <v>Wednesday</v>
      </c>
      <c r="B44" s="28">
        <f>SCALARS!B45</f>
        <v>46120</v>
      </c>
      <c r="C44" s="61">
        <f>SCALARS!J45</f>
        <v>1284.9417000000001</v>
      </c>
      <c r="D44" s="61">
        <f>-SCALARS!J$5</f>
        <v>0</v>
      </c>
      <c r="E44" s="61">
        <f t="shared" si="11"/>
        <v>1284.93414712496</v>
      </c>
      <c r="F44" s="106">
        <f t="shared" si="1"/>
        <v>7.5528750401190337E-3</v>
      </c>
      <c r="G44" s="56">
        <v>7.7824999999999997E-4</v>
      </c>
      <c r="I44" s="58">
        <f t="shared" si="12"/>
        <v>1284.9418284723761</v>
      </c>
      <c r="J44" s="19">
        <v>197690100</v>
      </c>
      <c r="K44" s="61">
        <v>153851.40059999999</v>
      </c>
      <c r="M44" s="67"/>
    </row>
    <row r="45" spans="1:13" ht="15" customHeight="1">
      <c r="A45" s="1" t="str">
        <f>SCALARS!A46</f>
        <v>Thursday</v>
      </c>
      <c r="B45" s="28">
        <f>SCALARS!B46</f>
        <v>46121</v>
      </c>
      <c r="C45" s="61">
        <f>SCALARS!J46</f>
        <v>1284.9945</v>
      </c>
      <c r="D45" s="61">
        <f>-SCALARS!J$5</f>
        <v>0</v>
      </c>
      <c r="E45" s="61">
        <f t="shared" si="11"/>
        <v>1285.0001927500289</v>
      </c>
      <c r="F45" s="106">
        <f t="shared" si="1"/>
        <v>-5.692750028856608E-3</v>
      </c>
      <c r="G45" s="56">
        <v>7.7820999999999999E-4</v>
      </c>
      <c r="I45" s="58">
        <f t="shared" si="12"/>
        <v>1284.9946361927975</v>
      </c>
      <c r="J45" s="19">
        <v>197490100</v>
      </c>
      <c r="K45" s="61">
        <v>153689.43530000001</v>
      </c>
      <c r="M45" s="67"/>
    </row>
    <row r="46" spans="1:13" ht="15" customHeight="1">
      <c r="A46" s="1" t="str">
        <f>SCALARS!A47</f>
        <v>Friday</v>
      </c>
      <c r="B46" s="28">
        <f>SCALARS!B47</f>
        <v>46122</v>
      </c>
      <c r="C46" s="61">
        <f>SCALARS!J47</f>
        <v>1285.0473</v>
      </c>
      <c r="D46" s="61">
        <f>-SCALARS!J$5</f>
        <v>0</v>
      </c>
      <c r="E46" s="61">
        <f t="shared" si="11"/>
        <v>1285.0497314246063</v>
      </c>
      <c r="F46" s="106">
        <f t="shared" si="1"/>
        <v>-2.4314246063568135E-3</v>
      </c>
      <c r="G46" s="56">
        <v>7.7817999999999995E-4</v>
      </c>
      <c r="I46" s="58">
        <f t="shared" si="12"/>
        <v>1285.0474463267874</v>
      </c>
      <c r="J46" s="19">
        <v>197490100</v>
      </c>
      <c r="K46" s="61">
        <v>153683.11929999999</v>
      </c>
      <c r="M46" s="67"/>
    </row>
    <row r="47" spans="1:13" ht="15" customHeight="1">
      <c r="A47" s="1" t="str">
        <f>SCALARS!A48</f>
        <v>Saturday</v>
      </c>
      <c r="B47" s="28">
        <f>SCALARS!B48</f>
        <v>46123</v>
      </c>
      <c r="C47" s="61">
        <f>SCALARS!J48</f>
        <v>1285.1001000000001</v>
      </c>
      <c r="D47" s="61">
        <f>-SCALARS!J$5</f>
        <v>0</v>
      </c>
      <c r="E47" s="61"/>
      <c r="F47" s="106"/>
      <c r="G47" s="56"/>
      <c r="I47" s="58"/>
      <c r="J47" s="19"/>
      <c r="K47" s="61"/>
      <c r="M47" s="67"/>
    </row>
    <row r="48" spans="1:13" ht="15" customHeight="1">
      <c r="A48" s="1" t="str">
        <f>SCALARS!A49</f>
        <v>Sunday</v>
      </c>
      <c r="B48" s="28">
        <f>SCALARS!B49</f>
        <v>46124</v>
      </c>
      <c r="C48" s="61">
        <f>SCALARS!J49</f>
        <v>1285.1529</v>
      </c>
      <c r="D48" s="61">
        <f>-SCALARS!J$5</f>
        <v>0</v>
      </c>
      <c r="E48" s="61"/>
      <c r="F48" s="106"/>
      <c r="G48" s="56"/>
      <c r="I48" s="58"/>
      <c r="J48" s="19"/>
      <c r="K48" s="61"/>
      <c r="M48" s="67"/>
    </row>
    <row r="49" spans="1:13" ht="15" customHeight="1">
      <c r="A49" s="1" t="str">
        <f>SCALARS!A50</f>
        <v>Monday</v>
      </c>
      <c r="B49" s="28">
        <f>SCALARS!B50</f>
        <v>46125</v>
      </c>
      <c r="C49" s="61">
        <f>SCALARS!J50</f>
        <v>1285.2057</v>
      </c>
      <c r="D49" s="61">
        <f>-SCALARS!J$5</f>
        <v>0</v>
      </c>
      <c r="E49" s="61">
        <f t="shared" si="11"/>
        <v>1285.1983703684664</v>
      </c>
      <c r="F49" s="106">
        <f t="shared" si="1"/>
        <v>7.3296315335937834E-3</v>
      </c>
      <c r="G49" s="56">
        <v>7.7809000000000005E-4</v>
      </c>
      <c r="I49" s="58">
        <f t="shared" si="12"/>
        <v>1285.2058902307774</v>
      </c>
      <c r="J49" s="19">
        <v>197490100</v>
      </c>
      <c r="K49" s="61">
        <v>153664.1728</v>
      </c>
      <c r="M49" s="67"/>
    </row>
    <row r="50" spans="1:13" ht="15" customHeight="1">
      <c r="A50" s="1" t="str">
        <f>SCALARS!A51</f>
        <v>Tuesday</v>
      </c>
      <c r="B50" s="28">
        <f>SCALARS!B51</f>
        <v>46126</v>
      </c>
      <c r="C50" s="61">
        <f>SCALARS!J51</f>
        <v>1285.2584999999999</v>
      </c>
      <c r="D50" s="61">
        <f>-SCALARS!J$5</f>
        <v>0</v>
      </c>
      <c r="E50" s="61">
        <f t="shared" si="11"/>
        <v>1285.26444315918</v>
      </c>
      <c r="F50" s="106">
        <f t="shared" si="1"/>
        <v>-5.9431591801057948E-3</v>
      </c>
      <c r="G50" s="56">
        <v>7.7804999999999997E-4</v>
      </c>
      <c r="I50" s="58">
        <f t="shared" si="12"/>
        <v>1285.2587091513783</v>
      </c>
      <c r="J50" s="19">
        <v>196820100</v>
      </c>
      <c r="K50" s="61">
        <v>153136.56200000001</v>
      </c>
      <c r="M50" s="67"/>
    </row>
    <row r="51" spans="1:13" ht="15" customHeight="1">
      <c r="A51" s="1" t="str">
        <f>SCALARS!A52</f>
        <v>Wednesday</v>
      </c>
      <c r="B51" s="28">
        <f>SCALARS!B52</f>
        <v>46127</v>
      </c>
      <c r="C51" s="61">
        <f>SCALARS!J52</f>
        <v>1285.3113000000001</v>
      </c>
      <c r="D51" s="61">
        <f>-SCALARS!J$5</f>
        <v>0</v>
      </c>
      <c r="E51" s="61">
        <f t="shared" si="11"/>
        <v>1285.31400221074</v>
      </c>
      <c r="F51" s="106">
        <f t="shared" si="1"/>
        <v>-2.7022107399261586E-3</v>
      </c>
      <c r="G51" s="56">
        <v>7.7802000000000004E-4</v>
      </c>
      <c r="I51" s="58">
        <f t="shared" si="12"/>
        <v>1285.3115294733943</v>
      </c>
      <c r="J51" s="19">
        <v>196820100</v>
      </c>
      <c r="K51" s="61">
        <v>153130.26879999999</v>
      </c>
      <c r="M51" s="67"/>
    </row>
    <row r="52" spans="1:13" ht="15" customHeight="1">
      <c r="A52" s="1" t="str">
        <f>SCALARS!A53</f>
        <v>Thursday</v>
      </c>
      <c r="B52" s="28">
        <f>SCALARS!B53</f>
        <v>46128</v>
      </c>
      <c r="C52" s="61">
        <f>SCALARS!J53</f>
        <v>1285.3641</v>
      </c>
      <c r="D52" s="61">
        <f>-SCALARS!J$5</f>
        <v>0</v>
      </c>
      <c r="E52" s="61">
        <f t="shared" si="11"/>
        <v>1285.3635650843842</v>
      </c>
      <c r="F52" s="106">
        <f t="shared" si="1"/>
        <v>5.3491561584451119E-4</v>
      </c>
      <c r="G52" s="56">
        <v>7.7799E-4</v>
      </c>
      <c r="I52" s="58">
        <f t="shared" si="12"/>
        <v>1285.3643532205647</v>
      </c>
      <c r="J52" s="19">
        <v>196420100</v>
      </c>
      <c r="K52" s="61">
        <v>152812.77989999999</v>
      </c>
      <c r="M52" s="67"/>
    </row>
    <row r="53" spans="1:13" ht="15" customHeight="1">
      <c r="A53" s="1" t="str">
        <f>SCALARS!A54</f>
        <v>Friday</v>
      </c>
      <c r="B53" s="28">
        <f>SCALARS!B54</f>
        <v>46129</v>
      </c>
      <c r="C53" s="61">
        <f>SCALARS!J54</f>
        <v>1285.4168999999999</v>
      </c>
      <c r="D53" s="61">
        <f>-SCALARS!J$5</f>
        <v>0</v>
      </c>
      <c r="E53" s="61">
        <f t="shared" si="11"/>
        <v>1285.4131317805543</v>
      </c>
      <c r="F53" s="106">
        <f t="shared" si="1"/>
        <v>3.7682194456465368E-3</v>
      </c>
      <c r="G53" s="56">
        <v>7.7795999999999996E-4</v>
      </c>
      <c r="I53" s="58">
        <f t="shared" si="12"/>
        <v>1285.4171781916609</v>
      </c>
      <c r="J53" s="19">
        <v>196040100</v>
      </c>
      <c r="K53" s="61">
        <v>152510.87609999999</v>
      </c>
      <c r="M53" s="67"/>
    </row>
    <row r="54" spans="1:13" ht="15" customHeight="1">
      <c r="A54" s="1" t="str">
        <f>SCALARS!A55</f>
        <v>Saturday</v>
      </c>
      <c r="B54" s="28">
        <f>SCALARS!B55</f>
        <v>46130</v>
      </c>
      <c r="C54" s="61">
        <f>SCALARS!J55</f>
        <v>1285.4697000000001</v>
      </c>
      <c r="D54" s="61">
        <f>-SCALARS!J$5</f>
        <v>0</v>
      </c>
      <c r="E54" s="61"/>
      <c r="F54" s="106"/>
      <c r="G54" s="56"/>
      <c r="I54" s="58"/>
      <c r="J54" s="19"/>
      <c r="K54" s="61"/>
      <c r="M54" s="67"/>
    </row>
    <row r="55" spans="1:13" ht="15" customHeight="1">
      <c r="A55" s="1" t="str">
        <f>SCALARS!A56</f>
        <v>Sunday</v>
      </c>
      <c r="B55" s="28">
        <f>SCALARS!B56</f>
        <v>46131</v>
      </c>
      <c r="C55" s="61">
        <f>SCALARS!J56</f>
        <v>1285.5225</v>
      </c>
      <c r="D55" s="61">
        <f>-SCALARS!J$5</f>
        <v>0</v>
      </c>
      <c r="E55" s="61"/>
      <c r="F55" s="106"/>
      <c r="G55" s="56"/>
      <c r="I55" s="58"/>
      <c r="J55" s="19"/>
      <c r="K55" s="61"/>
      <c r="M55" s="67"/>
    </row>
    <row r="56" spans="1:13" ht="15" customHeight="1">
      <c r="A56" s="1" t="str">
        <f>SCALARS!A57</f>
        <v>Monday</v>
      </c>
      <c r="B56" s="28">
        <f>SCALARS!B57</f>
        <v>46132</v>
      </c>
      <c r="C56" s="61">
        <f>SCALARS!J57</f>
        <v>1285.5753</v>
      </c>
      <c r="D56" s="61">
        <f>-SCALARS!J$5</f>
        <v>0</v>
      </c>
      <c r="E56" s="61">
        <f t="shared" si="11"/>
        <v>1285.5783817139331</v>
      </c>
      <c r="F56" s="106">
        <f t="shared" si="1"/>
        <v>-3.0817139331702492E-3</v>
      </c>
      <c r="G56" s="56">
        <v>7.7786000000000001E-4</v>
      </c>
      <c r="I56" s="58">
        <f t="shared" si="12"/>
        <v>1285.5756300332312</v>
      </c>
      <c r="J56" s="19">
        <v>196110100</v>
      </c>
      <c r="K56" s="61">
        <v>152546.5289</v>
      </c>
      <c r="M56" s="67"/>
    </row>
    <row r="57" spans="1:13" ht="15" customHeight="1">
      <c r="A57" s="1" t="str">
        <f>SCALARS!A58</f>
        <v>Tuesday</v>
      </c>
      <c r="B57" s="28">
        <f>SCALARS!B58</f>
        <v>46133</v>
      </c>
      <c r="C57" s="61">
        <f>SCALARS!J58</f>
        <v>1285.6280999999999</v>
      </c>
      <c r="D57" s="61">
        <f>-SCALARS!J$5</f>
        <v>0</v>
      </c>
      <c r="E57" s="61">
        <f t="shared" si="11"/>
        <v>1285.6279649794942</v>
      </c>
      <c r="F57" s="106">
        <f t="shared" si="1"/>
        <v>1.3502050569513813E-4</v>
      </c>
      <c r="G57" s="56">
        <v>7.7782999999999997E-4</v>
      </c>
      <c r="I57" s="58">
        <f t="shared" si="12"/>
        <v>1285.6284640069882</v>
      </c>
      <c r="J57" s="19">
        <v>195690100</v>
      </c>
      <c r="K57" s="61">
        <v>152213.57139999999</v>
      </c>
      <c r="M57" s="67"/>
    </row>
    <row r="58" spans="1:13" ht="15" customHeight="1">
      <c r="A58" s="1" t="str">
        <f>SCALARS!A59</f>
        <v>Wednesday</v>
      </c>
      <c r="B58" s="28">
        <f>SCALARS!B59</f>
        <v>46134</v>
      </c>
      <c r="C58" s="61">
        <f>SCALARS!J59</f>
        <v>1285.6809000000001</v>
      </c>
      <c r="D58" s="61">
        <f>-SCALARS!J$5</f>
        <v>0</v>
      </c>
      <c r="E58" s="61">
        <f t="shared" si="11"/>
        <v>1285.6775520699407</v>
      </c>
      <c r="F58" s="106">
        <f t="shared" si="1"/>
        <v>3.3479300593626249E-3</v>
      </c>
      <c r="G58" s="56">
        <v>7.7780000000000004E-4</v>
      </c>
      <c r="I58" s="58">
        <f t="shared" si="12"/>
        <v>1285.6812996157641</v>
      </c>
      <c r="J58" s="19">
        <v>195390100</v>
      </c>
      <c r="K58" s="61">
        <v>151973.9768</v>
      </c>
      <c r="M58" s="67"/>
    </row>
    <row r="59" spans="1:13" ht="15" customHeight="1">
      <c r="A59" s="1" t="str">
        <f>SCALARS!A60</f>
        <v>Thursday</v>
      </c>
      <c r="B59" s="28">
        <f>SCALARS!B60</f>
        <v>46135</v>
      </c>
      <c r="C59" s="61">
        <f>SCALARS!J60</f>
        <v>1285.7337</v>
      </c>
      <c r="D59" s="61">
        <f>-SCALARS!J$5</f>
        <v>0</v>
      </c>
      <c r="E59" s="61"/>
      <c r="F59" s="106"/>
      <c r="G59" s="56"/>
      <c r="I59" s="58"/>
      <c r="J59" s="19"/>
      <c r="K59" s="61"/>
      <c r="M59" s="67"/>
    </row>
    <row r="60" spans="1:13" ht="15" customHeight="1">
      <c r="A60" s="1" t="str">
        <f>SCALARS!A61</f>
        <v>Friday</v>
      </c>
      <c r="B60" s="28">
        <f>SCALARS!B61</f>
        <v>46136</v>
      </c>
      <c r="C60" s="61">
        <f>SCALARS!J61</f>
        <v>1285.7864999999999</v>
      </c>
      <c r="D60" s="61">
        <f>-SCALARS!J$5</f>
        <v>0</v>
      </c>
      <c r="E60" s="61">
        <f t="shared" si="11"/>
        <v>1285.7932701580239</v>
      </c>
      <c r="F60" s="106">
        <f t="shared" si="1"/>
        <v>-6.7701580239827308E-3</v>
      </c>
      <c r="G60" s="56">
        <v>7.7773000000000002E-4</v>
      </c>
      <c r="I60" s="58">
        <f t="shared" si="12"/>
        <v>1285.7869787129134</v>
      </c>
      <c r="J60" s="19">
        <v>195120100</v>
      </c>
      <c r="K60" s="61">
        <v>151751.49789999999</v>
      </c>
      <c r="M60" s="67"/>
    </row>
    <row r="61" spans="1:13" ht="15" customHeight="1">
      <c r="A61" s="1" t="str">
        <f>SCALARS!A62</f>
        <v>Saturday</v>
      </c>
      <c r="B61" s="28">
        <f>SCALARS!B62</f>
        <v>46137</v>
      </c>
      <c r="C61" s="61">
        <f>SCALARS!J62</f>
        <v>1285.8393000000001</v>
      </c>
      <c r="D61" s="61">
        <f>-SCALARS!J$5</f>
        <v>0</v>
      </c>
      <c r="E61" s="61"/>
      <c r="F61" s="106"/>
      <c r="G61" s="56"/>
      <c r="I61" s="58"/>
      <c r="J61" s="19"/>
      <c r="K61" s="61"/>
      <c r="M61" s="67"/>
    </row>
    <row r="62" spans="1:13" ht="15" customHeight="1">
      <c r="A62" s="1" t="str">
        <f>SCALARS!A63</f>
        <v>Sunday</v>
      </c>
      <c r="B62" s="28">
        <f>SCALARS!B63</f>
        <v>46138</v>
      </c>
      <c r="C62" s="61">
        <f>SCALARS!J63</f>
        <v>1285.8921</v>
      </c>
      <c r="D62" s="61">
        <f>-SCALARS!J$5</f>
        <v>0</v>
      </c>
      <c r="E62" s="61"/>
      <c r="F62" s="106"/>
      <c r="G62" s="56"/>
      <c r="I62" s="58"/>
      <c r="J62" s="19"/>
      <c r="K62" s="61"/>
      <c r="M62" s="67"/>
    </row>
    <row r="63" spans="1:13" ht="15" customHeight="1">
      <c r="A63" s="1" t="str">
        <f>SCALARS!A64</f>
        <v>Monday</v>
      </c>
      <c r="B63" s="28">
        <f>SCALARS!B64</f>
        <v>46139</v>
      </c>
      <c r="C63" s="61">
        <f>SCALARS!J64</f>
        <v>1285.9449</v>
      </c>
      <c r="D63" s="61">
        <f>-SCALARS!J$5</f>
        <v>0</v>
      </c>
      <c r="E63" s="61">
        <f t="shared" si="11"/>
        <v>1285.9420811686641</v>
      </c>
      <c r="F63" s="106">
        <f t="shared" si="1"/>
        <v>2.8188313358441519E-3</v>
      </c>
      <c r="G63" s="56">
        <v>7.7764000000000002E-4</v>
      </c>
      <c r="I63" s="58">
        <f t="shared" si="12"/>
        <v>1285.9455141039241</v>
      </c>
      <c r="J63" s="19">
        <v>195120100</v>
      </c>
      <c r="K63" s="61">
        <v>151732.78950000001</v>
      </c>
      <c r="M63" s="67"/>
    </row>
    <row r="64" spans="1:13" ht="15" customHeight="1">
      <c r="A64" s="1" t="str">
        <f>SCALARS!A65</f>
        <v>Tuesday</v>
      </c>
      <c r="B64" s="28">
        <f>SCALARS!B65</f>
        <v>46140</v>
      </c>
      <c r="C64" s="61">
        <f>SCALARS!J65</f>
        <v>1285.9976999999999</v>
      </c>
      <c r="D64" s="61">
        <f>-SCALARS!J$5</f>
        <v>0</v>
      </c>
      <c r="E64" s="61">
        <f t="shared" si="11"/>
        <v>1285.9916924936665</v>
      </c>
      <c r="F64" s="106">
        <f t="shared" si="1"/>
        <v>6.007506333389756E-3</v>
      </c>
      <c r="G64" s="56">
        <v>7.7760999999999998E-4</v>
      </c>
      <c r="I64" s="58">
        <f t="shared" si="12"/>
        <v>1285.9983629449105</v>
      </c>
      <c r="J64" s="19">
        <v>194340100</v>
      </c>
      <c r="K64" s="61">
        <v>151120.02129999999</v>
      </c>
      <c r="M64" s="67"/>
    </row>
    <row r="65" spans="1:13" ht="15" customHeight="1">
      <c r="A65" s="1" t="str">
        <f>SCALARS!A66</f>
        <v>Wednesday</v>
      </c>
      <c r="B65" s="28">
        <f>SCALARS!B66</f>
        <v>46141</v>
      </c>
      <c r="C65" s="61">
        <f>SCALARS!J66</f>
        <v>1286.0505000000001</v>
      </c>
      <c r="D65" s="61">
        <f>-SCALARS!J$5</f>
        <v>0</v>
      </c>
      <c r="E65" s="61">
        <f t="shared" si="11"/>
        <v>1286.0578468819529</v>
      </c>
      <c r="F65" s="106">
        <f t="shared" si="1"/>
        <v>-7.3468819527988671E-3</v>
      </c>
      <c r="G65" s="56">
        <v>7.7757E-4</v>
      </c>
      <c r="I65" s="58">
        <f t="shared" si="12"/>
        <v>1286.0512142639636</v>
      </c>
      <c r="J65" s="19">
        <v>194340100</v>
      </c>
      <c r="K65" s="61">
        <v>151113.81090000001</v>
      </c>
      <c r="M65" s="67"/>
    </row>
    <row r="66" spans="1:13" ht="15" customHeight="1">
      <c r="A66" s="1" t="str">
        <f>SCALARS!A67</f>
        <v>Thursday</v>
      </c>
      <c r="B66" s="28">
        <f>SCALARS!B67</f>
        <v>46142</v>
      </c>
      <c r="C66" s="61">
        <f>SCALARS!J67</f>
        <v>1286.1034</v>
      </c>
      <c r="D66" s="61">
        <f>-SCALARS!J$5</f>
        <v>0</v>
      </c>
      <c r="E66" s="61">
        <f t="shared" ref="E66:E67" si="13">1/G66</f>
        <v>1286.1074671399542</v>
      </c>
      <c r="F66" s="106">
        <f t="shared" si="1"/>
        <v>-4.0671399542588915E-3</v>
      </c>
      <c r="G66" s="56">
        <v>7.7753999999999996E-4</v>
      </c>
      <c r="I66" s="58">
        <f t="shared" ref="I66:I67" si="14">J66/K66</f>
        <v>1286.104067886062</v>
      </c>
      <c r="J66" s="19">
        <v>193980100</v>
      </c>
      <c r="K66" s="61">
        <v>150827.6856</v>
      </c>
      <c r="M66" s="67"/>
    </row>
    <row r="67" spans="1:13" ht="15" customHeight="1">
      <c r="A67" s="1" t="str">
        <f>SCALARS!A68</f>
        <v>Friday</v>
      </c>
      <c r="B67" s="28">
        <f>SCALARS!B68</f>
        <v>46143</v>
      </c>
      <c r="C67" s="61">
        <f>SCALARS!J68</f>
        <v>1286.1563000000001</v>
      </c>
      <c r="D67" s="61">
        <f>-SCALARS!J$5</f>
        <v>0</v>
      </c>
      <c r="E67" s="61">
        <f t="shared" si="13"/>
        <v>1286.1570912271225</v>
      </c>
      <c r="F67" s="106">
        <f t="shared" si="1"/>
        <v>-7.9122712236312509E-4</v>
      </c>
      <c r="G67" s="56">
        <v>7.7751000000000003E-4</v>
      </c>
      <c r="I67" s="58">
        <f t="shared" si="14"/>
        <v>1286.1569235803508</v>
      </c>
      <c r="J67" s="19">
        <v>193880100</v>
      </c>
      <c r="K67" s="61">
        <v>150743.73620000001</v>
      </c>
      <c r="M67" s="67"/>
    </row>
    <row r="68" spans="1:13" ht="15" customHeight="1">
      <c r="A68" s="1" t="str">
        <f>SCALARS!A69</f>
        <v>Saturday</v>
      </c>
      <c r="B68" s="28">
        <f>SCALARS!B69</f>
        <v>46144</v>
      </c>
      <c r="C68" s="61">
        <f>SCALARS!J69</f>
        <v>1286.2092</v>
      </c>
      <c r="D68" s="61">
        <f>-SCALARS!J$5</f>
        <v>0</v>
      </c>
      <c r="E68" s="61"/>
      <c r="F68" s="106"/>
      <c r="G68" s="56"/>
      <c r="I68" s="58"/>
      <c r="J68" s="19"/>
      <c r="K68" s="61"/>
    </row>
    <row r="69" spans="1:13" ht="15" customHeight="1">
      <c r="A69" s="1" t="str">
        <f>SCALARS!A70</f>
        <v>Sunday</v>
      </c>
      <c r="B69" s="28">
        <f>SCALARS!B70</f>
        <v>46145</v>
      </c>
      <c r="C69" s="61">
        <f>SCALARS!J70</f>
        <v>1286.2620999999999</v>
      </c>
      <c r="D69" s="61">
        <f>-SCALARS!J$5</f>
        <v>0</v>
      </c>
      <c r="E69" s="61"/>
      <c r="F69" s="106"/>
      <c r="G69" s="56"/>
      <c r="I69" s="58"/>
      <c r="J69" s="19"/>
      <c r="K69" s="61"/>
    </row>
    <row r="70" spans="1:13" ht="15" customHeight="1">
      <c r="A70" s="1" t="str">
        <f>SCALARS!A71</f>
        <v>Monday</v>
      </c>
      <c r="B70" s="28">
        <f>SCALARS!B71</f>
        <v>46146</v>
      </c>
      <c r="C70" s="61">
        <f>SCALARS!J71</f>
        <v>1286.3150000000001</v>
      </c>
      <c r="D70" s="61">
        <f>-SCALARS!J$5</f>
        <v>0</v>
      </c>
      <c r="E70" s="61">
        <f t="shared" ref="E70:E95" si="15">1/G70</f>
        <v>1286.3225325118021</v>
      </c>
      <c r="F70" s="106">
        <f t="shared" si="1"/>
        <v>-7.5325118020828086E-3</v>
      </c>
      <c r="G70" s="56">
        <v>7.7740999999999997E-4</v>
      </c>
      <c r="I70" s="58">
        <f t="shared" ref="I70:I95" si="16">J70/K70</f>
        <v>1286.3155040730589</v>
      </c>
      <c r="J70" s="19">
        <v>193880100</v>
      </c>
      <c r="K70" s="61">
        <v>150725.15210000001</v>
      </c>
    </row>
    <row r="71" spans="1:13" ht="15" customHeight="1">
      <c r="A71" s="1" t="str">
        <f>SCALARS!A72</f>
        <v>Tuesday</v>
      </c>
      <c r="B71" s="28">
        <f>SCALARS!B72</f>
        <v>46147</v>
      </c>
      <c r="C71" s="61">
        <f>SCALARS!J72</f>
        <v>1286.3679</v>
      </c>
      <c r="D71" s="61">
        <f>-SCALARS!J$5</f>
        <v>0</v>
      </c>
      <c r="E71" s="61">
        <f t="shared" si="15"/>
        <v>1286.3721731971493</v>
      </c>
      <c r="F71" s="106">
        <f t="shared" si="1"/>
        <v>-4.2731971493594756E-3</v>
      </c>
      <c r="G71" s="56">
        <v>7.7738000000000004E-4</v>
      </c>
      <c r="I71" s="58">
        <f t="shared" si="16"/>
        <v>1286.3683686602772</v>
      </c>
      <c r="J71" s="19">
        <v>193880100</v>
      </c>
      <c r="K71" s="61">
        <v>150718.95790000001</v>
      </c>
    </row>
    <row r="72" spans="1:13" ht="15" customHeight="1">
      <c r="A72" s="1" t="str">
        <f>SCALARS!A73</f>
        <v>Wednesday</v>
      </c>
      <c r="B72" s="28">
        <f>SCALARS!B73</f>
        <v>46148</v>
      </c>
      <c r="C72" s="61">
        <f>SCALARS!J73</f>
        <v>1286.4208000000001</v>
      </c>
      <c r="D72" s="61">
        <f>-SCALARS!J$5</f>
        <v>0</v>
      </c>
      <c r="E72" s="61">
        <f t="shared" si="15"/>
        <v>1286.4218177140285</v>
      </c>
      <c r="F72" s="106">
        <f t="shared" si="1"/>
        <v>-1.0177140284213237E-3</v>
      </c>
      <c r="G72" s="56">
        <v>7.7735E-4</v>
      </c>
      <c r="I72" s="58">
        <f t="shared" si="16"/>
        <v>1286.421235014197</v>
      </c>
      <c r="J72" s="19">
        <v>193590100</v>
      </c>
      <c r="K72" s="61">
        <v>150487.33240000001</v>
      </c>
    </row>
    <row r="73" spans="1:13" ht="15" customHeight="1">
      <c r="A73" s="1" t="str">
        <f>SCALARS!A74</f>
        <v>Thursday</v>
      </c>
      <c r="B73" s="28">
        <f>SCALARS!B74</f>
        <v>46149</v>
      </c>
      <c r="C73" s="61">
        <f>SCALARS!J74</f>
        <v>1286.4737</v>
      </c>
      <c r="D73" s="61">
        <f>-SCALARS!J$5</f>
        <v>0</v>
      </c>
      <c r="E73" s="61">
        <f t="shared" si="15"/>
        <v>1286.4714660628829</v>
      </c>
      <c r="F73" s="106">
        <f t="shared" si="1"/>
        <v>2.2339371171256062E-3</v>
      </c>
      <c r="G73" s="56">
        <v>7.7731999999999996E-4</v>
      </c>
      <c r="I73" s="58">
        <f t="shared" si="16"/>
        <v>1286.4741039791027</v>
      </c>
      <c r="J73" s="19">
        <v>193320100</v>
      </c>
      <c r="K73" s="61">
        <v>150271.272</v>
      </c>
    </row>
    <row r="74" spans="1:13" ht="15" customHeight="1">
      <c r="A74" s="1" t="str">
        <f>SCALARS!A75</f>
        <v>Friday</v>
      </c>
      <c r="B74" s="28">
        <f>SCALARS!B75</f>
        <v>46150</v>
      </c>
      <c r="C74" s="61">
        <f>SCALARS!J75</f>
        <v>1286.5265999999999</v>
      </c>
      <c r="D74" s="61">
        <f>-SCALARS!J$5</f>
        <v>0</v>
      </c>
      <c r="E74" s="61">
        <f t="shared" si="15"/>
        <v>1286.521118244156</v>
      </c>
      <c r="F74" s="106">
        <f t="shared" si="1"/>
        <v>5.481755843902647E-3</v>
      </c>
      <c r="G74" s="56">
        <v>7.7729000000000003E-4</v>
      </c>
      <c r="I74" s="58">
        <f t="shared" si="16"/>
        <v>1286.5269748633536</v>
      </c>
      <c r="J74" s="19">
        <v>192890100</v>
      </c>
      <c r="K74" s="61">
        <v>149930.8633</v>
      </c>
    </row>
    <row r="75" spans="1:13" ht="15" customHeight="1">
      <c r="A75" s="1" t="str">
        <f>SCALARS!A76</f>
        <v>Saturday</v>
      </c>
      <c r="B75" s="28">
        <f>SCALARS!B76</f>
        <v>46151</v>
      </c>
      <c r="C75" s="61">
        <f>SCALARS!J76</f>
        <v>1286.5795000000001</v>
      </c>
      <c r="D75" s="61">
        <f>-SCALARS!J$5</f>
        <v>0</v>
      </c>
      <c r="E75" s="61"/>
      <c r="F75" s="106"/>
      <c r="G75" s="56"/>
      <c r="I75" s="58"/>
      <c r="J75" s="19"/>
      <c r="K75" s="61"/>
    </row>
    <row r="76" spans="1:13" ht="15" customHeight="1">
      <c r="A76" s="1" t="str">
        <f>SCALARS!A77</f>
        <v>Sunday</v>
      </c>
      <c r="B76" s="28">
        <f>SCALARS!B77</f>
        <v>46152</v>
      </c>
      <c r="C76" s="61">
        <f>SCALARS!J77</f>
        <v>1286.6324</v>
      </c>
      <c r="D76" s="61">
        <f>-SCALARS!J$5</f>
        <v>0</v>
      </c>
      <c r="E76" s="61"/>
      <c r="F76" s="106"/>
      <c r="G76" s="56"/>
      <c r="I76" s="58"/>
      <c r="J76" s="19"/>
      <c r="K76" s="61"/>
    </row>
    <row r="77" spans="1:13" ht="15" customHeight="1">
      <c r="A77" s="1" t="str">
        <f>SCALARS!A78</f>
        <v>Monday</v>
      </c>
      <c r="B77" s="28">
        <f>SCALARS!B78</f>
        <v>46153</v>
      </c>
      <c r="C77" s="61">
        <f>SCALARS!J78</f>
        <v>1286.6853000000001</v>
      </c>
      <c r="D77" s="61">
        <f>-SCALARS!J$5</f>
        <v>0</v>
      </c>
      <c r="E77" s="61">
        <f t="shared" si="15"/>
        <v>1286.6866531993464</v>
      </c>
      <c r="F77" s="106">
        <f t="shared" si="1"/>
        <v>-1.3531993463402614E-3</v>
      </c>
      <c r="G77" s="56">
        <v>7.7718999999999998E-4</v>
      </c>
      <c r="I77" s="58">
        <f t="shared" si="16"/>
        <v>1286.6856010958625</v>
      </c>
      <c r="J77" s="19">
        <v>192890100</v>
      </c>
      <c r="K77" s="61">
        <v>149912.37940000001</v>
      </c>
    </row>
    <row r="78" spans="1:13" ht="15" customHeight="1">
      <c r="A78" s="1" t="str">
        <f>SCALARS!A79</f>
        <v>Tuesday</v>
      </c>
      <c r="B78" s="28">
        <f>SCALARS!B79</f>
        <v>46154</v>
      </c>
      <c r="C78" s="61">
        <f>SCALARS!J79</f>
        <v>1286.7382</v>
      </c>
      <c r="D78" s="61">
        <f>-SCALARS!J$5</f>
        <v>0</v>
      </c>
      <c r="E78" s="61">
        <f t="shared" si="15"/>
        <v>1286.736321992897</v>
      </c>
      <c r="F78" s="106">
        <f t="shared" si="1"/>
        <v>1.8780071029596002E-3</v>
      </c>
      <c r="G78" s="56">
        <v>7.7716000000000005E-4</v>
      </c>
      <c r="I78" s="58">
        <f t="shared" si="16"/>
        <v>1286.7384809078228</v>
      </c>
      <c r="J78" s="19">
        <v>192890100</v>
      </c>
      <c r="K78" s="61">
        <v>149906.21859999999</v>
      </c>
    </row>
    <row r="79" spans="1:13" ht="15" customHeight="1">
      <c r="A79" s="1" t="str">
        <f>SCALARS!A80</f>
        <v>Wednesday</v>
      </c>
      <c r="B79" s="28">
        <f>SCALARS!B80</f>
        <v>46155</v>
      </c>
      <c r="C79" s="61">
        <f>SCALARS!J80</f>
        <v>1286.7910999999999</v>
      </c>
      <c r="D79" s="61">
        <f>-SCALARS!J$5</f>
        <v>0</v>
      </c>
      <c r="E79" s="61">
        <f t="shared" si="15"/>
        <v>1286.7859946212345</v>
      </c>
      <c r="F79" s="106">
        <f t="shared" ref="F79:F95" si="17">C79+D79-E79</f>
        <v>5.1053787653927429E-3</v>
      </c>
      <c r="G79" s="56">
        <v>7.7713000000000001E-4</v>
      </c>
      <c r="I79" s="58">
        <f t="shared" si="16"/>
        <v>1286.7913625573929</v>
      </c>
      <c r="J79" s="19">
        <v>192610100</v>
      </c>
      <c r="K79" s="61">
        <v>149682.4626</v>
      </c>
    </row>
    <row r="80" spans="1:13" ht="15" customHeight="1">
      <c r="A80" s="1" t="str">
        <f>SCALARS!A81</f>
        <v>Thursday</v>
      </c>
      <c r="B80" s="28">
        <f>SCALARS!B81</f>
        <v>46156</v>
      </c>
      <c r="C80" s="61">
        <f>SCALARS!J81</f>
        <v>1286.8440000000001</v>
      </c>
      <c r="D80" s="61">
        <f>-SCALARS!J$5</f>
        <v>0</v>
      </c>
      <c r="E80" s="61">
        <f t="shared" si="15"/>
        <v>1286.8522307583419</v>
      </c>
      <c r="F80" s="106">
        <f t="shared" si="17"/>
        <v>-8.2307583418241848E-3</v>
      </c>
      <c r="G80" s="56">
        <v>7.7709000000000003E-4</v>
      </c>
      <c r="I80" s="58">
        <f t="shared" si="16"/>
        <v>1286.8442462745272</v>
      </c>
      <c r="J80" s="19">
        <v>192610100</v>
      </c>
      <c r="K80" s="61">
        <v>149676.3113</v>
      </c>
    </row>
    <row r="81" spans="1:11" ht="15" customHeight="1">
      <c r="A81" s="1" t="str">
        <f>SCALARS!A82</f>
        <v>Friday</v>
      </c>
      <c r="B81" s="28">
        <f>SCALARS!B82</f>
        <v>46157</v>
      </c>
      <c r="C81" s="61">
        <f>SCALARS!J82</f>
        <v>1286.8969</v>
      </c>
      <c r="D81" s="61">
        <f>-SCALARS!J$5</f>
        <v>0</v>
      </c>
      <c r="E81" s="61">
        <f t="shared" si="15"/>
        <v>1286.9019123362418</v>
      </c>
      <c r="F81" s="106">
        <f t="shared" si="17"/>
        <v>-5.0123362418617035E-3</v>
      </c>
      <c r="G81" s="56">
        <v>7.7705999999999999E-4</v>
      </c>
      <c r="I81" s="58">
        <f t="shared" si="16"/>
        <v>1286.897132247796</v>
      </c>
      <c r="J81" s="19">
        <v>192110100</v>
      </c>
      <c r="K81" s="61">
        <v>149281.62880000001</v>
      </c>
    </row>
    <row r="82" spans="1:11" ht="15" customHeight="1">
      <c r="A82" s="1" t="str">
        <f>SCALARS!A83</f>
        <v>Saturday</v>
      </c>
      <c r="B82" s="28">
        <f>SCALARS!B83</f>
        <v>46158</v>
      </c>
      <c r="C82" s="61">
        <f>SCALARS!J83</f>
        <v>1286.9498000000001</v>
      </c>
      <c r="D82" s="61">
        <f>-SCALARS!J$5</f>
        <v>0</v>
      </c>
      <c r="E82" s="61"/>
      <c r="F82" s="106"/>
      <c r="G82" s="56"/>
      <c r="I82" s="58"/>
      <c r="J82" s="19"/>
      <c r="K82" s="61"/>
    </row>
    <row r="83" spans="1:11" ht="15" customHeight="1">
      <c r="A83" s="1" t="str">
        <f>SCALARS!A84</f>
        <v>Sunday</v>
      </c>
      <c r="B83" s="28">
        <f>SCALARS!B84</f>
        <v>46159</v>
      </c>
      <c r="C83" s="61">
        <f>SCALARS!J84</f>
        <v>1287.0027</v>
      </c>
      <c r="D83" s="61">
        <f>-SCALARS!J$5</f>
        <v>0</v>
      </c>
      <c r="E83" s="61"/>
      <c r="F83" s="106"/>
      <c r="G83" s="56"/>
      <c r="I83" s="58"/>
      <c r="J83" s="19"/>
      <c r="K83" s="61"/>
    </row>
    <row r="84" spans="1:11" ht="15" customHeight="1">
      <c r="A84" s="1" t="str">
        <f>SCALARS!A85</f>
        <v>Monday</v>
      </c>
      <c r="B84" s="28">
        <f>SCALARS!B85</f>
        <v>46160</v>
      </c>
      <c r="C84" s="61">
        <f>SCALARS!J85</f>
        <v>1287.0555999999999</v>
      </c>
      <c r="D84" s="61">
        <f>-SCALARS!J$5</f>
        <v>0</v>
      </c>
      <c r="E84" s="61">
        <f t="shared" si="15"/>
        <v>1287.0509800893215</v>
      </c>
      <c r="F84" s="106">
        <f t="shared" si="17"/>
        <v>4.6199106784570176E-3</v>
      </c>
      <c r="G84" s="56">
        <v>7.7696999999999998E-4</v>
      </c>
      <c r="I84" s="58">
        <f t="shared" si="16"/>
        <v>1287.0561962400052</v>
      </c>
      <c r="J84" s="19">
        <v>191400100</v>
      </c>
      <c r="K84" s="61">
        <v>148711.533</v>
      </c>
    </row>
    <row r="85" spans="1:11" ht="15" customHeight="1">
      <c r="A85" s="1" t="str">
        <f>SCALARS!A86</f>
        <v>Tuesday</v>
      </c>
      <c r="B85" s="28">
        <f>SCALARS!B86</f>
        <v>46161</v>
      </c>
      <c r="C85" s="61">
        <f>SCALARS!J86</f>
        <v>1287.1085</v>
      </c>
      <c r="D85" s="61">
        <f>-SCALARS!J$5</f>
        <v>0</v>
      </c>
      <c r="E85" s="61">
        <f t="shared" si="15"/>
        <v>1287.1172435097112</v>
      </c>
      <c r="F85" s="106">
        <f t="shared" si="17"/>
        <v>-8.7435097111665527E-3</v>
      </c>
      <c r="G85" s="56">
        <v>7.7693E-4</v>
      </c>
      <c r="I85" s="58">
        <f t="shared" si="16"/>
        <v>1287.1090917152608</v>
      </c>
      <c r="J85" s="129">
        <v>191400100</v>
      </c>
      <c r="K85" s="61">
        <v>148705.4215</v>
      </c>
    </row>
    <row r="86" spans="1:11" ht="15" customHeight="1">
      <c r="A86" s="1" t="str">
        <f>SCALARS!A87</f>
        <v>Wednesday</v>
      </c>
      <c r="B86" s="28">
        <f>SCALARS!B87</f>
        <v>46162</v>
      </c>
      <c r="C86" s="61">
        <f>SCALARS!J87</f>
        <v>1287.1614</v>
      </c>
      <c r="D86" s="61">
        <f>-SCALARS!J$5</f>
        <v>0</v>
      </c>
      <c r="E86" s="61">
        <f t="shared" si="15"/>
        <v>1287.1669455528383</v>
      </c>
      <c r="F86" s="106">
        <f t="shared" si="17"/>
        <v>-5.5455528383845376E-3</v>
      </c>
      <c r="G86" s="56">
        <v>7.7689999999999996E-4</v>
      </c>
      <c r="I86" s="58">
        <f t="shared" si="16"/>
        <v>1287.1619889416527</v>
      </c>
      <c r="J86" s="19">
        <v>191400100</v>
      </c>
      <c r="K86" s="61">
        <v>148699.31030000001</v>
      </c>
    </row>
    <row r="87" spans="1:11" ht="15" customHeight="1">
      <c r="A87" s="1" t="str">
        <f>SCALARS!A88</f>
        <v>Thursday</v>
      </c>
      <c r="B87" s="28">
        <f>SCALARS!B88</f>
        <v>46163</v>
      </c>
      <c r="C87" s="61">
        <f>SCALARS!J88</f>
        <v>1287.2143000000001</v>
      </c>
      <c r="D87" s="61">
        <f>-SCALARS!J$5</f>
        <v>0</v>
      </c>
      <c r="E87" s="61">
        <f t="shared" si="15"/>
        <v>1287.2166514346029</v>
      </c>
      <c r="F87" s="106">
        <f t="shared" si="17"/>
        <v>-2.3514346028150612E-3</v>
      </c>
      <c r="G87" s="56">
        <v>7.7687000000000003E-4</v>
      </c>
      <c r="I87" s="58">
        <f t="shared" si="16"/>
        <v>1287.214887919077</v>
      </c>
      <c r="J87" s="19">
        <v>191400100</v>
      </c>
      <c r="K87" s="61">
        <v>148693.19940000001</v>
      </c>
    </row>
    <row r="88" spans="1:11" ht="15" customHeight="1">
      <c r="A88" s="1" t="str">
        <f>SCALARS!A89</f>
        <v>Friday</v>
      </c>
      <c r="B88" s="28">
        <f>SCALARS!B89</f>
        <v>46164</v>
      </c>
      <c r="C88" s="61">
        <f>SCALARS!J89</f>
        <v>1287.2672</v>
      </c>
      <c r="D88" s="61">
        <f>-SCALARS!J$5</f>
        <v>0</v>
      </c>
      <c r="E88" s="61">
        <f t="shared" si="15"/>
        <v>1287.2663611554503</v>
      </c>
      <c r="F88" s="106">
        <f t="shared" si="17"/>
        <v>8.3884454966209887E-4</v>
      </c>
      <c r="G88" s="56">
        <v>7.7684E-4</v>
      </c>
      <c r="I88" s="58">
        <f t="shared" si="16"/>
        <v>1287.267789513186</v>
      </c>
      <c r="J88" s="19">
        <v>191400100</v>
      </c>
      <c r="K88" s="61">
        <v>148687.08869999999</v>
      </c>
    </row>
    <row r="89" spans="1:11" ht="15" customHeight="1">
      <c r="A89" s="1" t="str">
        <f>SCALARS!A90</f>
        <v>Saturday</v>
      </c>
      <c r="B89" s="28">
        <f>SCALARS!B90</f>
        <v>46165</v>
      </c>
      <c r="C89" s="61">
        <f>SCALARS!J90</f>
        <v>1287.3200999999999</v>
      </c>
      <c r="D89" s="61">
        <f>-SCALARS!J$5</f>
        <v>0</v>
      </c>
      <c r="E89" s="61"/>
      <c r="F89" s="106"/>
      <c r="G89" s="56"/>
      <c r="I89" s="58"/>
      <c r="J89" s="19"/>
      <c r="K89" s="61"/>
    </row>
    <row r="90" spans="1:11" ht="15" customHeight="1">
      <c r="A90" s="1" t="str">
        <f>SCALARS!A91</f>
        <v>Sunday</v>
      </c>
      <c r="B90" s="28">
        <f>SCALARS!B91</f>
        <v>46166</v>
      </c>
      <c r="C90" s="61">
        <f>SCALARS!J91</f>
        <v>1287.373</v>
      </c>
      <c r="D90" s="61">
        <f>-SCALARS!J$5</f>
        <v>0</v>
      </c>
      <c r="E90" s="61"/>
      <c r="F90" s="106"/>
      <c r="G90" s="56"/>
      <c r="I90" s="58"/>
      <c r="J90" s="19"/>
      <c r="K90" s="61"/>
    </row>
    <row r="91" spans="1:11" ht="15" customHeight="1">
      <c r="A91" s="1" t="str">
        <f>SCALARS!A92</f>
        <v>Monday</v>
      </c>
      <c r="B91" s="28">
        <f>SCALARS!B92</f>
        <v>46167</v>
      </c>
      <c r="C91" s="61">
        <f>SCALARS!J92</f>
        <v>1287.4259</v>
      </c>
      <c r="D91" s="61">
        <f>-SCALARS!J$5</f>
        <v>0</v>
      </c>
      <c r="E91" s="61"/>
      <c r="F91" s="106"/>
      <c r="G91" s="56"/>
      <c r="I91" s="58"/>
      <c r="J91" s="19"/>
      <c r="K91" s="61"/>
    </row>
    <row r="92" spans="1:11" ht="15" customHeight="1">
      <c r="A92" s="1" t="str">
        <f>SCALARS!A93</f>
        <v>Tuesday</v>
      </c>
      <c r="B92" s="28">
        <f>SCALARS!B93</f>
        <v>46168</v>
      </c>
      <c r="C92" s="61">
        <f>SCALARS!J93</f>
        <v>1287.4788000000001</v>
      </c>
      <c r="D92" s="61">
        <f>-SCALARS!J$5</f>
        <v>0</v>
      </c>
      <c r="E92" s="61">
        <f t="shared" si="15"/>
        <v>1287.4818143193727</v>
      </c>
      <c r="F92" s="106">
        <f t="shared" si="17"/>
        <v>-3.0143193725962192E-3</v>
      </c>
      <c r="G92" s="56">
        <v>7.7671000000000001E-4</v>
      </c>
      <c r="I92" s="58">
        <f t="shared" si="16"/>
        <v>1287.4794168624003</v>
      </c>
      <c r="J92" s="19">
        <v>191400100</v>
      </c>
      <c r="K92" s="61">
        <v>148662.64850000001</v>
      </c>
    </row>
    <row r="93" spans="1:11" ht="15" customHeight="1">
      <c r="A93" s="1" t="str">
        <f>SCALARS!A94</f>
        <v>Wednesday</v>
      </c>
      <c r="B93" s="28">
        <f>SCALARS!B94</f>
        <v>46169</v>
      </c>
      <c r="C93" s="61">
        <f>SCALARS!J94</f>
        <v>1287.5317</v>
      </c>
      <c r="D93" s="61">
        <f>-SCALARS!J$5</f>
        <v>0</v>
      </c>
      <c r="E93" s="61">
        <f t="shared" si="15"/>
        <v>1287.5315445228409</v>
      </c>
      <c r="F93" s="106">
        <f t="shared" si="17"/>
        <v>1.5547715906905069E-4</v>
      </c>
      <c r="G93" s="56">
        <v>7.7667999999999997E-4</v>
      </c>
      <c r="I93" s="58">
        <f t="shared" si="16"/>
        <v>1287.5323292142903</v>
      </c>
      <c r="J93" s="19">
        <v>190700100</v>
      </c>
      <c r="K93" s="61">
        <v>148112.8634</v>
      </c>
    </row>
    <row r="94" spans="1:11" ht="15" customHeight="1">
      <c r="A94" s="1" t="str">
        <f>SCALARS!A95</f>
        <v>Thursday</v>
      </c>
      <c r="B94" s="28">
        <f>SCALARS!B95</f>
        <v>46170</v>
      </c>
      <c r="C94" s="61">
        <f>SCALARS!J95</f>
        <v>1287.5845999999999</v>
      </c>
      <c r="D94" s="61">
        <f>-SCALARS!J$5</f>
        <v>0</v>
      </c>
      <c r="E94" s="61">
        <f t="shared" si="15"/>
        <v>1287.5812785682097</v>
      </c>
      <c r="F94" s="106">
        <f t="shared" si="17"/>
        <v>3.3214317902547918E-3</v>
      </c>
      <c r="G94" s="56">
        <v>7.7665000000000004E-4</v>
      </c>
      <c r="I94" s="58">
        <f t="shared" si="16"/>
        <v>1287.5852434572489</v>
      </c>
      <c r="J94" s="19">
        <v>188900100</v>
      </c>
      <c r="K94" s="61">
        <v>146708.81090000001</v>
      </c>
    </row>
    <row r="95" spans="1:11" ht="15" customHeight="1">
      <c r="A95" s="1" t="str">
        <f>SCALARS!A96</f>
        <v>Friday</v>
      </c>
      <c r="B95" s="28">
        <f>SCALARS!B96</f>
        <v>46171</v>
      </c>
      <c r="C95" s="61">
        <f>SCALARS!J96</f>
        <v>1287.6375</v>
      </c>
      <c r="D95" s="61">
        <f>-SCALARS!J$5</f>
        <v>0</v>
      </c>
      <c r="E95" s="61">
        <f t="shared" si="15"/>
        <v>1287.6310164559243</v>
      </c>
      <c r="F95" s="106">
        <f t="shared" si="17"/>
        <v>6.4835440757633478E-3</v>
      </c>
      <c r="G95" s="56">
        <v>7.7662E-4</v>
      </c>
      <c r="I95" s="58">
        <f t="shared" si="16"/>
        <v>1287.6381596780702</v>
      </c>
      <c r="J95" s="19">
        <v>188440100</v>
      </c>
      <c r="K95" s="61">
        <v>146345.5386</v>
      </c>
    </row>
    <row r="96" spans="1:11" ht="15" customHeight="1">
      <c r="A96" s="1" t="str">
        <f>SCALARS!A97</f>
        <v>Saturday</v>
      </c>
      <c r="B96" s="28">
        <f>SCALARS!B97</f>
        <v>46172</v>
      </c>
      <c r="C96" s="61">
        <f>SCALARS!J97</f>
        <v>1287.6904</v>
      </c>
      <c r="D96" s="61">
        <f>-SCALARS!J$5</f>
        <v>0</v>
      </c>
      <c r="E96" s="61"/>
      <c r="F96" s="106"/>
      <c r="G96" s="56"/>
      <c r="I96" s="58"/>
      <c r="J96" s="19"/>
      <c r="K96" s="61"/>
    </row>
    <row r="97" spans="1:11" ht="15" customHeight="1">
      <c r="A97" s="1" t="str">
        <f>SCALARS!A98</f>
        <v>Sunday</v>
      </c>
      <c r="B97" s="28">
        <f>SCALARS!B98</f>
        <v>46173</v>
      </c>
      <c r="C97" s="61">
        <f>SCALARS!J98</f>
        <v>1287.7433000000001</v>
      </c>
      <c r="D97" s="61">
        <f>-SCALARS!J$5</f>
        <v>0</v>
      </c>
      <c r="E97" s="61"/>
      <c r="F97" s="106"/>
      <c r="G97" s="56"/>
      <c r="I97" s="58"/>
      <c r="J97" s="19"/>
      <c r="K97" s="61"/>
    </row>
    <row r="98" spans="1:11" ht="15" customHeight="1">
      <c r="A98" s="1" t="str">
        <f>SCALARS!A99</f>
        <v>Monday</v>
      </c>
      <c r="B98" s="28">
        <f>SCALARS!B99</f>
        <v>46174</v>
      </c>
      <c r="C98" s="61">
        <f>SCALARS!J99</f>
        <v>1287.7962</v>
      </c>
      <c r="D98" s="61">
        <f>-SCALARS!J$5</f>
        <v>0</v>
      </c>
      <c r="E98" s="61">
        <f t="shared" ref="E98:E102" si="18">1/G98</f>
        <v>1287.7968371709678</v>
      </c>
      <c r="F98" s="106">
        <f t="shared" ref="F98:F102" si="19">C98+D98-E98</f>
        <v>-6.3717096782056615E-4</v>
      </c>
      <c r="G98" s="56">
        <v>7.7652000000000005E-4</v>
      </c>
      <c r="I98" s="58">
        <f t="shared" ref="I98:I102" si="20">J98/K98</f>
        <v>1287.7969511889908</v>
      </c>
      <c r="J98" s="19">
        <v>188390100</v>
      </c>
      <c r="K98" s="61">
        <v>146288.66750000001</v>
      </c>
    </row>
    <row r="99" spans="1:11" ht="15" customHeight="1">
      <c r="A99" s="1" t="str">
        <f>SCALARS!A100</f>
        <v>Tuesday</v>
      </c>
      <c r="B99" s="28">
        <f>SCALARS!B100</f>
        <v>46175</v>
      </c>
      <c r="C99" s="61">
        <f>SCALARS!J100</f>
        <v>1287.8490999999999</v>
      </c>
      <c r="D99" s="61">
        <f>-SCALARS!J$5</f>
        <v>0</v>
      </c>
      <c r="E99" s="61">
        <f t="shared" si="18"/>
        <v>1287.8465917139949</v>
      </c>
      <c r="F99" s="106">
        <f t="shared" si="19"/>
        <v>2.5082860049678857E-3</v>
      </c>
      <c r="G99" s="56">
        <v>7.7649000000000001E-4</v>
      </c>
      <c r="I99" s="149">
        <f t="shared" si="20"/>
        <v>1287.8498759713179</v>
      </c>
      <c r="J99" s="150">
        <v>188390100</v>
      </c>
      <c r="K99" s="106">
        <v>146282.6557</v>
      </c>
    </row>
    <row r="100" spans="1:11" ht="15" customHeight="1">
      <c r="A100" s="1" t="str">
        <f>SCALARS!A101</f>
        <v>Wednesday</v>
      </c>
      <c r="B100" s="28">
        <f>SCALARS!B101</f>
        <v>46176</v>
      </c>
      <c r="C100" s="61">
        <f>SCALARS!J101</f>
        <v>1287.902</v>
      </c>
      <c r="D100" s="61">
        <f>-SCALARS!J$5</f>
        <v>0</v>
      </c>
      <c r="E100" s="61">
        <f t="shared" si="18"/>
        <v>1287.8963501017438</v>
      </c>
      <c r="F100" s="106">
        <f t="shared" si="19"/>
        <v>5.6498982562516176E-3</v>
      </c>
      <c r="G100" s="56">
        <v>7.7645999999999998E-4</v>
      </c>
      <c r="I100" s="149">
        <f t="shared" si="20"/>
        <v>1287.9028035643287</v>
      </c>
      <c r="J100" s="145">
        <v>186790100</v>
      </c>
      <c r="K100" s="106">
        <v>145034.3143</v>
      </c>
    </row>
    <row r="101" spans="1:11" ht="15" customHeight="1">
      <c r="A101" s="1" t="str">
        <f>SCALARS!A102</f>
        <v>Thursday</v>
      </c>
      <c r="B101" s="28">
        <f>SCALARS!B102</f>
        <v>46177</v>
      </c>
      <c r="C101" s="61">
        <f>SCALARS!J102</f>
        <v>1287.9549</v>
      </c>
      <c r="D101" s="61">
        <f>-SCALARS!J$5</f>
        <v>0</v>
      </c>
      <c r="E101" s="61">
        <f t="shared" si="18"/>
        <v>1287.9627006001906</v>
      </c>
      <c r="F101" s="106">
        <f t="shared" si="19"/>
        <v>-7.8006001906487654E-3</v>
      </c>
      <c r="G101" s="56">
        <v>7.7642E-4</v>
      </c>
      <c r="I101" s="58">
        <f t="shared" si="20"/>
        <v>1287.9557340131958</v>
      </c>
      <c r="J101" s="19">
        <v>186790100</v>
      </c>
      <c r="K101" s="61">
        <v>145028.35389999999</v>
      </c>
    </row>
    <row r="102" spans="1:11" ht="15" customHeight="1">
      <c r="A102" s="1" t="str">
        <f>SCALARS!A103</f>
        <v>Friday</v>
      </c>
      <c r="B102" s="28">
        <f>SCALARS!B103</f>
        <v>46178</v>
      </c>
      <c r="C102" s="61">
        <f>SCALARS!J103</f>
        <v>1288.0078000000001</v>
      </c>
      <c r="D102" s="61">
        <f>-SCALARS!J$5</f>
        <v>0</v>
      </c>
      <c r="E102" s="61">
        <f t="shared" si="18"/>
        <v>1288.0124679606899</v>
      </c>
      <c r="F102" s="106">
        <f t="shared" si="19"/>
        <v>-4.6679606898578641E-3</v>
      </c>
      <c r="G102" s="56">
        <v>7.7638999999999996E-4</v>
      </c>
      <c r="I102" s="58">
        <f t="shared" si="20"/>
        <v>1288.008665260352</v>
      </c>
      <c r="J102" s="19">
        <v>186790100</v>
      </c>
      <c r="K102" s="61">
        <v>145022.3939</v>
      </c>
    </row>
    <row r="103" spans="1:11" ht="15" customHeight="1">
      <c r="A103" s="1" t="str">
        <f>SCALARS!A104</f>
        <v>Saturday</v>
      </c>
      <c r="B103" s="28">
        <f>SCALARS!B104</f>
        <v>46179</v>
      </c>
      <c r="C103" s="61">
        <f>SCALARS!J104</f>
        <v>1288.0607</v>
      </c>
      <c r="D103" s="61">
        <f>-SCALARS!J$5</f>
        <v>0</v>
      </c>
    </row>
    <row r="104" spans="1:11" ht="15" customHeight="1">
      <c r="A104" s="1" t="str">
        <f>SCALARS!A105</f>
        <v>Sunday</v>
      </c>
      <c r="B104" s="28">
        <f>SCALARS!B105</f>
        <v>46180</v>
      </c>
      <c r="C104" s="61">
        <f>SCALARS!J105</f>
        <v>1288.1135999999999</v>
      </c>
      <c r="D104" s="61">
        <f>-SCALARS!J$5</f>
        <v>0</v>
      </c>
    </row>
    <row r="105" spans="1:11" ht="15" customHeight="1">
      <c r="A105" s="1" t="str">
        <f>SCALARS!A106</f>
        <v>Monday</v>
      </c>
      <c r="B105" s="28">
        <f>SCALARS!B106</f>
        <v>46181</v>
      </c>
      <c r="C105" s="61">
        <f>SCALARS!J106</f>
        <v>1288.1665</v>
      </c>
      <c r="D105" s="61">
        <f>-SCALARS!J$5</f>
        <v>0</v>
      </c>
      <c r="E105" s="61">
        <f t="shared" ref="E105:E109" si="21">1/G105</f>
        <v>1288.1617931212161</v>
      </c>
      <c r="F105" s="106">
        <f t="shared" ref="F105:F109" si="22">C105+D105-E105</f>
        <v>4.7068787839634751E-3</v>
      </c>
      <c r="G105" s="56">
        <v>7.7629999999999995E-4</v>
      </c>
      <c r="I105" s="58">
        <f t="shared" ref="I105:I109" si="23">J105/K105</f>
        <v>1288.1682165194472</v>
      </c>
      <c r="J105" s="19">
        <v>185490100</v>
      </c>
      <c r="K105" s="61">
        <v>143995.24660000001</v>
      </c>
    </row>
    <row r="106" spans="1:11" ht="15" customHeight="1">
      <c r="A106" s="1" t="str">
        <f>SCALARS!A107</f>
        <v>Tuesday</v>
      </c>
      <c r="B106" s="28">
        <f>SCALARS!B107</f>
        <v>46182</v>
      </c>
      <c r="C106" s="61">
        <f>SCALARS!J107</f>
        <v>1288.2194</v>
      </c>
      <c r="D106" s="61">
        <f>-SCALARS!J$5</f>
        <v>0</v>
      </c>
      <c r="E106" s="61">
        <f t="shared" si="21"/>
        <v>1288.2281709736428</v>
      </c>
      <c r="F106" s="106">
        <f t="shared" si="22"/>
        <v>-8.7709736428678298E-3</v>
      </c>
      <c r="G106" s="56">
        <v>7.7625999999999997E-4</v>
      </c>
      <c r="I106" s="58">
        <f t="shared" si="23"/>
        <v>1288.2211569997662</v>
      </c>
      <c r="J106" s="129">
        <v>185490100</v>
      </c>
      <c r="K106" s="61">
        <v>143989.329</v>
      </c>
    </row>
    <row r="107" spans="1:11" ht="15" customHeight="1">
      <c r="A107" s="1" t="str">
        <f>SCALARS!A108</f>
        <v>Wednesday</v>
      </c>
      <c r="B107" s="28">
        <f>SCALARS!B108</f>
        <v>46183</v>
      </c>
      <c r="C107" s="61">
        <f>SCALARS!J108</f>
        <v>1288.2723000000001</v>
      </c>
      <c r="D107" s="61">
        <f>-SCALARS!J$5</f>
        <v>0</v>
      </c>
      <c r="E107" s="61">
        <f t="shared" si="21"/>
        <v>1288.277958852402</v>
      </c>
      <c r="F107" s="106">
        <f t="shared" si="22"/>
        <v>-5.658852401893455E-3</v>
      </c>
      <c r="G107" s="56">
        <v>7.7623000000000004E-4</v>
      </c>
      <c r="I107" s="58">
        <f t="shared" si="23"/>
        <v>1288.2740991474923</v>
      </c>
      <c r="J107" s="19">
        <v>185490100</v>
      </c>
      <c r="K107" s="61">
        <v>143983.4117</v>
      </c>
    </row>
    <row r="108" spans="1:11" ht="15" customHeight="1">
      <c r="A108" s="1" t="str">
        <f>SCALARS!A109</f>
        <v>Thursday</v>
      </c>
      <c r="B108" s="28">
        <f>SCALARS!B109</f>
        <v>46184</v>
      </c>
      <c r="C108" s="61">
        <f>SCALARS!J109</f>
        <v>1288.3252</v>
      </c>
      <c r="D108" s="61">
        <f>-SCALARS!J$5</f>
        <v>0</v>
      </c>
      <c r="E108" s="61">
        <f t="shared" si="21"/>
        <v>1288.3277505797475</v>
      </c>
      <c r="F108" s="106">
        <f t="shared" si="22"/>
        <v>-2.5505797475489089E-3</v>
      </c>
      <c r="G108" s="56">
        <v>7.762E-4</v>
      </c>
      <c r="I108" s="58">
        <f t="shared" si="23"/>
        <v>1288.3270440453102</v>
      </c>
      <c r="J108" s="19">
        <v>183660100</v>
      </c>
      <c r="K108" s="61">
        <v>142557.0478</v>
      </c>
    </row>
    <row r="109" spans="1:11" ht="15" customHeight="1">
      <c r="A109" s="1" t="str">
        <f>SCALARS!A110</f>
        <v>Friday</v>
      </c>
      <c r="B109" s="28">
        <f>SCALARS!B110</f>
        <v>46185</v>
      </c>
      <c r="C109" s="61">
        <f>SCALARS!J110</f>
        <v>1288.3780999999999</v>
      </c>
      <c r="D109" s="61">
        <f>-SCALARS!J$5</f>
        <v>0</v>
      </c>
      <c r="E109" s="61">
        <f t="shared" si="21"/>
        <v>1288.3775461561256</v>
      </c>
      <c r="F109" s="106">
        <f t="shared" si="22"/>
        <v>5.5384387428603077E-4</v>
      </c>
      <c r="G109" s="56">
        <v>7.7616999999999996E-4</v>
      </c>
      <c r="I109" s="58">
        <f t="shared" si="23"/>
        <v>1288.3799919923783</v>
      </c>
      <c r="J109" s="19">
        <v>183660100</v>
      </c>
      <c r="K109" s="61">
        <v>142551.18919999999</v>
      </c>
    </row>
    <row r="110" spans="1:11" ht="15" customHeight="1">
      <c r="A110" s="1" t="str">
        <f>SCALARS!A111</f>
        <v>Saturday</v>
      </c>
      <c r="B110" s="28">
        <f>SCALARS!B111</f>
        <v>46186</v>
      </c>
      <c r="C110" s="61">
        <f>SCALARS!J111</f>
        <v>1288.431</v>
      </c>
      <c r="D110" s="61">
        <f>-SCALARS!J$5</f>
        <v>0</v>
      </c>
    </row>
    <row r="111" spans="1:11" ht="15" customHeight="1">
      <c r="A111" s="1" t="str">
        <f>SCALARS!A112</f>
        <v>Sunday</v>
      </c>
      <c r="B111" s="28">
        <f>SCALARS!B112</f>
        <v>46187</v>
      </c>
      <c r="C111" s="61">
        <f>SCALARS!J112</f>
        <v>1288.4838999999999</v>
      </c>
      <c r="D111" s="61">
        <f>-SCALARS!J$5</f>
        <v>0</v>
      </c>
    </row>
    <row r="112" spans="1:11" ht="15" customHeight="1">
      <c r="A112" s="1" t="str">
        <f>SCALARS!A113</f>
        <v>Monday</v>
      </c>
      <c r="B112" s="28">
        <f>SCALARS!B113</f>
        <v>46188</v>
      </c>
      <c r="C112" s="61">
        <f>SCALARS!J113</f>
        <v>1288.5369000000001</v>
      </c>
      <c r="D112" s="61">
        <f>-SCALARS!J$5</f>
        <v>0</v>
      </c>
      <c r="E112" s="61">
        <f t="shared" ref="E112:E115" si="24">1/G112</f>
        <v>1288.5435592150193</v>
      </c>
      <c r="F112" s="106">
        <f t="shared" ref="F112:F115" si="25">C112+D112-E112</f>
        <v>-6.6592150192263944E-3</v>
      </c>
      <c r="G112" s="56">
        <v>7.7607000000000002E-4</v>
      </c>
      <c r="I112" s="58">
        <f t="shared" ref="I112:I115" si="26">J112/K112</f>
        <v>1288.5388456771564</v>
      </c>
      <c r="J112" s="19">
        <v>183660100</v>
      </c>
      <c r="K112" s="61">
        <v>142533.6152</v>
      </c>
    </row>
    <row r="113" spans="1:11" ht="15" customHeight="1">
      <c r="A113" s="1" t="str">
        <f>SCALARS!A114</f>
        <v>Tuesday</v>
      </c>
      <c r="B113" s="28">
        <f>SCALARS!B114</f>
        <v>46189</v>
      </c>
      <c r="C113" s="61">
        <f>SCALARS!J114</f>
        <v>1288.5898999999999</v>
      </c>
      <c r="D113" s="61">
        <f>-SCALARS!J$5</f>
        <v>0</v>
      </c>
      <c r="E113" s="61">
        <f t="shared" si="24"/>
        <v>1288.5933714756973</v>
      </c>
      <c r="F113" s="106">
        <f t="shared" si="25"/>
        <v>-3.4714756973244221E-3</v>
      </c>
      <c r="G113" s="56">
        <v>7.7603999999999998E-4</v>
      </c>
      <c r="I113" s="58">
        <f t="shared" si="26"/>
        <v>1288.5918022830531</v>
      </c>
      <c r="J113" s="129">
        <v>181260100</v>
      </c>
      <c r="K113" s="61">
        <v>140665.25930000001</v>
      </c>
    </row>
    <row r="114" spans="1:11" ht="15" customHeight="1">
      <c r="A114" s="1" t="str">
        <f>SCALARS!A115</f>
        <v>Wednesday</v>
      </c>
      <c r="B114" s="28">
        <f>SCALARS!B115</f>
        <v>46190</v>
      </c>
      <c r="C114" s="61">
        <f>SCALARS!J115</f>
        <v>1288.6429000000001</v>
      </c>
      <c r="D114" s="61">
        <f>-SCALARS!J$5</f>
        <v>0</v>
      </c>
      <c r="E114" s="61">
        <f t="shared" si="24"/>
        <v>1288.6431875877888</v>
      </c>
      <c r="F114" s="106">
        <f t="shared" si="25"/>
        <v>-2.8758778876181168E-4</v>
      </c>
      <c r="G114" s="56">
        <v>7.7601000000000005E-4</v>
      </c>
      <c r="I114" s="58">
        <f t="shared" si="26"/>
        <v>1288.644759813772</v>
      </c>
      <c r="J114" s="19">
        <v>180930100</v>
      </c>
      <c r="K114" s="61">
        <v>140403.39559999999</v>
      </c>
    </row>
    <row r="115" spans="1:11" ht="15" customHeight="1">
      <c r="A115" s="1" t="str">
        <f>SCALARS!A116</f>
        <v>Thursday</v>
      </c>
      <c r="B115" s="28">
        <f>SCALARS!B116</f>
        <v>46191</v>
      </c>
      <c r="C115" s="61">
        <f>SCALARS!J116</f>
        <v>1288.6958999999999</v>
      </c>
      <c r="D115" s="61">
        <f>-SCALARS!J$5</f>
        <v>0</v>
      </c>
      <c r="E115" s="61">
        <f t="shared" si="24"/>
        <v>1288.6930075517409</v>
      </c>
      <c r="F115" s="106">
        <f t="shared" si="25"/>
        <v>2.8924482589900435E-3</v>
      </c>
      <c r="G115" s="56">
        <v>7.7598000000000001E-4</v>
      </c>
      <c r="I115" s="58">
        <f t="shared" si="26"/>
        <v>1288.6977197833558</v>
      </c>
      <c r="J115" s="19">
        <v>180620100</v>
      </c>
      <c r="K115" s="61">
        <v>140157.07269999999</v>
      </c>
    </row>
    <row r="116" spans="1:11" ht="15" customHeight="1">
      <c r="A116" s="1" t="str">
        <f>SCALARS!A117</f>
        <v>Friday</v>
      </c>
      <c r="B116" s="28">
        <f>SCALARS!B117</f>
        <v>46192</v>
      </c>
      <c r="C116" s="61">
        <f>SCALARS!J117</f>
        <v>1288.7489</v>
      </c>
      <c r="D116" s="61">
        <f>-SCALARS!J$5</f>
        <v>0</v>
      </c>
      <c r="E116" s="161" t="s">
        <v>73</v>
      </c>
      <c r="F116" s="106"/>
      <c r="G116" s="56"/>
      <c r="I116" s="58"/>
      <c r="J116" s="19"/>
      <c r="K116" s="61"/>
    </row>
    <row r="117" spans="1:11" ht="15" customHeight="1">
      <c r="A117" s="1" t="str">
        <f>SCALARS!A118</f>
        <v>Saturday</v>
      </c>
      <c r="B117" s="28">
        <f>SCALARS!B118</f>
        <v>46193</v>
      </c>
      <c r="C117" s="61">
        <f>SCALARS!J118</f>
        <v>1288.8018999999999</v>
      </c>
      <c r="D117" s="61">
        <f>-SCALARS!J$5</f>
        <v>0</v>
      </c>
    </row>
    <row r="118" spans="1:11" ht="15" customHeight="1">
      <c r="A118" s="1" t="str">
        <f>SCALARS!A119</f>
        <v>Sunday</v>
      </c>
      <c r="B118" s="28">
        <f>SCALARS!B119</f>
        <v>46194</v>
      </c>
      <c r="C118" s="61">
        <f>SCALARS!J119</f>
        <v>1288.8549</v>
      </c>
      <c r="D118" s="61">
        <f>-SCALARS!J$5</f>
        <v>0</v>
      </c>
    </row>
    <row r="119" spans="1:11" ht="15" customHeight="1">
      <c r="A119" s="1" t="str">
        <f>SCALARS!A120</f>
        <v>Monday</v>
      </c>
      <c r="B119" s="28">
        <f>SCALARS!B120</f>
        <v>46195</v>
      </c>
      <c r="C119" s="61">
        <f>SCALARS!J120</f>
        <v>1288.9078999999999</v>
      </c>
      <c r="D119" s="61">
        <f>-SCALARS!J$5</f>
        <v>0</v>
      </c>
      <c r="E119" s="61">
        <f t="shared" ref="E119:E123" si="27">1/G119</f>
        <v>1288.9089385834891</v>
      </c>
      <c r="F119" s="106">
        <f t="shared" ref="F119:F123" si="28">C119+D119-E119</f>
        <v>-1.0385834891621926E-3</v>
      </c>
      <c r="G119" s="56">
        <v>7.7585000000000002E-4</v>
      </c>
      <c r="I119" s="58">
        <f t="shared" ref="I119:I123" si="29">J119/K119</f>
        <v>1288.9095822835889</v>
      </c>
      <c r="J119" s="19">
        <v>180620100</v>
      </c>
      <c r="K119" s="61">
        <v>140134.03460000001</v>
      </c>
    </row>
    <row r="120" spans="1:11" ht="15" customHeight="1">
      <c r="A120" s="1" t="str">
        <f>SCALARS!A121</f>
        <v>Tuesday</v>
      </c>
      <c r="B120" s="28">
        <f>SCALARS!B121</f>
        <v>46196</v>
      </c>
      <c r="C120" s="61">
        <f>SCALARS!J121</f>
        <v>1288.9609</v>
      </c>
      <c r="D120" s="61">
        <f>-SCALARS!J$5</f>
        <v>0</v>
      </c>
      <c r="E120" s="61">
        <f t="shared" si="27"/>
        <v>1288.9587790982446</v>
      </c>
      <c r="F120" s="106">
        <f t="shared" si="28"/>
        <v>2.1209017554610909E-3</v>
      </c>
      <c r="G120" s="56">
        <v>7.7581999999999998E-4</v>
      </c>
      <c r="I120" s="58">
        <f t="shared" si="29"/>
        <v>1288.962553785776</v>
      </c>
      <c r="J120" s="129">
        <v>179000100</v>
      </c>
      <c r="K120" s="61">
        <v>138871.4509</v>
      </c>
    </row>
    <row r="121" spans="1:11" ht="15" customHeight="1">
      <c r="A121" s="1" t="str">
        <f>SCALARS!A122</f>
        <v>Wednesday</v>
      </c>
      <c r="B121" s="28">
        <f>SCALARS!B122</f>
        <v>46197</v>
      </c>
      <c r="C121" s="61">
        <f>SCALARS!J122</f>
        <v>1289.0138999999999</v>
      </c>
      <c r="D121" s="61">
        <f>-SCALARS!J$5</f>
        <v>0</v>
      </c>
      <c r="E121" s="61">
        <f t="shared" si="27"/>
        <v>1289.008623467691</v>
      </c>
      <c r="F121" s="106">
        <f t="shared" si="28"/>
        <v>5.2765323089261074E-3</v>
      </c>
      <c r="G121" s="56">
        <v>7.7579000000000005E-4</v>
      </c>
      <c r="I121" s="58">
        <f t="shared" si="29"/>
        <v>1289.0155266002935</v>
      </c>
      <c r="J121" s="19">
        <v>179000100</v>
      </c>
      <c r="K121" s="61">
        <v>138865.7439</v>
      </c>
    </row>
    <row r="122" spans="1:11" ht="15" customHeight="1">
      <c r="A122" s="1" t="str">
        <f>SCALARS!A123</f>
        <v>Thursday</v>
      </c>
      <c r="B122" s="28">
        <f>SCALARS!B123</f>
        <v>46198</v>
      </c>
      <c r="C122" s="61">
        <f>SCALARS!J123</f>
        <v>1289.0669</v>
      </c>
      <c r="D122" s="61">
        <f>-SCALARS!J$5</f>
        <v>0</v>
      </c>
      <c r="E122" s="61">
        <f t="shared" si="27"/>
        <v>1289.0750886239125</v>
      </c>
      <c r="F122" s="106">
        <f t="shared" si="28"/>
        <v>-8.1886239124742133E-3</v>
      </c>
      <c r="G122" s="56">
        <v>7.7574999999999996E-4</v>
      </c>
      <c r="I122" s="58">
        <f t="shared" si="29"/>
        <v>1289.068502494805</v>
      </c>
      <c r="J122" s="19">
        <v>177830100</v>
      </c>
      <c r="K122" s="61">
        <v>137952.40489999999</v>
      </c>
    </row>
    <row r="123" spans="1:11" ht="15" customHeight="1">
      <c r="A123" s="1" t="str">
        <f>SCALARS!A124</f>
        <v>Friday</v>
      </c>
      <c r="B123" s="28">
        <f>SCALARS!B124</f>
        <v>46199</v>
      </c>
      <c r="C123" s="61">
        <f>SCALARS!J124</f>
        <v>1289.1198999999999</v>
      </c>
      <c r="D123" s="61">
        <f>-SCALARS!J$5</f>
        <v>0</v>
      </c>
      <c r="E123" s="61">
        <f t="shared" si="27"/>
        <v>1289.1249419893775</v>
      </c>
      <c r="F123" s="106">
        <f t="shared" si="28"/>
        <v>-5.0419893775597302E-3</v>
      </c>
      <c r="G123" s="56">
        <v>7.7572000000000003E-4</v>
      </c>
      <c r="I123" s="58">
        <f t="shared" si="29"/>
        <v>1289.1214793711135</v>
      </c>
      <c r="J123" s="19">
        <v>177830100</v>
      </c>
      <c r="K123" s="61">
        <v>137946.73569999999</v>
      </c>
    </row>
    <row r="124" spans="1:11" ht="15" customHeight="1">
      <c r="A124" s="1" t="str">
        <f>SCALARS!A125</f>
        <v>Saturday</v>
      </c>
      <c r="B124" s="28">
        <f>SCALARS!B125</f>
        <v>46200</v>
      </c>
      <c r="C124" s="61">
        <f>SCALARS!J125</f>
        <v>1289.1729</v>
      </c>
      <c r="D124" s="61">
        <f>-SCALARS!J$5</f>
        <v>0</v>
      </c>
    </row>
    <row r="125" spans="1:11" ht="15" customHeight="1">
      <c r="A125" s="1" t="str">
        <f>SCALARS!A126</f>
        <v>Sunday</v>
      </c>
      <c r="B125" s="28">
        <f>SCALARS!B126</f>
        <v>46201</v>
      </c>
      <c r="C125" s="61">
        <f>SCALARS!J126</f>
        <v>1289.2258999999999</v>
      </c>
      <c r="D125" s="61">
        <f>-SCALARS!J$5</f>
        <v>0</v>
      </c>
    </row>
    <row r="126" spans="1:11" ht="15" customHeight="1">
      <c r="A126" s="1" t="str">
        <f>SCALARS!A127</f>
        <v>Monday</v>
      </c>
      <c r="B126" s="28">
        <f>SCALARS!B127</f>
        <v>46202</v>
      </c>
      <c r="C126" s="61">
        <f>SCALARS!J127</f>
        <v>1289.2789</v>
      </c>
      <c r="D126" s="61">
        <f>-SCALARS!J$5</f>
        <v>0</v>
      </c>
      <c r="E126" s="61">
        <f t="shared" ref="E126:E127" si="30">1/G126</f>
        <v>1289.2745252246561</v>
      </c>
      <c r="F126" s="106">
        <f t="shared" ref="F126:F127" si="31">C126+D126-E126</f>
        <v>4.3747753438765358E-3</v>
      </c>
      <c r="G126" s="56">
        <v>7.7563000000000003E-4</v>
      </c>
      <c r="I126" s="58">
        <f t="shared" ref="I126:I127" si="32">J126/K126</f>
        <v>1289.2804258474539</v>
      </c>
      <c r="J126" s="19">
        <v>177830100</v>
      </c>
      <c r="K126" s="61">
        <v>137929.7292</v>
      </c>
    </row>
    <row r="127" spans="1:11" ht="15" customHeight="1">
      <c r="A127" s="1" t="str">
        <f>SCALARS!A128</f>
        <v>Tuesday</v>
      </c>
      <c r="B127" s="28">
        <f>SCALARS!B128</f>
        <v>46203</v>
      </c>
      <c r="C127" s="61">
        <f>SCALARS!J128</f>
        <v>1289.3318999999999</v>
      </c>
      <c r="D127" s="61">
        <f>-SCALARS!J$5</f>
        <v>0</v>
      </c>
      <c r="E127" s="61">
        <f t="shared" si="30"/>
        <v>1289.3410178057993</v>
      </c>
      <c r="F127" s="106">
        <f t="shared" si="31"/>
        <v>-9.1178057994056871E-3</v>
      </c>
      <c r="G127" s="56">
        <v>7.7559000000000005E-4</v>
      </c>
      <c r="I127" s="58">
        <f t="shared" si="32"/>
        <v>1289.3334120246473</v>
      </c>
      <c r="J127" s="129">
        <v>178580100</v>
      </c>
      <c r="K127" s="61">
        <v>138505.7568</v>
      </c>
    </row>
    <row r="128" spans="1:11" ht="15" customHeight="1">
      <c r="A128" s="1" t="str">
        <f>SCALARS!A129</f>
        <v>Wednesday</v>
      </c>
      <c r="B128" s="28">
        <f>SCALARS!B129</f>
        <v>46204</v>
      </c>
      <c r="C128" s="61">
        <f>SCALARS!J129</f>
        <v>1289.3849</v>
      </c>
      <c r="D128" s="61">
        <f>-SCALARS!J$5</f>
        <v>0</v>
      </c>
      <c r="E128" s="61">
        <f t="shared" ref="E128:E158" si="33">1/G128</f>
        <v>1289.3908917427407</v>
      </c>
      <c r="F128" s="106">
        <f t="shared" ref="F128:F158" si="34">C128+D128-E128</f>
        <v>-5.9917427406617207E-3</v>
      </c>
      <c r="G128" s="56">
        <v>7.7556000000000001E-4</v>
      </c>
      <c r="I128" s="58">
        <f t="shared" ref="I128:I158" si="35">J128/K128</f>
        <v>1289.3864003448466</v>
      </c>
      <c r="J128" s="129">
        <v>178580100</v>
      </c>
      <c r="K128" s="61">
        <v>138500.06479999999</v>
      </c>
    </row>
    <row r="129" spans="1:11" ht="15" customHeight="1">
      <c r="A129" s="1" t="str">
        <f>SCALARS!A130</f>
        <v>Thursday</v>
      </c>
      <c r="B129" s="28">
        <f>SCALARS!B130</f>
        <v>46205</v>
      </c>
      <c r="C129" s="61">
        <f>SCALARS!J130</f>
        <v>1289.4378999999999</v>
      </c>
      <c r="D129" s="61">
        <f>-SCALARS!J$5</f>
        <v>0</v>
      </c>
      <c r="E129" s="61">
        <f t="shared" si="33"/>
        <v>1289.4407695382513</v>
      </c>
      <c r="F129" s="106">
        <f t="shared" si="34"/>
        <v>-2.8695382513888035E-3</v>
      </c>
      <c r="G129" s="56">
        <v>7.7552999999999997E-4</v>
      </c>
      <c r="I129" s="58">
        <f t="shared" si="35"/>
        <v>1289.4393909785699</v>
      </c>
      <c r="J129" s="129">
        <v>177230100</v>
      </c>
      <c r="K129" s="61">
        <v>137447.40640000001</v>
      </c>
    </row>
    <row r="130" spans="1:11" ht="15" customHeight="1">
      <c r="A130" s="1" t="str">
        <f>SCALARS!A131</f>
        <v>Friday</v>
      </c>
      <c r="B130" s="28">
        <f>SCALARS!B131</f>
        <v>46206</v>
      </c>
      <c r="C130" s="61">
        <f>SCALARS!J131</f>
        <v>1289.4909</v>
      </c>
      <c r="D130" s="61">
        <f>-SCALARS!J$5</f>
        <v>0</v>
      </c>
      <c r="E130" s="161" t="s">
        <v>73</v>
      </c>
      <c r="F130" s="106"/>
      <c r="G130" s="56"/>
      <c r="I130" s="58"/>
      <c r="J130" s="129"/>
      <c r="K130" s="61"/>
    </row>
    <row r="131" spans="1:11" ht="15" customHeight="1">
      <c r="A131" s="1" t="str">
        <f>SCALARS!A132</f>
        <v>Saturday</v>
      </c>
      <c r="B131" s="28">
        <f>SCALARS!B132</f>
        <v>46207</v>
      </c>
      <c r="C131" s="61">
        <f>SCALARS!J132</f>
        <v>1289.5438999999999</v>
      </c>
      <c r="D131" s="61">
        <f>-SCALARS!J$5</f>
        <v>0</v>
      </c>
      <c r="I131" s="58"/>
      <c r="J131" s="129"/>
      <c r="K131" s="61"/>
    </row>
    <row r="132" spans="1:11" ht="15" customHeight="1">
      <c r="A132" s="1" t="str">
        <f>SCALARS!A133</f>
        <v>Sunday</v>
      </c>
      <c r="B132" s="28">
        <f>SCALARS!B133</f>
        <v>46208</v>
      </c>
      <c r="C132" s="61">
        <f>SCALARS!J133</f>
        <v>1289.5969</v>
      </c>
      <c r="D132" s="61">
        <f>-SCALARS!J$5</f>
        <v>0</v>
      </c>
      <c r="I132" s="58"/>
      <c r="J132" s="129"/>
      <c r="K132" s="61"/>
    </row>
    <row r="133" spans="1:11" ht="15" customHeight="1">
      <c r="A133" s="1" t="str">
        <f>SCALARS!A134</f>
        <v>Monday</v>
      </c>
      <c r="B133" s="28">
        <f>SCALARS!B134</f>
        <v>46209</v>
      </c>
      <c r="C133" s="61">
        <f>SCALARS!J134</f>
        <v>1289.6498999999999</v>
      </c>
      <c r="D133" s="61">
        <f>-SCALARS!J$5</f>
        <v>0</v>
      </c>
      <c r="E133" s="61">
        <f t="shared" si="33"/>
        <v>1289.6569512509673</v>
      </c>
      <c r="F133" s="106">
        <f t="shared" si="34"/>
        <v>-7.0512509673790191E-3</v>
      </c>
      <c r="G133" s="56">
        <v>7.7539999999999998E-4</v>
      </c>
      <c r="I133" s="58">
        <f t="shared" si="35"/>
        <v>1289.651375383309</v>
      </c>
      <c r="J133" s="129">
        <v>177230100</v>
      </c>
      <c r="K133" s="61">
        <v>137424.8137</v>
      </c>
    </row>
    <row r="134" spans="1:11" ht="15" customHeight="1">
      <c r="A134" s="1" t="str">
        <f>SCALARS!A135</f>
        <v>Tuesday</v>
      </c>
      <c r="B134" s="28">
        <f>SCALARS!B135</f>
        <v>46210</v>
      </c>
      <c r="C134" s="61">
        <f>SCALARS!J135</f>
        <v>1289.7029</v>
      </c>
      <c r="D134" s="61">
        <f>-SCALARS!J$5</f>
        <v>0</v>
      </c>
      <c r="E134" s="61">
        <f t="shared" si="33"/>
        <v>1289.7068496330783</v>
      </c>
      <c r="F134" s="106">
        <f t="shared" si="34"/>
        <v>-3.9496330782640143E-3</v>
      </c>
      <c r="G134" s="56">
        <v>7.7537000000000005E-4</v>
      </c>
      <c r="I134" s="58">
        <f t="shared" si="35"/>
        <v>1289.7043766216443</v>
      </c>
      <c r="J134" s="129">
        <v>176330100</v>
      </c>
      <c r="K134" s="61">
        <v>136721.33180000001</v>
      </c>
    </row>
    <row r="135" spans="1:11" ht="15" customHeight="1">
      <c r="A135" s="1" t="str">
        <f>SCALARS!A136</f>
        <v>Wednesday</v>
      </c>
      <c r="B135" s="28">
        <f>SCALARS!B136</f>
        <v>46211</v>
      </c>
      <c r="C135" s="61">
        <f>SCALARS!J136</f>
        <v>1289.7559000000001</v>
      </c>
      <c r="D135" s="61">
        <f>-SCALARS!J$5</f>
        <v>0</v>
      </c>
      <c r="E135" s="61">
        <f t="shared" si="33"/>
        <v>1289.7567518765961</v>
      </c>
      <c r="F135" s="106">
        <f t="shared" si="34"/>
        <v>-8.5187659601615451E-4</v>
      </c>
      <c r="G135" s="56">
        <v>7.7534000000000001E-4</v>
      </c>
      <c r="I135" s="58">
        <f t="shared" si="35"/>
        <v>1289.7573804923525</v>
      </c>
      <c r="J135" s="129">
        <v>176330100</v>
      </c>
      <c r="K135" s="61">
        <v>136715.71309999999</v>
      </c>
    </row>
    <row r="136" spans="1:11" ht="15" customHeight="1">
      <c r="A136" s="1" t="str">
        <f>SCALARS!A137</f>
        <v>Thursday</v>
      </c>
      <c r="B136" s="28">
        <f>SCALARS!B137</f>
        <v>46212</v>
      </c>
      <c r="C136" s="61">
        <f>SCALARS!J137</f>
        <v>1289.8089</v>
      </c>
      <c r="D136" s="61">
        <f>-SCALARS!J$5</f>
        <v>0</v>
      </c>
      <c r="E136" s="61">
        <f t="shared" si="33"/>
        <v>1289.8066579819686</v>
      </c>
      <c r="F136" s="106">
        <f t="shared" si="34"/>
        <v>2.2420180314384197E-3</v>
      </c>
      <c r="G136" s="56">
        <v>7.7530999999999997E-4</v>
      </c>
      <c r="I136" s="58">
        <f t="shared" si="35"/>
        <v>1289.8103864402367</v>
      </c>
      <c r="J136" s="129">
        <v>175010100</v>
      </c>
      <c r="K136" s="61">
        <v>135686.68840000001</v>
      </c>
    </row>
    <row r="137" spans="1:11" ht="15" customHeight="1">
      <c r="A137" s="1" t="str">
        <f>SCALARS!A138</f>
        <v>Friday</v>
      </c>
      <c r="B137" s="28">
        <f>SCALARS!B138</f>
        <v>46213</v>
      </c>
      <c r="C137" s="61">
        <f>SCALARS!J138</f>
        <v>1289.8619000000001</v>
      </c>
      <c r="D137" s="61">
        <f>-SCALARS!J$5</f>
        <v>0</v>
      </c>
      <c r="E137" s="61">
        <f t="shared" si="33"/>
        <v>1289.8565679496439</v>
      </c>
      <c r="F137" s="106">
        <f t="shared" si="34"/>
        <v>5.3320503561735677E-3</v>
      </c>
      <c r="G137" s="56">
        <v>7.7528000000000004E-4</v>
      </c>
      <c r="I137" s="58">
        <f t="shared" si="35"/>
        <v>1289.863394855043</v>
      </c>
      <c r="J137" s="129">
        <v>175010100</v>
      </c>
      <c r="K137" s="61">
        <v>135681.1122</v>
      </c>
    </row>
    <row r="138" spans="1:11" ht="15" customHeight="1">
      <c r="A138" s="1" t="str">
        <f>SCALARS!A139</f>
        <v>Saturday</v>
      </c>
      <c r="B138" s="28">
        <f>SCALARS!B139</f>
        <v>46214</v>
      </c>
      <c r="C138" s="61">
        <f>SCALARS!J139</f>
        <v>1289.9149</v>
      </c>
      <c r="D138" s="61">
        <f>-SCALARS!J$5</f>
        <v>0</v>
      </c>
      <c r="E138" s="61"/>
      <c r="F138" s="106"/>
      <c r="G138" s="56"/>
      <c r="I138" s="58"/>
      <c r="J138" s="129"/>
      <c r="K138" s="61"/>
    </row>
    <row r="139" spans="1:11" ht="15" customHeight="1">
      <c r="A139" s="1" t="str">
        <f>SCALARS!A140</f>
        <v>Sunday</v>
      </c>
      <c r="B139" s="28">
        <f>SCALARS!B140</f>
        <v>46215</v>
      </c>
      <c r="C139" s="61">
        <f>SCALARS!J140</f>
        <v>1289.9679000000001</v>
      </c>
      <c r="D139" s="61">
        <f>-SCALARS!J$5</f>
        <v>0</v>
      </c>
      <c r="E139" s="61"/>
      <c r="F139" s="106"/>
      <c r="G139" s="56"/>
      <c r="I139" s="58"/>
      <c r="J139" s="129"/>
      <c r="K139" s="61"/>
    </row>
    <row r="140" spans="1:11" ht="15" customHeight="1">
      <c r="A140" s="1" t="str">
        <f>SCALARS!A141</f>
        <v>Monday</v>
      </c>
      <c r="B140" s="28">
        <f>SCALARS!B141</f>
        <v>46216</v>
      </c>
      <c r="C140" s="61">
        <f>SCALARS!J141</f>
        <v>1290.0209</v>
      </c>
      <c r="D140" s="61">
        <f>-SCALARS!J$5</f>
        <v>0</v>
      </c>
      <c r="E140" s="61">
        <f t="shared" si="33"/>
        <v>1290.0229624087308</v>
      </c>
      <c r="F140" s="106">
        <f t="shared" si="34"/>
        <v>-2.0624087308078742E-3</v>
      </c>
      <c r="G140" s="56">
        <v>7.7517999999999999E-4</v>
      </c>
      <c r="I140" s="58">
        <f t="shared" si="35"/>
        <v>1290.0224319816712</v>
      </c>
      <c r="J140" s="129">
        <v>175010100</v>
      </c>
      <c r="K140" s="61">
        <v>135664.38510000001</v>
      </c>
    </row>
    <row r="141" spans="1:11" ht="15" customHeight="1">
      <c r="A141" s="1" t="str">
        <f>SCALARS!A142</f>
        <v>Tuesday</v>
      </c>
      <c r="B141" s="28">
        <f>SCALARS!B142</f>
        <v>46217</v>
      </c>
      <c r="C141" s="61">
        <f>SCALARS!J142</f>
        <v>1290.0739000000001</v>
      </c>
      <c r="D141" s="61">
        <f>-SCALARS!J$5</f>
        <v>0</v>
      </c>
      <c r="E141" s="61">
        <f t="shared" si="33"/>
        <v>1290.0728891182353</v>
      </c>
      <c r="F141" s="106">
        <f t="shared" si="34"/>
        <v>1.0108817648415425E-3</v>
      </c>
      <c r="G141" s="56">
        <v>7.7514999999999995E-4</v>
      </c>
      <c r="I141" s="58">
        <f t="shared" si="35"/>
        <v>1290.0754491932605</v>
      </c>
      <c r="J141" s="129">
        <v>173910100</v>
      </c>
      <c r="K141" s="61">
        <v>134806.1465</v>
      </c>
    </row>
    <row r="142" spans="1:11" ht="15" customHeight="1">
      <c r="A142" s="1" t="str">
        <f>SCALARS!A143</f>
        <v>Wednesday</v>
      </c>
      <c r="B142" s="28">
        <f>SCALARS!B143</f>
        <v>46218</v>
      </c>
      <c r="C142" s="61">
        <f>SCALARS!J143</f>
        <v>1290.1269</v>
      </c>
      <c r="D142" s="61">
        <f>-SCALARS!J$5</f>
        <v>0</v>
      </c>
      <c r="E142" s="61">
        <f t="shared" si="33"/>
        <v>1290.1228196924346</v>
      </c>
      <c r="F142" s="106">
        <f t="shared" si="34"/>
        <v>4.0803075653457199E-3</v>
      </c>
      <c r="G142" s="56">
        <v>7.7512000000000002E-4</v>
      </c>
      <c r="I142" s="58">
        <f t="shared" si="35"/>
        <v>1290.1284683759936</v>
      </c>
      <c r="J142" s="129">
        <v>173910100</v>
      </c>
      <c r="K142" s="61">
        <v>134800.60649999999</v>
      </c>
    </row>
    <row r="143" spans="1:11" ht="15" customHeight="1">
      <c r="A143" s="1" t="str">
        <f>SCALARS!A144</f>
        <v>Thursday</v>
      </c>
      <c r="B143" s="28">
        <f>SCALARS!B144</f>
        <v>46219</v>
      </c>
      <c r="C143" s="61">
        <f>SCALARS!J144</f>
        <v>1290.1799000000001</v>
      </c>
      <c r="D143" s="61">
        <f>-SCALARS!J$5</f>
        <v>0</v>
      </c>
      <c r="E143" s="61">
        <f t="shared" si="33"/>
        <v>1290.1893998038911</v>
      </c>
      <c r="F143" s="106">
        <f t="shared" si="34"/>
        <v>-9.4998038910034666E-3</v>
      </c>
      <c r="G143" s="56">
        <v>7.7508000000000004E-4</v>
      </c>
      <c r="I143" s="58">
        <f t="shared" si="35"/>
        <v>1290.1814890454136</v>
      </c>
      <c r="J143" s="129">
        <v>173910100</v>
      </c>
      <c r="K143" s="61">
        <v>134795.0668</v>
      </c>
    </row>
    <row r="144" spans="1:11" ht="15" customHeight="1">
      <c r="A144" s="1" t="str">
        <f>SCALARS!A145</f>
        <v>Friday</v>
      </c>
      <c r="B144" s="28">
        <f>SCALARS!B145</f>
        <v>46220</v>
      </c>
      <c r="C144" s="61">
        <f>SCALARS!J145</f>
        <v>1290.2329</v>
      </c>
      <c r="D144" s="61">
        <f>-SCALARS!J$5</f>
        <v>0</v>
      </c>
      <c r="E144" s="61">
        <f t="shared" si="33"/>
        <v>1290.2393393974583</v>
      </c>
      <c r="F144" s="106">
        <f t="shared" si="34"/>
        <v>-6.4393974582799274E-3</v>
      </c>
      <c r="G144" s="56">
        <v>7.7505E-4</v>
      </c>
      <c r="I144" s="58">
        <f t="shared" si="35"/>
        <v>1290.234512158572</v>
      </c>
      <c r="J144" s="129">
        <v>173910100</v>
      </c>
      <c r="K144" s="61">
        <v>134789.52729999999</v>
      </c>
    </row>
    <row r="145" spans="1:11" ht="15" customHeight="1">
      <c r="A145" s="1" t="str">
        <f>SCALARS!A146</f>
        <v>Saturday</v>
      </c>
      <c r="B145" s="28">
        <f>SCALARS!B146</f>
        <v>46221</v>
      </c>
      <c r="C145" s="61">
        <f>SCALARS!J146</f>
        <v>1290.2859000000001</v>
      </c>
      <c r="D145" s="61">
        <f>-SCALARS!J$5</f>
        <v>0</v>
      </c>
      <c r="E145" s="61"/>
      <c r="F145" s="106"/>
      <c r="G145" s="56"/>
      <c r="I145" s="58"/>
      <c r="J145" s="129"/>
      <c r="K145" s="61"/>
    </row>
    <row r="146" spans="1:11" ht="15" customHeight="1">
      <c r="A146" s="1" t="str">
        <f>SCALARS!A147</f>
        <v>Sunday</v>
      </c>
      <c r="B146" s="28">
        <f>SCALARS!B147</f>
        <v>46222</v>
      </c>
      <c r="C146" s="61">
        <f>SCALARS!J147</f>
        <v>1290.3389</v>
      </c>
      <c r="D146" s="61">
        <f>-SCALARS!J$5</f>
        <v>0</v>
      </c>
      <c r="E146" s="61"/>
      <c r="F146" s="106"/>
      <c r="G146" s="56"/>
      <c r="I146" s="58"/>
      <c r="J146" s="129"/>
      <c r="K146" s="61"/>
    </row>
    <row r="147" spans="1:11" ht="15" customHeight="1">
      <c r="A147" s="1" t="str">
        <f>SCALARS!A148</f>
        <v>Monday</v>
      </c>
      <c r="B147" s="28">
        <f>SCALARS!B148</f>
        <v>46223</v>
      </c>
      <c r="C147" s="61">
        <f>SCALARS!J148</f>
        <v>1290.3919000000001</v>
      </c>
      <c r="D147" s="61">
        <f>-SCALARS!J$5</f>
        <v>0</v>
      </c>
      <c r="E147" s="61">
        <f t="shared" si="33"/>
        <v>1290.3891813771033</v>
      </c>
      <c r="F147" s="106">
        <f t="shared" si="34"/>
        <v>2.7186228967366333E-3</v>
      </c>
      <c r="G147" s="56">
        <v>7.7495999999999999E-4</v>
      </c>
      <c r="I147" s="58">
        <f t="shared" si="35"/>
        <v>1290.39359520367</v>
      </c>
      <c r="J147" s="129">
        <v>173910100</v>
      </c>
      <c r="K147" s="61">
        <v>134772.91010000001</v>
      </c>
    </row>
    <row r="148" spans="1:11" ht="15" customHeight="1">
      <c r="A148" s="1" t="str">
        <f>SCALARS!A149</f>
        <v>Tuesday</v>
      </c>
      <c r="B148" s="28">
        <f>SCALARS!B149</f>
        <v>46224</v>
      </c>
      <c r="C148" s="61">
        <f>SCALARS!J149</f>
        <v>1290.4449</v>
      </c>
      <c r="D148" s="61">
        <f>-SCALARS!J$5</f>
        <v>0</v>
      </c>
      <c r="E148" s="61">
        <f t="shared" si="33"/>
        <v>1290.4391364381299</v>
      </c>
      <c r="F148" s="106">
        <f t="shared" si="34"/>
        <v>5.7635618700260238E-3</v>
      </c>
      <c r="G148" s="56">
        <v>7.7492999999999995E-4</v>
      </c>
      <c r="I148" s="58">
        <f t="shared" si="35"/>
        <v>1290.4466276010114</v>
      </c>
      <c r="J148" s="129">
        <v>173010100</v>
      </c>
      <c r="K148" s="61">
        <v>134069.93849999999</v>
      </c>
    </row>
    <row r="149" spans="1:11" ht="15" customHeight="1">
      <c r="A149" s="1" t="str">
        <f>SCALARS!A150</f>
        <v>Wednesday</v>
      </c>
      <c r="B149" s="28">
        <f>SCALARS!B150</f>
        <v>46225</v>
      </c>
      <c r="C149" s="61">
        <f>SCALARS!J150</f>
        <v>1290.4979000000001</v>
      </c>
      <c r="D149" s="61">
        <f>-SCALARS!J$5</f>
        <v>0</v>
      </c>
      <c r="E149" s="61">
        <f t="shared" si="33"/>
        <v>1290.5057492031128</v>
      </c>
      <c r="F149" s="106">
        <f t="shared" si="34"/>
        <v>-7.8492031127552764E-3</v>
      </c>
      <c r="G149" s="56">
        <v>7.7488999999999998E-4</v>
      </c>
      <c r="I149" s="58">
        <f t="shared" si="35"/>
        <v>1290.4996616074793</v>
      </c>
      <c r="J149" s="129">
        <v>173010100</v>
      </c>
      <c r="K149" s="61">
        <v>134064.42879999999</v>
      </c>
    </row>
    <row r="150" spans="1:11" ht="15" customHeight="1">
      <c r="A150" s="1" t="str">
        <f>SCALARS!A151</f>
        <v>Thursday</v>
      </c>
      <c r="B150" s="28">
        <f>SCALARS!B151</f>
        <v>46226</v>
      </c>
      <c r="C150" s="61">
        <f>SCALARS!J151</f>
        <v>1290.5509</v>
      </c>
      <c r="D150" s="61">
        <f>-SCALARS!J$5</f>
        <v>0</v>
      </c>
      <c r="E150" s="61">
        <f t="shared" si="33"/>
        <v>1290.5557132901426</v>
      </c>
      <c r="F150" s="106">
        <f t="shared" si="34"/>
        <v>-4.8132901426924946E-3</v>
      </c>
      <c r="G150" s="56">
        <v>7.7486000000000005E-4</v>
      </c>
      <c r="I150" s="58">
        <f t="shared" si="35"/>
        <v>1290.5526984560588</v>
      </c>
      <c r="J150" s="129">
        <v>172260100</v>
      </c>
      <c r="K150" s="61">
        <v>133477.77290000001</v>
      </c>
    </row>
    <row r="151" spans="1:11" ht="15" customHeight="1">
      <c r="A151" s="1" t="str">
        <f>SCALARS!A152</f>
        <v>Friday</v>
      </c>
      <c r="B151" s="28">
        <f>SCALARS!B152</f>
        <v>46227</v>
      </c>
      <c r="C151" s="61">
        <f>SCALARS!J152</f>
        <v>1290.6039000000001</v>
      </c>
      <c r="D151" s="61">
        <f>-SCALARS!J$5</f>
        <v>0</v>
      </c>
      <c r="E151" s="61">
        <f t="shared" si="33"/>
        <v>1290.6056812462089</v>
      </c>
      <c r="F151" s="106">
        <f t="shared" si="34"/>
        <v>-1.7812462087931635E-3</v>
      </c>
      <c r="G151" s="56">
        <v>7.7483000000000001E-4</v>
      </c>
      <c r="I151" s="58">
        <f t="shared" si="35"/>
        <v>1290.6057371647278</v>
      </c>
      <c r="J151" s="129">
        <v>172260100</v>
      </c>
      <c r="K151" s="61">
        <v>133472.28750000001</v>
      </c>
    </row>
    <row r="152" spans="1:11" ht="15" customHeight="1">
      <c r="A152" s="1" t="str">
        <f>SCALARS!A153</f>
        <v>Saturday</v>
      </c>
      <c r="B152" s="28">
        <f>SCALARS!B153</f>
        <v>46228</v>
      </c>
      <c r="C152" s="61">
        <f>SCALARS!J153</f>
        <v>1290.6569</v>
      </c>
      <c r="D152" s="61">
        <f>-SCALARS!J$5</f>
        <v>0</v>
      </c>
      <c r="E152" s="61"/>
      <c r="F152" s="106"/>
      <c r="G152" s="56"/>
      <c r="I152" s="58"/>
      <c r="J152" s="129"/>
      <c r="K152" s="61"/>
    </row>
    <row r="153" spans="1:11" ht="15" customHeight="1">
      <c r="A153" s="1" t="str">
        <f>SCALARS!A154</f>
        <v>Sunday</v>
      </c>
      <c r="B153" s="28">
        <f>SCALARS!B154</f>
        <v>46229</v>
      </c>
      <c r="C153" s="61">
        <f>SCALARS!J154</f>
        <v>1290.7099000000001</v>
      </c>
      <c r="D153" s="61">
        <f>-SCALARS!J$5</f>
        <v>0</v>
      </c>
      <c r="E153" s="61"/>
      <c r="F153" s="106"/>
      <c r="G153" s="56"/>
      <c r="I153" s="58"/>
      <c r="J153" s="129"/>
      <c r="K153" s="61"/>
    </row>
    <row r="154" spans="1:11" ht="15" customHeight="1">
      <c r="A154" s="1" t="str">
        <f>SCALARS!A155</f>
        <v>Monday</v>
      </c>
      <c r="B154" s="28">
        <f>SCALARS!B155</f>
        <v>46230</v>
      </c>
      <c r="C154" s="61">
        <f>SCALARS!J155</f>
        <v>1290.7628999999999</v>
      </c>
      <c r="D154" s="61">
        <f>-SCALARS!J$5</f>
        <v>0</v>
      </c>
      <c r="E154" s="61">
        <f t="shared" si="33"/>
        <v>1290.7722690485718</v>
      </c>
      <c r="F154" s="106">
        <f t="shared" si="34"/>
        <v>-9.3690485718980199E-3</v>
      </c>
      <c r="G154" s="56">
        <v>7.7472999999999995E-4</v>
      </c>
      <c r="I154" s="58">
        <f t="shared" si="35"/>
        <v>1290.7648659105778</v>
      </c>
      <c r="J154" s="129">
        <v>172260100</v>
      </c>
      <c r="K154" s="61">
        <v>133455.8327</v>
      </c>
    </row>
    <row r="155" spans="1:11" ht="15" customHeight="1">
      <c r="A155" s="1" t="str">
        <f>SCALARS!A156</f>
        <v>Tuesday</v>
      </c>
      <c r="B155" s="28">
        <f>SCALARS!B156</f>
        <v>46231</v>
      </c>
      <c r="C155" s="61">
        <f>SCALARS!J156</f>
        <v>1290.8159000000001</v>
      </c>
      <c r="D155" s="61">
        <f>-SCALARS!J$5</f>
        <v>0</v>
      </c>
      <c r="E155" s="61">
        <f t="shared" si="33"/>
        <v>1290.8222537756551</v>
      </c>
      <c r="F155" s="106">
        <f t="shared" si="34"/>
        <v>-6.3537756550431368E-3</v>
      </c>
      <c r="G155" s="56">
        <v>7.7470000000000002E-4</v>
      </c>
      <c r="I155" s="58">
        <f t="shared" si="35"/>
        <v>1290.8179133548338</v>
      </c>
      <c r="J155" s="129">
        <v>172260100</v>
      </c>
      <c r="K155" s="61">
        <v>133450.34820000001</v>
      </c>
    </row>
    <row r="156" spans="1:11" ht="15" customHeight="1">
      <c r="A156" s="1" t="str">
        <f>SCALARS!A157</f>
        <v>Wednesday</v>
      </c>
      <c r="B156" s="28">
        <f>SCALARS!B157</f>
        <v>46232</v>
      </c>
      <c r="C156" s="61">
        <f>SCALARS!J157</f>
        <v>1290.8688999999999</v>
      </c>
      <c r="D156" s="61">
        <f>-SCALARS!J$5</f>
        <v>0</v>
      </c>
      <c r="E156" s="61">
        <f t="shared" si="33"/>
        <v>1290.8722423741722</v>
      </c>
      <c r="F156" s="106">
        <f t="shared" si="34"/>
        <v>-3.3423741722344857E-3</v>
      </c>
      <c r="G156" s="56">
        <v>7.7466999999999998E-4</v>
      </c>
      <c r="I156" s="58">
        <f t="shared" si="35"/>
        <v>1290.8709622574909</v>
      </c>
      <c r="J156" s="129">
        <v>172260100</v>
      </c>
      <c r="K156" s="61">
        <v>133444.864</v>
      </c>
    </row>
    <row r="157" spans="1:11" ht="15" customHeight="1">
      <c r="A157" s="1" t="str">
        <f>SCALARS!A158</f>
        <v>Thursday</v>
      </c>
      <c r="B157" s="28">
        <f>SCALARS!B158</f>
        <v>46233</v>
      </c>
      <c r="C157" s="61">
        <f>SCALARS!J158</f>
        <v>1290.9219000000001</v>
      </c>
      <c r="D157" s="61">
        <f>-SCALARS!J$5</f>
        <v>0</v>
      </c>
      <c r="E157" s="61" t="e">
        <f t="shared" si="33"/>
        <v>#DIV/0!</v>
      </c>
      <c r="F157" s="106" t="e">
        <f t="shared" si="34"/>
        <v>#DIV/0!</v>
      </c>
      <c r="G157" s="56"/>
      <c r="I157" s="58" t="e">
        <f t="shared" si="35"/>
        <v>#DIV/0!</v>
      </c>
      <c r="J157" s="129"/>
      <c r="K157" s="61"/>
    </row>
    <row r="158" spans="1:11" ht="15" customHeight="1">
      <c r="A158" s="1" t="str">
        <f>SCALARS!A159</f>
        <v>Friday</v>
      </c>
      <c r="B158" s="28">
        <f>SCALARS!B159</f>
        <v>46234</v>
      </c>
      <c r="C158" s="61">
        <f>SCALARS!J159</f>
        <v>1290.9749999999999</v>
      </c>
      <c r="D158" s="61">
        <f>-SCALARS!J$5</f>
        <v>0</v>
      </c>
      <c r="E158" s="61" t="e">
        <f t="shared" si="33"/>
        <v>#DIV/0!</v>
      </c>
      <c r="F158" s="106" t="e">
        <f t="shared" si="34"/>
        <v>#DIV/0!</v>
      </c>
      <c r="G158" s="56"/>
      <c r="I158" s="58" t="e">
        <f t="shared" si="35"/>
        <v>#DIV/0!</v>
      </c>
      <c r="J158" s="129"/>
      <c r="K158" s="61"/>
    </row>
  </sheetData>
  <hyperlinks>
    <hyperlink ref="A1" r:id="rId1" xr:uid="{CF726760-B1FF-463B-AB67-F7C35932A7DA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43C4-5219-4EC7-8D12-C69EF27BEC0E}">
  <sheetPr codeName="Sheet12">
    <tabColor theme="2" tint="-9.9978637043366805E-2"/>
  </sheetPr>
  <dimension ref="A1:R158"/>
  <sheetViews>
    <sheetView zoomScale="80" zoomScaleNormal="80" workbookViewId="0">
      <pane xSplit="5" ySplit="5" topLeftCell="F94" activePane="bottomRight" state="frozen"/>
      <selection pane="topRight" activeCell="F1" sqref="F1"/>
      <selection pane="bottomLeft" activeCell="A6" sqref="A6"/>
      <selection pane="bottomRight" activeCell="H165" sqref="H165"/>
    </sheetView>
  </sheetViews>
  <sheetFormatPr defaultColWidth="11.28515625" defaultRowHeight="15" customHeight="1"/>
  <cols>
    <col min="1" max="1" width="15.42578125" customWidth="1"/>
    <col min="3" max="4" width="13.7109375" bestFit="1" customWidth="1"/>
    <col min="5" max="5" width="10.140625" style="57" bestFit="1" customWidth="1"/>
    <col min="6" max="6" width="17" style="1" bestFit="1" customWidth="1"/>
    <col min="7" max="7" width="13.42578125" style="1" bestFit="1" customWidth="1"/>
    <col min="8" max="8" width="13.7109375" style="1" bestFit="1" customWidth="1"/>
    <col min="9" max="9" width="17.7109375" style="1" bestFit="1" customWidth="1"/>
    <col min="10" max="10" width="13" style="1" bestFit="1" customWidth="1"/>
    <col min="11" max="11" width="26.7109375" style="14" bestFit="1" customWidth="1"/>
    <col min="12" max="12" width="26" bestFit="1" customWidth="1"/>
    <col min="13" max="13" width="15.85546875" bestFit="1" customWidth="1"/>
    <col min="14" max="14" width="10.140625" customWidth="1"/>
    <col min="15" max="15" width="11.42578125" style="81" bestFit="1" customWidth="1"/>
    <col min="16" max="16" width="11.7109375" style="67" bestFit="1" customWidth="1"/>
    <col min="17" max="17" width="11.7109375" style="67" customWidth="1"/>
    <col min="18" max="18" width="11.42578125" style="82" bestFit="1" customWidth="1"/>
  </cols>
  <sheetData>
    <row r="1" spans="1:18" ht="15" customHeight="1">
      <c r="A1" s="5" t="s">
        <v>20</v>
      </c>
      <c r="C1" s="1"/>
      <c r="D1" s="1"/>
      <c r="E1" s="1"/>
      <c r="L1" s="1"/>
      <c r="N1" s="84"/>
      <c r="P1" s="81"/>
      <c r="Q1" s="81"/>
      <c r="R1" s="81"/>
    </row>
    <row r="2" spans="1:18" s="1" customFormat="1" ht="15" customHeight="1">
      <c r="A2" s="5"/>
      <c r="K2" s="14"/>
      <c r="N2" s="84"/>
      <c r="O2" s="81"/>
      <c r="P2" s="81"/>
      <c r="Q2" s="81"/>
      <c r="R2" s="81"/>
    </row>
    <row r="3" spans="1:18" s="1" customFormat="1" ht="15" customHeight="1">
      <c r="A3" s="5"/>
      <c r="E3" s="57"/>
      <c r="K3" s="14"/>
      <c r="O3" s="81"/>
      <c r="P3" s="67"/>
      <c r="Q3" s="67"/>
      <c r="R3" s="82"/>
    </row>
    <row r="4" spans="1:18" s="1" customFormat="1" ht="15" customHeight="1">
      <c r="A4" s="5"/>
      <c r="E4" s="57"/>
      <c r="K4" s="14"/>
      <c r="O4" s="81"/>
      <c r="P4" s="67"/>
      <c r="Q4" s="67"/>
      <c r="R4" s="82"/>
    </row>
    <row r="5" spans="1:18" s="1" customFormat="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22" t="s">
        <v>9</v>
      </c>
      <c r="G5" s="21" t="s">
        <v>10</v>
      </c>
      <c r="H5" s="21" t="s">
        <v>7</v>
      </c>
      <c r="I5" s="45" t="s">
        <v>59</v>
      </c>
      <c r="J5" s="45" t="s">
        <v>60</v>
      </c>
      <c r="K5" s="45" t="s">
        <v>61</v>
      </c>
      <c r="L5" s="45" t="s">
        <v>62</v>
      </c>
      <c r="M5" s="44" t="s">
        <v>2</v>
      </c>
      <c r="N5" s="14"/>
      <c r="O5" s="83"/>
      <c r="P5" s="83"/>
      <c r="Q5" s="83"/>
      <c r="R5" s="83"/>
    </row>
    <row r="6" spans="1:18" s="1" customFormat="1" ht="15" customHeight="1">
      <c r="A6" s="1" t="str">
        <f>SCALARS!A7</f>
        <v>Sunday</v>
      </c>
      <c r="B6" s="28">
        <f>SCALARS!B7</f>
        <v>46082</v>
      </c>
      <c r="C6" s="61">
        <f>SCALARS!K7</f>
        <v>3535.8029000000001</v>
      </c>
      <c r="D6" s="101"/>
      <c r="E6" s="61"/>
      <c r="L6" s="14"/>
      <c r="M6" s="46"/>
      <c r="O6" s="67"/>
      <c r="P6" s="67"/>
      <c r="Q6" s="67"/>
      <c r="R6" s="82"/>
    </row>
    <row r="7" spans="1:18" s="1" customFormat="1" ht="15" customHeight="1">
      <c r="A7" s="1" t="str">
        <f>SCALARS!A8</f>
        <v>Monday</v>
      </c>
      <c r="B7" s="28">
        <f>SCALARS!B8</f>
        <v>46083</v>
      </c>
      <c r="C7" s="61">
        <f>SCALARS!K8</f>
        <v>3535.8029000000001</v>
      </c>
      <c r="D7" s="101"/>
      <c r="E7" s="61"/>
      <c r="L7" s="14"/>
      <c r="M7" s="46"/>
      <c r="O7" s="67"/>
      <c r="P7" s="67"/>
      <c r="Q7" s="67"/>
      <c r="R7" s="82"/>
    </row>
    <row r="8" spans="1:18" s="1" customFormat="1" ht="15" customHeight="1">
      <c r="A8" s="1" t="str">
        <f>SCALARS!A9</f>
        <v>Tuesday</v>
      </c>
      <c r="B8" s="28">
        <f>SCALARS!B9</f>
        <v>46084</v>
      </c>
      <c r="C8" s="61">
        <f>SCALARS!K9</f>
        <v>3535.8029000000001</v>
      </c>
      <c r="D8" s="101"/>
      <c r="E8" s="61"/>
      <c r="M8" s="46"/>
      <c r="O8" s="67"/>
      <c r="P8" s="67"/>
      <c r="Q8" s="67"/>
      <c r="R8" s="82"/>
    </row>
    <row r="9" spans="1:18" s="1" customFormat="1" ht="15" customHeight="1">
      <c r="A9" s="1" t="str">
        <f>SCALARS!A10</f>
        <v>Wednesday</v>
      </c>
      <c r="B9" s="28">
        <f>SCALARS!B10</f>
        <v>46085</v>
      </c>
      <c r="C9" s="61">
        <f>SCALARS!K10</f>
        <v>3535.8029000000001</v>
      </c>
      <c r="D9" s="101"/>
      <c r="E9" s="61"/>
      <c r="M9" s="46"/>
      <c r="O9" s="67"/>
      <c r="P9" s="67"/>
      <c r="Q9" s="67"/>
      <c r="R9" s="82"/>
    </row>
    <row r="10" spans="1:18" s="1" customFormat="1" ht="15" customHeight="1">
      <c r="A10" s="1" t="str">
        <f>SCALARS!A11</f>
        <v>Thursday</v>
      </c>
      <c r="B10" s="28">
        <f>SCALARS!B11</f>
        <v>46086</v>
      </c>
      <c r="C10" s="61">
        <f>SCALARS!K11</f>
        <v>3535.8029000000001</v>
      </c>
      <c r="D10" s="101"/>
      <c r="E10" s="61"/>
      <c r="M10" s="46"/>
      <c r="O10" s="67"/>
      <c r="P10" s="67"/>
      <c r="Q10" s="67"/>
      <c r="R10" s="82"/>
    </row>
    <row r="11" spans="1:18" s="1" customFormat="1" ht="15" customHeight="1">
      <c r="A11" s="1" t="str">
        <f>SCALARS!A12</f>
        <v>Friday</v>
      </c>
      <c r="B11" s="28">
        <f>SCALARS!B12</f>
        <v>46087</v>
      </c>
      <c r="C11" s="61">
        <f>SCALARS!K12</f>
        <v>3535.8029000000001</v>
      </c>
      <c r="D11" s="61"/>
      <c r="E11" s="61"/>
      <c r="F11" s="53"/>
      <c r="H11" s="66"/>
      <c r="K11" s="46"/>
      <c r="L11" s="46"/>
      <c r="M11" s="58"/>
      <c r="O11" s="67"/>
      <c r="P11" s="67"/>
      <c r="Q11" s="67"/>
      <c r="R11" s="82"/>
    </row>
    <row r="12" spans="1:18" s="1" customFormat="1" ht="15" customHeight="1">
      <c r="A12" s="1" t="str">
        <f>SCALARS!A13</f>
        <v>Saturday</v>
      </c>
      <c r="B12" s="28">
        <f>SCALARS!B13</f>
        <v>46088</v>
      </c>
      <c r="C12" s="61">
        <f>SCALARS!K13</f>
        <v>3535.8029000000001</v>
      </c>
      <c r="D12" s="61"/>
      <c r="E12" s="61"/>
      <c r="H12" s="67"/>
      <c r="K12" s="14"/>
      <c r="M12" s="58"/>
      <c r="O12" s="67"/>
      <c r="P12" s="67"/>
      <c r="Q12" s="67"/>
      <c r="R12" s="82"/>
    </row>
    <row r="13" spans="1:18" s="1" customFormat="1" ht="15" customHeight="1">
      <c r="A13" s="1" t="str">
        <f>SCALARS!A14</f>
        <v>Sunday</v>
      </c>
      <c r="B13" s="28">
        <f>SCALARS!B14</f>
        <v>46089</v>
      </c>
      <c r="C13" s="61">
        <f>SCALARS!K14</f>
        <v>3535.8029000000001</v>
      </c>
      <c r="D13" s="61"/>
      <c r="E13" s="61"/>
      <c r="H13" s="67"/>
      <c r="K13" s="14"/>
      <c r="M13" s="58"/>
      <c r="O13" s="67"/>
      <c r="P13" s="67"/>
      <c r="Q13" s="67"/>
      <c r="R13" s="82"/>
    </row>
    <row r="14" spans="1:18" s="1" customFormat="1" ht="15" customHeight="1">
      <c r="A14" s="1" t="str">
        <f>SCALARS!A15</f>
        <v>Monday</v>
      </c>
      <c r="B14" s="28">
        <f>SCALARS!B15</f>
        <v>46090</v>
      </c>
      <c r="C14" s="61">
        <f>SCALARS!K15</f>
        <v>3535.8029000000001</v>
      </c>
      <c r="D14" s="61">
        <f>F14/H14</f>
        <v>3535.8027092302768</v>
      </c>
      <c r="E14" s="61">
        <f>C14-D14</f>
        <v>1.9076972330367425E-4</v>
      </c>
      <c r="F14" s="9">
        <v>59925000</v>
      </c>
      <c r="G14" s="1">
        <v>2.8299999999999999E-4</v>
      </c>
      <c r="H14" s="67">
        <v>16948.061000000002</v>
      </c>
      <c r="I14" s="1">
        <f>G14-0.0000005</f>
        <v>2.8249999999999998E-4</v>
      </c>
      <c r="J14" s="1">
        <f>G14+0.0000005</f>
        <v>2.8350000000000001E-4</v>
      </c>
      <c r="K14" s="46">
        <f t="shared" ref="K14:L18" si="0">1/I14</f>
        <v>3539.8230088495579</v>
      </c>
      <c r="L14" s="46">
        <f t="shared" si="0"/>
        <v>3527.3368606701938</v>
      </c>
      <c r="M14" s="58">
        <f t="shared" ref="M14:M74" si="1">1/G14</f>
        <v>3533.5689045936397</v>
      </c>
      <c r="O14" s="67"/>
      <c r="P14" s="67"/>
      <c r="Q14" s="67"/>
      <c r="R14" s="82"/>
    </row>
    <row r="15" spans="1:18" s="1" customFormat="1" ht="15" customHeight="1">
      <c r="A15" s="1" t="str">
        <f>SCALARS!A16</f>
        <v>Tuesday</v>
      </c>
      <c r="B15" s="28">
        <f>SCALARS!B16</f>
        <v>46091</v>
      </c>
      <c r="C15" s="61">
        <f>SCALARS!K16</f>
        <v>3535.8029000000001</v>
      </c>
      <c r="D15" s="61">
        <f>F15/H15</f>
        <v>3535.8029798284424</v>
      </c>
      <c r="E15" s="61">
        <f t="shared" ref="E15:E18" si="2">C15-D15</f>
        <v>-7.982844226717134E-5</v>
      </c>
      <c r="F15" s="9">
        <v>60175000</v>
      </c>
      <c r="G15" s="1">
        <v>2.8299999999999999E-4</v>
      </c>
      <c r="H15" s="67">
        <v>17018.764999999999</v>
      </c>
      <c r="I15" s="1">
        <f>G15-0.0000005</f>
        <v>2.8249999999999998E-4</v>
      </c>
      <c r="J15" s="1">
        <f>G15+0.0000005</f>
        <v>2.8350000000000001E-4</v>
      </c>
      <c r="K15" s="46">
        <f t="shared" si="0"/>
        <v>3539.8230088495579</v>
      </c>
      <c r="L15" s="46">
        <f t="shared" si="0"/>
        <v>3527.3368606701938</v>
      </c>
      <c r="M15" s="58">
        <f t="shared" si="1"/>
        <v>3533.5689045936397</v>
      </c>
      <c r="O15" s="67"/>
      <c r="P15" s="67"/>
      <c r="Q15" s="67"/>
      <c r="R15" s="82"/>
    </row>
    <row r="16" spans="1:18" s="1" customFormat="1" ht="15" customHeight="1">
      <c r="A16" s="1" t="str">
        <f>SCALARS!A17</f>
        <v>Wednesday</v>
      </c>
      <c r="B16" s="28">
        <f>SCALARS!B17</f>
        <v>46092</v>
      </c>
      <c r="C16" s="61">
        <f>SCALARS!K17</f>
        <v>3535.8029000000001</v>
      </c>
      <c r="D16" s="61">
        <f>F16/H16</f>
        <v>3535.8020198769659</v>
      </c>
      <c r="E16" s="61">
        <f t="shared" si="2"/>
        <v>8.8012303422146942E-4</v>
      </c>
      <c r="F16" s="9">
        <v>60475000</v>
      </c>
      <c r="G16" s="1">
        <v>2.8299999999999999E-4</v>
      </c>
      <c r="H16" s="67">
        <v>17103.616000000002</v>
      </c>
      <c r="I16" s="1">
        <f>G16-0.0000005</f>
        <v>2.8249999999999998E-4</v>
      </c>
      <c r="J16" s="1">
        <f>G16+0.0000005</f>
        <v>2.8350000000000001E-4</v>
      </c>
      <c r="K16" s="46">
        <f t="shared" si="0"/>
        <v>3539.8230088495579</v>
      </c>
      <c r="L16" s="46">
        <f t="shared" si="0"/>
        <v>3527.3368606701938</v>
      </c>
      <c r="M16" s="58">
        <f t="shared" si="1"/>
        <v>3533.5689045936397</v>
      </c>
      <c r="O16" s="67"/>
      <c r="P16" s="67"/>
      <c r="Q16" s="67"/>
      <c r="R16" s="82"/>
    </row>
    <row r="17" spans="1:15" ht="15" customHeight="1">
      <c r="A17" s="1" t="str">
        <f>SCALARS!A18</f>
        <v>Thursday</v>
      </c>
      <c r="B17" s="28">
        <f>SCALARS!B18</f>
        <v>46093</v>
      </c>
      <c r="C17" s="61">
        <f>SCALARS!K18</f>
        <v>3535.8029000000001</v>
      </c>
      <c r="D17" s="61">
        <f>F17/H17</f>
        <v>3535.7981220657275</v>
      </c>
      <c r="E17" s="112"/>
      <c r="F17" s="9">
        <v>60250000</v>
      </c>
      <c r="G17" s="1">
        <v>2.8299999999999999E-4</v>
      </c>
      <c r="H17" s="67">
        <v>17040</v>
      </c>
      <c r="I17" s="1">
        <f>G17-0.0000005</f>
        <v>2.8249999999999998E-4</v>
      </c>
      <c r="J17" s="1">
        <f>G17+0.0000005</f>
        <v>2.8350000000000001E-4</v>
      </c>
      <c r="K17" s="46">
        <f t="shared" si="0"/>
        <v>3539.8230088495579</v>
      </c>
      <c r="L17" s="46">
        <f t="shared" si="0"/>
        <v>3527.3368606701938</v>
      </c>
      <c r="M17" s="58">
        <f t="shared" si="1"/>
        <v>3533.5689045936397</v>
      </c>
      <c r="N17" s="1"/>
      <c r="O17" s="67"/>
    </row>
    <row r="18" spans="1:15" ht="15" customHeight="1">
      <c r="A18" s="1" t="str">
        <f>SCALARS!A19</f>
        <v>Friday</v>
      </c>
      <c r="B18" s="28">
        <f>SCALARS!B19</f>
        <v>46094</v>
      </c>
      <c r="C18" s="61">
        <f>SCALARS!K19</f>
        <v>3535.8029000000001</v>
      </c>
      <c r="D18" s="61">
        <f>F18/H18</f>
        <v>3535.8024795687838</v>
      </c>
      <c r="E18" s="61">
        <f t="shared" si="2"/>
        <v>4.2043121629831148E-4</v>
      </c>
      <c r="F18" s="9">
        <v>60250000</v>
      </c>
      <c r="G18" s="1">
        <v>2.8299999999999999E-4</v>
      </c>
      <c r="H18" s="67">
        <v>17039.978999999999</v>
      </c>
      <c r="I18" s="1">
        <f>G18-0.0000005</f>
        <v>2.8249999999999998E-4</v>
      </c>
      <c r="J18" s="1">
        <f>G18+0.0000005</f>
        <v>2.8350000000000001E-4</v>
      </c>
      <c r="K18" s="46">
        <f t="shared" si="0"/>
        <v>3539.8230088495579</v>
      </c>
      <c r="L18" s="46">
        <f t="shared" si="0"/>
        <v>3527.3368606701938</v>
      </c>
      <c r="M18" s="58">
        <f t="shared" si="1"/>
        <v>3533.5689045936397</v>
      </c>
      <c r="N18" s="1"/>
      <c r="O18" s="67"/>
    </row>
    <row r="19" spans="1:15" ht="15" customHeight="1">
      <c r="A19" s="1" t="str">
        <f>SCALARS!A20</f>
        <v>Saturday</v>
      </c>
      <c r="B19" s="28">
        <f>SCALARS!B20</f>
        <v>46095</v>
      </c>
      <c r="C19" s="61">
        <f>SCALARS!K20</f>
        <v>3535.8029000000001</v>
      </c>
      <c r="D19" s="61"/>
      <c r="E19" s="61"/>
      <c r="F19" s="9"/>
      <c r="H19" s="67"/>
      <c r="K19" s="46"/>
      <c r="L19" s="46"/>
      <c r="M19" s="58"/>
      <c r="N19" s="1"/>
      <c r="O19" s="67"/>
    </row>
    <row r="20" spans="1:15" ht="15" customHeight="1">
      <c r="A20" s="1" t="str">
        <f>SCALARS!A21</f>
        <v>Sunday</v>
      </c>
      <c r="B20" s="28">
        <f>SCALARS!B21</f>
        <v>46096</v>
      </c>
      <c r="C20" s="61">
        <f>SCALARS!K21</f>
        <v>3535.8029000000001</v>
      </c>
      <c r="D20" s="61"/>
      <c r="E20" s="61"/>
      <c r="F20" s="9"/>
      <c r="H20" s="67"/>
      <c r="K20" s="46"/>
      <c r="L20" s="46"/>
      <c r="M20" s="58"/>
      <c r="N20" s="1"/>
      <c r="O20" s="67"/>
    </row>
    <row r="21" spans="1:15" ht="15" customHeight="1">
      <c r="A21" s="1" t="str">
        <f>SCALARS!A22</f>
        <v>Monday</v>
      </c>
      <c r="B21" s="28">
        <f>SCALARS!B22</f>
        <v>46097</v>
      </c>
      <c r="C21" s="61">
        <f>SCALARS!K22</f>
        <v>3535.8029000000001</v>
      </c>
      <c r="D21" s="61">
        <f>F21/H21</f>
        <v>3535.8025808385619</v>
      </c>
      <c r="E21" s="61">
        <f>C21-D21</f>
        <v>3.1916143825583276E-4</v>
      </c>
      <c r="F21" s="9">
        <v>60650000</v>
      </c>
      <c r="G21" s="1">
        <v>2.8299999999999999E-4</v>
      </c>
      <c r="H21" s="67">
        <v>17153.107</v>
      </c>
      <c r="I21" s="1">
        <f>G21-0.0000005</f>
        <v>2.8249999999999998E-4</v>
      </c>
      <c r="J21" s="1">
        <f>G21+0.0000005</f>
        <v>2.8350000000000001E-4</v>
      </c>
      <c r="K21" s="46">
        <f t="shared" ref="K21" si="3">1/I21</f>
        <v>3539.8230088495579</v>
      </c>
      <c r="L21" s="46">
        <f t="shared" ref="L21" si="4">1/J21</f>
        <v>3527.3368606701938</v>
      </c>
      <c r="M21" s="58">
        <f t="shared" si="1"/>
        <v>3533.5689045936397</v>
      </c>
      <c r="N21" s="1"/>
      <c r="O21" s="67"/>
    </row>
    <row r="22" spans="1:15" ht="15" customHeight="1">
      <c r="A22" s="1" t="str">
        <f>SCALARS!A23</f>
        <v>Tuesday</v>
      </c>
      <c r="B22" s="28">
        <f>SCALARS!B23</f>
        <v>46098</v>
      </c>
      <c r="C22" s="61">
        <f>SCALARS!K23</f>
        <v>3535.8029000000001</v>
      </c>
      <c r="D22" s="61">
        <f>F22/H22</f>
        <v>3535.8029193252814</v>
      </c>
      <c r="E22" s="61">
        <f t="shared" ref="E22:E25" si="5">C22-D22</f>
        <v>-1.9325281300552888E-5</v>
      </c>
      <c r="F22" s="9">
        <v>60350000</v>
      </c>
      <c r="G22" s="1">
        <v>2.8299999999999999E-4</v>
      </c>
      <c r="H22" s="67">
        <v>17068.258999999998</v>
      </c>
      <c r="I22" s="1">
        <f>G22-0.0000005</f>
        <v>2.8249999999999998E-4</v>
      </c>
      <c r="J22" s="1">
        <f>G22+0.0000005</f>
        <v>2.8350000000000001E-4</v>
      </c>
      <c r="K22" s="46">
        <f t="shared" ref="K22" si="6">1/I22</f>
        <v>3539.8230088495579</v>
      </c>
      <c r="L22" s="46">
        <f t="shared" ref="L22" si="7">1/J22</f>
        <v>3527.3368606701938</v>
      </c>
      <c r="M22" s="58">
        <f t="shared" si="1"/>
        <v>3533.5689045936397</v>
      </c>
      <c r="N22" s="1"/>
      <c r="O22" s="67"/>
    </row>
    <row r="23" spans="1:15" ht="15" customHeight="1">
      <c r="A23" s="1" t="str">
        <f>SCALARS!A24</f>
        <v>Wednesday</v>
      </c>
      <c r="B23" s="28">
        <f>SCALARS!B24</f>
        <v>46099</v>
      </c>
      <c r="C23" s="61">
        <f>SCALARS!K24</f>
        <v>3535.8029000000001</v>
      </c>
      <c r="D23" s="61">
        <f>F23/H23</f>
        <v>3535.8025430193202</v>
      </c>
      <c r="E23" s="61">
        <f t="shared" si="5"/>
        <v>3.569806799532671E-4</v>
      </c>
      <c r="F23" s="9">
        <v>60500000</v>
      </c>
      <c r="G23" s="1">
        <v>2.8299999999999999E-4</v>
      </c>
      <c r="H23" s="67">
        <v>17110.684000000001</v>
      </c>
      <c r="I23" s="1">
        <f>G23-0.0000005</f>
        <v>2.8249999999999998E-4</v>
      </c>
      <c r="J23" s="1">
        <f>G23+0.0000005</f>
        <v>2.8350000000000001E-4</v>
      </c>
      <c r="K23" s="46">
        <f t="shared" ref="K23" si="8">1/I23</f>
        <v>3539.8230088495579</v>
      </c>
      <c r="L23" s="46">
        <f t="shared" ref="L23" si="9">1/J23</f>
        <v>3527.3368606701938</v>
      </c>
      <c r="M23" s="58">
        <f t="shared" si="1"/>
        <v>3533.5689045936397</v>
      </c>
      <c r="N23" s="1"/>
      <c r="O23" s="67"/>
    </row>
    <row r="24" spans="1:15" ht="15" customHeight="1">
      <c r="A24" s="1" t="str">
        <f>SCALARS!A25</f>
        <v>Thursday</v>
      </c>
      <c r="B24" s="28">
        <f>SCALARS!B25</f>
        <v>46100</v>
      </c>
      <c r="C24" s="61">
        <f>SCALARS!K25</f>
        <v>3535.8029000000001</v>
      </c>
      <c r="D24" s="61">
        <f>F24/H24</f>
        <v>3535.8031629483362</v>
      </c>
      <c r="E24" s="61">
        <f t="shared" si="5"/>
        <v>-2.6294833605788881E-4</v>
      </c>
      <c r="F24" s="9">
        <v>60500000</v>
      </c>
      <c r="G24" s="1">
        <v>2.8299999999999999E-4</v>
      </c>
      <c r="H24" s="67">
        <v>17110.681</v>
      </c>
      <c r="I24" s="1">
        <f>G24-0.0000005</f>
        <v>2.8249999999999998E-4</v>
      </c>
      <c r="J24" s="1">
        <f>G24+0.0000005</f>
        <v>2.8350000000000001E-4</v>
      </c>
      <c r="K24" s="46">
        <f t="shared" ref="K24" si="10">1/I24</f>
        <v>3539.8230088495579</v>
      </c>
      <c r="L24" s="46">
        <f t="shared" ref="L24" si="11">1/J24</f>
        <v>3527.3368606701938</v>
      </c>
      <c r="M24" s="58">
        <f t="shared" si="1"/>
        <v>3533.5689045936397</v>
      </c>
      <c r="N24" s="1"/>
      <c r="O24" s="67"/>
    </row>
    <row r="25" spans="1:15" ht="15" customHeight="1">
      <c r="A25" s="1" t="str">
        <f>SCALARS!A26</f>
        <v>Friday</v>
      </c>
      <c r="B25" s="28">
        <f>SCALARS!B26</f>
        <v>46101</v>
      </c>
      <c r="C25" s="61">
        <f>SCALARS!K26</f>
        <v>3535.8029000000001</v>
      </c>
      <c r="D25" s="61">
        <f>F25/H25</f>
        <v>3535.8031629483362</v>
      </c>
      <c r="E25" s="61">
        <f t="shared" si="5"/>
        <v>-2.6294833605788881E-4</v>
      </c>
      <c r="F25" s="9">
        <v>60500000</v>
      </c>
      <c r="G25" s="1">
        <v>2.8299999999999999E-4</v>
      </c>
      <c r="H25" s="67">
        <v>17110.681</v>
      </c>
      <c r="I25" s="1">
        <f>G25-0.0000005</f>
        <v>2.8249999999999998E-4</v>
      </c>
      <c r="J25" s="1">
        <f>G25+0.0000005</f>
        <v>2.8350000000000001E-4</v>
      </c>
      <c r="K25" s="46">
        <f t="shared" ref="K25" si="12">1/I25</f>
        <v>3539.8230088495579</v>
      </c>
      <c r="L25" s="46">
        <f t="shared" ref="L25" si="13">1/J25</f>
        <v>3527.3368606701938</v>
      </c>
      <c r="M25" s="58">
        <f t="shared" si="1"/>
        <v>3533.5689045936397</v>
      </c>
      <c r="N25" s="1"/>
      <c r="O25" s="67"/>
    </row>
    <row r="26" spans="1:15" ht="15" customHeight="1">
      <c r="A26" s="1" t="str">
        <f>SCALARS!A27</f>
        <v>Saturday</v>
      </c>
      <c r="B26" s="28">
        <f>SCALARS!B27</f>
        <v>46102</v>
      </c>
      <c r="C26" s="61">
        <f>SCALARS!K27</f>
        <v>3535.8029000000001</v>
      </c>
      <c r="D26" s="61"/>
      <c r="E26" s="61"/>
      <c r="M26" s="58"/>
      <c r="N26" s="1"/>
      <c r="O26" s="67"/>
    </row>
    <row r="27" spans="1:15" ht="15" customHeight="1">
      <c r="A27" s="1" t="str">
        <f>SCALARS!A28</f>
        <v>Sunday</v>
      </c>
      <c r="B27" s="28">
        <f>SCALARS!B28</f>
        <v>46103</v>
      </c>
      <c r="C27" s="61">
        <f>SCALARS!K28</f>
        <v>3535.8029000000001</v>
      </c>
      <c r="D27" s="61"/>
      <c r="E27" s="61"/>
      <c r="M27" s="58"/>
      <c r="N27" s="1"/>
      <c r="O27" s="67"/>
    </row>
    <row r="28" spans="1:15" ht="15" customHeight="1">
      <c r="A28" s="1" t="str">
        <f>SCALARS!A29</f>
        <v>Monday</v>
      </c>
      <c r="B28" s="28">
        <f>SCALARS!B29</f>
        <v>46104</v>
      </c>
      <c r="C28" s="61">
        <f>SCALARS!K29</f>
        <v>3535.8029000000001</v>
      </c>
      <c r="D28" s="61"/>
      <c r="E28" s="61"/>
      <c r="F28" s="9"/>
      <c r="H28" s="67"/>
      <c r="K28" s="46"/>
      <c r="L28" s="46"/>
      <c r="M28" s="58"/>
      <c r="N28" s="1"/>
      <c r="O28" s="67"/>
    </row>
    <row r="29" spans="1:15" ht="15" customHeight="1">
      <c r="A29" s="1" t="str">
        <f>SCALARS!A30</f>
        <v>Tuesday</v>
      </c>
      <c r="B29" s="28">
        <f>SCALARS!B30</f>
        <v>46105</v>
      </c>
      <c r="C29" s="61">
        <f>SCALARS!K30</f>
        <v>3535.8029000000001</v>
      </c>
      <c r="D29" s="61">
        <f>F29/H29</f>
        <v>3535.8036114983752</v>
      </c>
      <c r="E29" s="61">
        <f>C29-D29</f>
        <v>-7.1149837503980962E-4</v>
      </c>
      <c r="F29" s="9">
        <v>60650000</v>
      </c>
      <c r="G29" s="1">
        <v>2.8299999999999999E-4</v>
      </c>
      <c r="H29" s="67">
        <v>17153.101999999999</v>
      </c>
      <c r="I29" s="1">
        <f>G29-0.0000005</f>
        <v>2.8249999999999998E-4</v>
      </c>
      <c r="J29" s="1">
        <f>G29+0.0000005</f>
        <v>2.8350000000000001E-4</v>
      </c>
      <c r="K29" s="46">
        <f t="shared" ref="K29" si="14">1/I29</f>
        <v>3539.8230088495579</v>
      </c>
      <c r="L29" s="46">
        <f t="shared" ref="L29" si="15">1/J29</f>
        <v>3527.3368606701938</v>
      </c>
      <c r="M29" s="58">
        <f t="shared" si="1"/>
        <v>3533.5689045936397</v>
      </c>
      <c r="N29" s="1"/>
      <c r="O29" s="67"/>
    </row>
    <row r="30" spans="1:15" ht="15" customHeight="1">
      <c r="A30" s="1" t="str">
        <f>SCALARS!A31</f>
        <v>Wednesday</v>
      </c>
      <c r="B30" s="28">
        <f>SCALARS!B31</f>
        <v>46106</v>
      </c>
      <c r="C30" s="61">
        <f>SCALARS!K31</f>
        <v>3535.8029000000001</v>
      </c>
      <c r="D30" s="61">
        <f>F30/H30</f>
        <v>3535.8028945696351</v>
      </c>
      <c r="E30" s="61">
        <f t="shared" ref="E30:E32" si="16">C30-D30</f>
        <v>5.4303650358633604E-6</v>
      </c>
      <c r="F30" s="9">
        <v>60250000</v>
      </c>
      <c r="G30" s="1">
        <v>2.8299999999999999E-4</v>
      </c>
      <c r="H30" s="67">
        <v>17039.976999999999</v>
      </c>
      <c r="I30" s="1">
        <f>G30-0.0000005</f>
        <v>2.8249999999999998E-4</v>
      </c>
      <c r="J30" s="1">
        <f>G30+0.0000005</f>
        <v>2.8350000000000001E-4</v>
      </c>
      <c r="K30" s="46">
        <f t="shared" ref="K30" si="17">1/I30</f>
        <v>3539.8230088495579</v>
      </c>
      <c r="L30" s="46">
        <f t="shared" ref="L30" si="18">1/J30</f>
        <v>3527.3368606701938</v>
      </c>
      <c r="M30" s="58">
        <f t="shared" si="1"/>
        <v>3533.5689045936397</v>
      </c>
      <c r="N30" s="1"/>
      <c r="O30" s="67"/>
    </row>
    <row r="31" spans="1:15" ht="15" customHeight="1">
      <c r="A31" s="1" t="str">
        <f>SCALARS!A32</f>
        <v>Thursday</v>
      </c>
      <c r="B31" s="28">
        <f>SCALARS!B32</f>
        <v>46107</v>
      </c>
      <c r="C31" s="61">
        <f>SCALARS!K32</f>
        <v>3535.8029000000001</v>
      </c>
      <c r="D31" s="61">
        <f>F31/H31</f>
        <v>3535.8033095705837</v>
      </c>
      <c r="E31" s="61">
        <f t="shared" si="16"/>
        <v>-4.0957058354251785E-4</v>
      </c>
      <c r="F31" s="9">
        <v>60250000</v>
      </c>
      <c r="G31" s="1">
        <v>2.8299999999999999E-4</v>
      </c>
      <c r="H31" s="67">
        <v>17039.974999999999</v>
      </c>
      <c r="I31" s="1">
        <f>G31-0.0000005</f>
        <v>2.8249999999999998E-4</v>
      </c>
      <c r="J31" s="1">
        <f>G31+0.0000005</f>
        <v>2.8350000000000001E-4</v>
      </c>
      <c r="K31" s="46">
        <f t="shared" ref="K31" si="19">1/I31</f>
        <v>3539.8230088495579</v>
      </c>
      <c r="L31" s="46">
        <f t="shared" ref="L31" si="20">1/J31</f>
        <v>3527.3368606701938</v>
      </c>
      <c r="M31" s="58">
        <f t="shared" si="1"/>
        <v>3533.5689045936397</v>
      </c>
      <c r="N31" s="1"/>
      <c r="O31" s="67"/>
    </row>
    <row r="32" spans="1:15" ht="15" customHeight="1">
      <c r="A32" s="1" t="str">
        <f>SCALARS!A33</f>
        <v>Friday</v>
      </c>
      <c r="B32" s="28">
        <f>SCALARS!B33</f>
        <v>46108</v>
      </c>
      <c r="C32" s="61">
        <f>SCALARS!K33</f>
        <v>3535.8029000000001</v>
      </c>
      <c r="D32" s="61">
        <f>F32/H32</f>
        <v>3535.8037992028053</v>
      </c>
      <c r="E32" s="61">
        <f t="shared" si="16"/>
        <v>-8.9920280515798368E-4</v>
      </c>
      <c r="F32" s="9">
        <v>60125000</v>
      </c>
      <c r="G32" s="1">
        <v>2.8299999999999999E-4</v>
      </c>
      <c r="H32" s="67">
        <v>17004.62</v>
      </c>
      <c r="I32" s="1">
        <f>G32-0.0000005</f>
        <v>2.8249999999999998E-4</v>
      </c>
      <c r="J32" s="1">
        <f>G32+0.0000005</f>
        <v>2.8350000000000001E-4</v>
      </c>
      <c r="K32" s="46">
        <f t="shared" ref="K32" si="21">1/I32</f>
        <v>3539.8230088495579</v>
      </c>
      <c r="L32" s="46">
        <f t="shared" ref="L32" si="22">1/J32</f>
        <v>3527.3368606701938</v>
      </c>
      <c r="M32" s="58">
        <f t="shared" si="1"/>
        <v>3533.5689045936397</v>
      </c>
      <c r="N32" s="1"/>
      <c r="O32" s="67"/>
    </row>
    <row r="33" spans="1:15" ht="15" customHeight="1">
      <c r="A33" s="1" t="str">
        <f>SCALARS!A34</f>
        <v>Saturday</v>
      </c>
      <c r="B33" s="28">
        <f>SCALARS!B34</f>
        <v>46109</v>
      </c>
      <c r="C33" s="61">
        <f>SCALARS!K34</f>
        <v>3535.8029000000001</v>
      </c>
      <c r="D33" s="61"/>
      <c r="E33" s="61"/>
      <c r="M33" s="58"/>
      <c r="N33" s="1"/>
      <c r="O33" s="67"/>
    </row>
    <row r="34" spans="1:15" ht="15" customHeight="1">
      <c r="A34" s="1" t="str">
        <f>SCALARS!A35</f>
        <v>Sunday</v>
      </c>
      <c r="B34" s="28">
        <f>SCALARS!B35</f>
        <v>46110</v>
      </c>
      <c r="C34" s="61">
        <f>SCALARS!K35</f>
        <v>3535.8029000000001</v>
      </c>
      <c r="D34" s="61"/>
      <c r="E34" s="61"/>
      <c r="M34" s="58"/>
      <c r="N34" s="1"/>
      <c r="O34" s="67"/>
    </row>
    <row r="35" spans="1:15" ht="15" customHeight="1">
      <c r="A35" s="1" t="str">
        <f>SCALARS!A36</f>
        <v>Monday</v>
      </c>
      <c r="B35" s="28">
        <f>SCALARS!B36</f>
        <v>46111</v>
      </c>
      <c r="C35" s="61">
        <f>SCALARS!K36</f>
        <v>3535.8029000000001</v>
      </c>
      <c r="D35" s="61">
        <f>F35/H35</f>
        <v>3535.8029674751997</v>
      </c>
      <c r="E35" s="61">
        <f>C35-D35</f>
        <v>-6.7475199557520682E-5</v>
      </c>
      <c r="F35" s="9">
        <v>60125000</v>
      </c>
      <c r="G35" s="1">
        <v>2.8299999999999999E-4</v>
      </c>
      <c r="H35" s="67">
        <v>17004.624</v>
      </c>
      <c r="I35" s="1">
        <f>G35-0.0000005</f>
        <v>2.8249999999999998E-4</v>
      </c>
      <c r="J35" s="1">
        <f>G35+0.0000005</f>
        <v>2.8350000000000001E-4</v>
      </c>
      <c r="K35" s="46">
        <f t="shared" ref="K35" si="23">1/I35</f>
        <v>3539.8230088495579</v>
      </c>
      <c r="L35" s="46">
        <f t="shared" ref="L35" si="24">1/J35</f>
        <v>3527.3368606701938</v>
      </c>
      <c r="M35" s="58">
        <f t="shared" si="1"/>
        <v>3533.5689045936397</v>
      </c>
      <c r="N35" s="1"/>
      <c r="O35" s="67"/>
    </row>
    <row r="36" spans="1:15" ht="15" customHeight="1">
      <c r="A36" s="1" t="str">
        <f>SCALARS!A37</f>
        <v>Tuesday</v>
      </c>
      <c r="B36" s="28">
        <f>SCALARS!B37</f>
        <v>46112</v>
      </c>
      <c r="C36" s="61">
        <f>SCALARS!K37</f>
        <v>3535.8029000000001</v>
      </c>
      <c r="D36" s="61">
        <f t="shared" ref="D36:D67" si="25">F36/H36</f>
        <v>3535.8029674751997</v>
      </c>
      <c r="E36" s="61">
        <f t="shared" ref="E36:E38" si="26">C36-D36</f>
        <v>-6.7475199557520682E-5</v>
      </c>
      <c r="F36" s="9">
        <v>60125000</v>
      </c>
      <c r="G36" s="1">
        <v>2.8299999999999999E-4</v>
      </c>
      <c r="H36" s="67">
        <v>17004.624</v>
      </c>
      <c r="I36" s="1">
        <f t="shared" ref="I36:I67" si="27">G36-0.0000005</f>
        <v>2.8249999999999998E-4</v>
      </c>
      <c r="J36" s="1">
        <f t="shared" ref="J36:J67" si="28">G36+0.0000005</f>
        <v>2.8350000000000001E-4</v>
      </c>
      <c r="K36" s="46">
        <f t="shared" ref="K36:K67" si="29">1/I36</f>
        <v>3539.8230088495579</v>
      </c>
      <c r="L36" s="46">
        <f t="shared" ref="L36:L67" si="30">1/J36</f>
        <v>3527.3368606701938</v>
      </c>
      <c r="M36" s="58">
        <f t="shared" si="1"/>
        <v>3533.5689045936397</v>
      </c>
      <c r="N36" s="1"/>
      <c r="O36" s="67"/>
    </row>
    <row r="37" spans="1:15" ht="15" customHeight="1">
      <c r="A37" s="1" t="str">
        <f>SCALARS!A38</f>
        <v>Wednesday</v>
      </c>
      <c r="B37" s="28">
        <f>SCALARS!B38</f>
        <v>46113</v>
      </c>
      <c r="C37" s="61">
        <f>SCALARS!K38</f>
        <v>3535.8029000000001</v>
      </c>
      <c r="D37" s="61">
        <f t="shared" si="25"/>
        <v>3535.8027595433596</v>
      </c>
      <c r="E37" s="61">
        <f t="shared" si="26"/>
        <v>1.4045664056538953E-4</v>
      </c>
      <c r="F37" s="9">
        <v>60125000</v>
      </c>
      <c r="G37" s="1">
        <v>2.8299999999999999E-4</v>
      </c>
      <c r="H37" s="67">
        <v>17004.625</v>
      </c>
      <c r="I37" s="1">
        <f t="shared" si="27"/>
        <v>2.8249999999999998E-4</v>
      </c>
      <c r="J37" s="1">
        <f t="shared" si="28"/>
        <v>2.8350000000000001E-4</v>
      </c>
      <c r="K37" s="46">
        <f t="shared" si="29"/>
        <v>3539.8230088495579</v>
      </c>
      <c r="L37" s="46">
        <f t="shared" si="30"/>
        <v>3527.3368606701938</v>
      </c>
      <c r="M37" s="58">
        <f t="shared" si="1"/>
        <v>3533.5689045936397</v>
      </c>
      <c r="N37" s="1"/>
      <c r="O37" s="67"/>
    </row>
    <row r="38" spans="1:15" ht="15" customHeight="1">
      <c r="A38" s="1" t="str">
        <f>SCALARS!A39</f>
        <v>Thursday</v>
      </c>
      <c r="B38" s="28">
        <f>SCALARS!B39</f>
        <v>46114</v>
      </c>
      <c r="C38" s="61">
        <f>SCALARS!K39</f>
        <v>3535.8029000000001</v>
      </c>
      <c r="D38" s="61">
        <f t="shared" si="25"/>
        <v>3535.8029674751997</v>
      </c>
      <c r="E38" s="61">
        <f t="shared" si="26"/>
        <v>-6.7475199557520682E-5</v>
      </c>
      <c r="F38" s="9">
        <v>60125000</v>
      </c>
      <c r="G38" s="1">
        <v>2.8299999999999999E-4</v>
      </c>
      <c r="H38" s="67">
        <v>17004.624</v>
      </c>
      <c r="I38" s="1">
        <f t="shared" si="27"/>
        <v>2.8249999999999998E-4</v>
      </c>
      <c r="J38" s="1">
        <f t="shared" si="28"/>
        <v>2.8350000000000001E-4</v>
      </c>
      <c r="K38" s="46">
        <f t="shared" si="29"/>
        <v>3539.8230088495579</v>
      </c>
      <c r="L38" s="46">
        <f t="shared" si="30"/>
        <v>3527.3368606701938</v>
      </c>
      <c r="M38" s="58">
        <f t="shared" si="1"/>
        <v>3533.5689045936397</v>
      </c>
      <c r="N38" s="1"/>
      <c r="O38" s="67"/>
    </row>
    <row r="39" spans="1:15" ht="15" customHeight="1">
      <c r="A39" s="1" t="str">
        <f>SCALARS!A40</f>
        <v>Friday</v>
      </c>
      <c r="B39" s="28">
        <f>SCALARS!B40</f>
        <v>46115</v>
      </c>
      <c r="C39" s="61">
        <f>SCALARS!K40</f>
        <v>3535.8029000000001</v>
      </c>
      <c r="D39" s="61"/>
      <c r="E39" s="61"/>
      <c r="F39" s="9"/>
      <c r="H39" s="67"/>
      <c r="K39" s="46"/>
      <c r="L39" s="46"/>
      <c r="M39" s="58"/>
      <c r="N39" s="1"/>
      <c r="O39" s="67"/>
    </row>
    <row r="40" spans="1:15" ht="15" customHeight="1">
      <c r="A40" s="1" t="str">
        <f>SCALARS!A41</f>
        <v>Saturday</v>
      </c>
      <c r="B40" s="28">
        <f>SCALARS!B41</f>
        <v>46116</v>
      </c>
      <c r="C40" s="61">
        <f>SCALARS!K41</f>
        <v>3535.8029000000001</v>
      </c>
      <c r="D40" s="61"/>
      <c r="E40" s="61"/>
      <c r="F40" s="9"/>
      <c r="H40" s="67"/>
      <c r="K40" s="46"/>
      <c r="L40" s="46"/>
      <c r="M40" s="58"/>
      <c r="N40" s="1"/>
      <c r="O40" s="67"/>
    </row>
    <row r="41" spans="1:15" ht="15" customHeight="1">
      <c r="A41" s="1" t="str">
        <f>SCALARS!A42</f>
        <v>Sunday</v>
      </c>
      <c r="B41" s="28">
        <f>SCALARS!B42</f>
        <v>46117</v>
      </c>
      <c r="C41" s="61">
        <f>SCALARS!K42</f>
        <v>3535.8029000000001</v>
      </c>
      <c r="D41" s="61"/>
      <c r="E41" s="61"/>
      <c r="F41" s="9"/>
      <c r="H41" s="67"/>
      <c r="K41" s="46"/>
      <c r="L41" s="46"/>
      <c r="M41" s="58"/>
      <c r="N41" s="1"/>
      <c r="O41" s="67"/>
    </row>
    <row r="42" spans="1:15" ht="15" customHeight="1">
      <c r="A42" s="1" t="str">
        <f>SCALARS!A43</f>
        <v>Monday</v>
      </c>
      <c r="B42" s="28">
        <f>SCALARS!B43</f>
        <v>46118</v>
      </c>
      <c r="C42" s="61">
        <f>SCALARS!K43</f>
        <v>3535.8029000000001</v>
      </c>
      <c r="D42" s="61">
        <f t="shared" si="25"/>
        <v>3535.8032361076753</v>
      </c>
      <c r="E42" s="61">
        <f>C42-D42</f>
        <v>-3.3610767513891915E-4</v>
      </c>
      <c r="F42" s="9">
        <v>60375000</v>
      </c>
      <c r="G42" s="1">
        <v>2.8299999999999999E-4</v>
      </c>
      <c r="H42" s="67">
        <v>17075.328000000001</v>
      </c>
      <c r="I42" s="1">
        <f t="shared" si="27"/>
        <v>2.8249999999999998E-4</v>
      </c>
      <c r="J42" s="1">
        <f t="shared" si="28"/>
        <v>2.8350000000000001E-4</v>
      </c>
      <c r="K42" s="46">
        <f t="shared" si="29"/>
        <v>3539.8230088495579</v>
      </c>
      <c r="L42" s="46">
        <f t="shared" si="30"/>
        <v>3527.3368606701938</v>
      </c>
      <c r="M42" s="58">
        <f t="shared" si="1"/>
        <v>3533.5689045936397</v>
      </c>
      <c r="N42" s="1"/>
      <c r="O42" s="67"/>
    </row>
    <row r="43" spans="1:15" ht="15" customHeight="1">
      <c r="A43" s="1" t="str">
        <f>SCALARS!A44</f>
        <v>Tuesday</v>
      </c>
      <c r="B43" s="28">
        <f>SCALARS!B44</f>
        <v>46119</v>
      </c>
      <c r="C43" s="61">
        <f>SCALARS!K44</f>
        <v>3535.8029000000001</v>
      </c>
      <c r="D43" s="61">
        <f t="shared" si="25"/>
        <v>3535.8034669758877</v>
      </c>
      <c r="E43" s="61">
        <f t="shared" ref="E43:E46" si="31">C43-D43</f>
        <v>-5.669758875228581E-4</v>
      </c>
      <c r="F43" s="9">
        <v>60475000</v>
      </c>
      <c r="G43" s="1">
        <v>2.8299999999999999E-4</v>
      </c>
      <c r="H43" s="67">
        <v>17103.609</v>
      </c>
      <c r="I43" s="1">
        <f t="shared" si="27"/>
        <v>2.8249999999999998E-4</v>
      </c>
      <c r="J43" s="1">
        <f t="shared" si="28"/>
        <v>2.8350000000000001E-4</v>
      </c>
      <c r="K43" s="46">
        <f t="shared" si="29"/>
        <v>3539.8230088495579</v>
      </c>
      <c r="L43" s="46">
        <f t="shared" si="30"/>
        <v>3527.3368606701938</v>
      </c>
      <c r="M43" s="58">
        <f t="shared" si="1"/>
        <v>3533.5689045936397</v>
      </c>
      <c r="N43" s="1"/>
      <c r="O43" s="67"/>
    </row>
    <row r="44" spans="1:15" ht="15" customHeight="1">
      <c r="A44" s="1" t="str">
        <f>SCALARS!A45</f>
        <v>Wednesday</v>
      </c>
      <c r="B44" s="28">
        <f>SCALARS!B45</f>
        <v>46120</v>
      </c>
      <c r="C44" s="61">
        <f>SCALARS!K45</f>
        <v>3535.8029000000001</v>
      </c>
      <c r="D44" s="61">
        <f t="shared" si="25"/>
        <v>3535.8021612036619</v>
      </c>
      <c r="E44" s="61">
        <f t="shared" si="31"/>
        <v>7.3879633828255464E-4</v>
      </c>
      <c r="F44" s="9">
        <v>59425000</v>
      </c>
      <c r="G44" s="1">
        <v>2.8299999999999999E-4</v>
      </c>
      <c r="H44" s="67">
        <v>16806.652999999998</v>
      </c>
      <c r="I44" s="1">
        <f t="shared" si="27"/>
        <v>2.8249999999999998E-4</v>
      </c>
      <c r="J44" s="1">
        <f t="shared" si="28"/>
        <v>2.8350000000000001E-4</v>
      </c>
      <c r="K44" s="46">
        <f t="shared" si="29"/>
        <v>3539.8230088495579</v>
      </c>
      <c r="L44" s="46">
        <f t="shared" si="30"/>
        <v>3527.3368606701938</v>
      </c>
      <c r="M44" s="58">
        <f t="shared" si="1"/>
        <v>3533.5689045936397</v>
      </c>
      <c r="N44" s="1"/>
      <c r="O44" s="67"/>
    </row>
    <row r="45" spans="1:15" ht="15" customHeight="1">
      <c r="A45" s="1" t="str">
        <f>SCALARS!A46</f>
        <v>Thursday</v>
      </c>
      <c r="B45" s="28">
        <f>SCALARS!B46</f>
        <v>46121</v>
      </c>
      <c r="C45" s="61">
        <f>SCALARS!K46</f>
        <v>3535.8029000000001</v>
      </c>
      <c r="D45" s="61">
        <f t="shared" si="25"/>
        <v>3535.8032131094787</v>
      </c>
      <c r="E45" s="61">
        <f t="shared" si="31"/>
        <v>-3.1310947861129534E-4</v>
      </c>
      <c r="F45" s="9">
        <v>59425000</v>
      </c>
      <c r="G45" s="1">
        <v>2.8299999999999999E-4</v>
      </c>
      <c r="H45" s="67">
        <v>16806.648000000001</v>
      </c>
      <c r="I45" s="1">
        <f t="shared" si="27"/>
        <v>2.8249999999999998E-4</v>
      </c>
      <c r="J45" s="1">
        <f t="shared" si="28"/>
        <v>2.8350000000000001E-4</v>
      </c>
      <c r="K45" s="46">
        <f t="shared" si="29"/>
        <v>3539.8230088495579</v>
      </c>
      <c r="L45" s="46">
        <f t="shared" si="30"/>
        <v>3527.3368606701938</v>
      </c>
      <c r="M45" s="58">
        <f t="shared" si="1"/>
        <v>3533.5689045936397</v>
      </c>
      <c r="N45" s="1"/>
      <c r="O45" s="67"/>
    </row>
    <row r="46" spans="1:15" ht="15" customHeight="1">
      <c r="A46" s="1" t="str">
        <f>SCALARS!A47</f>
        <v>Friday</v>
      </c>
      <c r="B46" s="28">
        <f>SCALARS!B47</f>
        <v>46122</v>
      </c>
      <c r="C46" s="61">
        <f>SCALARS!K47</f>
        <v>3535.8029000000001</v>
      </c>
      <c r="D46" s="61">
        <f t="shared" si="25"/>
        <v>3535.8036577287412</v>
      </c>
      <c r="E46" s="61">
        <f t="shared" si="31"/>
        <v>-7.5772874106405652E-4</v>
      </c>
      <c r="F46" s="9">
        <v>59525000</v>
      </c>
      <c r="G46" s="1">
        <v>2.8299999999999999E-4</v>
      </c>
      <c r="H46" s="67">
        <v>16834.928</v>
      </c>
      <c r="I46" s="1">
        <f t="shared" si="27"/>
        <v>2.8249999999999998E-4</v>
      </c>
      <c r="J46" s="1">
        <f t="shared" si="28"/>
        <v>2.8350000000000001E-4</v>
      </c>
      <c r="K46" s="46">
        <f t="shared" si="29"/>
        <v>3539.8230088495579</v>
      </c>
      <c r="L46" s="46">
        <f t="shared" si="30"/>
        <v>3527.3368606701938</v>
      </c>
      <c r="M46" s="58">
        <f t="shared" si="1"/>
        <v>3533.5689045936397</v>
      </c>
      <c r="N46" s="1"/>
      <c r="O46" s="67"/>
    </row>
    <row r="47" spans="1:15" ht="15" customHeight="1">
      <c r="A47" s="1" t="str">
        <f>SCALARS!A48</f>
        <v>Saturday</v>
      </c>
      <c r="B47" s="28">
        <f>SCALARS!B48</f>
        <v>46123</v>
      </c>
      <c r="C47" s="61">
        <f>SCALARS!K48</f>
        <v>3535.8029000000001</v>
      </c>
      <c r="D47" s="61"/>
      <c r="E47" s="61"/>
      <c r="F47" s="9"/>
      <c r="H47" s="67"/>
      <c r="K47" s="46"/>
      <c r="L47" s="46"/>
      <c r="M47" s="58"/>
      <c r="N47" s="1"/>
      <c r="O47" s="67"/>
    </row>
    <row r="48" spans="1:15" ht="15" customHeight="1">
      <c r="A48" s="1" t="str">
        <f>SCALARS!A49</f>
        <v>Sunday</v>
      </c>
      <c r="B48" s="28">
        <f>SCALARS!B49</f>
        <v>46124</v>
      </c>
      <c r="C48" s="61">
        <f>SCALARS!K49</f>
        <v>3535.8029000000001</v>
      </c>
      <c r="D48" s="61"/>
      <c r="E48" s="61"/>
      <c r="F48" s="9"/>
      <c r="H48" s="67"/>
      <c r="K48" s="46"/>
      <c r="L48" s="46"/>
      <c r="M48" s="58"/>
      <c r="N48" s="1"/>
      <c r="O48" s="67"/>
    </row>
    <row r="49" spans="1:15" ht="15" customHeight="1">
      <c r="A49" s="1" t="str">
        <f>SCALARS!A50</f>
        <v>Monday</v>
      </c>
      <c r="B49" s="28">
        <f>SCALARS!B50</f>
        <v>46125</v>
      </c>
      <c r="C49" s="61">
        <f>SCALARS!K50</f>
        <v>3535.8029000000001</v>
      </c>
      <c r="D49" s="61">
        <f t="shared" si="25"/>
        <v>3535.8027442927018</v>
      </c>
      <c r="E49" s="61">
        <f>C49-D49</f>
        <v>1.5570729829050833E-4</v>
      </c>
      <c r="F49" s="9">
        <v>59650000</v>
      </c>
      <c r="G49" s="1">
        <v>2.8299999999999999E-4</v>
      </c>
      <c r="H49" s="67">
        <v>16870.285</v>
      </c>
      <c r="I49" s="1">
        <f t="shared" si="27"/>
        <v>2.8249999999999998E-4</v>
      </c>
      <c r="J49" s="1">
        <f t="shared" si="28"/>
        <v>2.8350000000000001E-4</v>
      </c>
      <c r="K49" s="46">
        <f t="shared" si="29"/>
        <v>3539.8230088495579</v>
      </c>
      <c r="L49" s="46">
        <f t="shared" si="30"/>
        <v>3527.3368606701938</v>
      </c>
      <c r="M49" s="58">
        <f t="shared" si="1"/>
        <v>3533.5689045936397</v>
      </c>
      <c r="N49" s="1"/>
      <c r="O49" s="67"/>
    </row>
    <row r="50" spans="1:15" ht="15" customHeight="1">
      <c r="A50" s="1" t="str">
        <f>SCALARS!A51</f>
        <v>Tuesday</v>
      </c>
      <c r="B50" s="28">
        <f>SCALARS!B51</f>
        <v>46126</v>
      </c>
      <c r="C50" s="61">
        <f>SCALARS!K51</f>
        <v>3535.8029000000001</v>
      </c>
      <c r="D50" s="61">
        <f t="shared" si="25"/>
        <v>3535.8030276453164</v>
      </c>
      <c r="E50" s="61">
        <f t="shared" ref="E50:E53" si="32">C50-D50</f>
        <v>-1.2764531629727571E-4</v>
      </c>
      <c r="F50" s="9">
        <v>59525000</v>
      </c>
      <c r="G50" s="1">
        <v>2.8299999999999999E-4</v>
      </c>
      <c r="H50" s="67">
        <v>16834.931</v>
      </c>
      <c r="I50" s="1">
        <f t="shared" si="27"/>
        <v>2.8249999999999998E-4</v>
      </c>
      <c r="J50" s="1">
        <f t="shared" si="28"/>
        <v>2.8350000000000001E-4</v>
      </c>
      <c r="K50" s="46">
        <f t="shared" si="29"/>
        <v>3539.8230088495579</v>
      </c>
      <c r="L50" s="46">
        <f t="shared" si="30"/>
        <v>3527.3368606701938</v>
      </c>
      <c r="M50" s="58">
        <f t="shared" si="1"/>
        <v>3533.5689045936397</v>
      </c>
      <c r="N50" s="1"/>
      <c r="O50" s="67"/>
    </row>
    <row r="51" spans="1:15" ht="15" customHeight="1">
      <c r="A51" s="1" t="str">
        <f>SCALARS!A52</f>
        <v>Wednesday</v>
      </c>
      <c r="B51" s="28">
        <f>SCALARS!B52</f>
        <v>46127</v>
      </c>
      <c r="C51" s="61">
        <f>SCALARS!K52</f>
        <v>3535.8029000000001</v>
      </c>
      <c r="D51" s="61">
        <f t="shared" si="25"/>
        <v>3535.8035198458606</v>
      </c>
      <c r="E51" s="61">
        <f t="shared" si="32"/>
        <v>-6.1984586045582546E-4</v>
      </c>
      <c r="F51" s="9">
        <v>59825000</v>
      </c>
      <c r="G51" s="1">
        <v>2.8299999999999999E-4</v>
      </c>
      <c r="H51" s="67">
        <v>16919.775000000001</v>
      </c>
      <c r="I51" s="1">
        <f t="shared" si="27"/>
        <v>2.8249999999999998E-4</v>
      </c>
      <c r="J51" s="1">
        <f t="shared" si="28"/>
        <v>2.8350000000000001E-4</v>
      </c>
      <c r="K51" s="46">
        <f t="shared" si="29"/>
        <v>3539.8230088495579</v>
      </c>
      <c r="L51" s="46">
        <f t="shared" si="30"/>
        <v>3527.3368606701938</v>
      </c>
      <c r="M51" s="58">
        <f t="shared" si="1"/>
        <v>3533.5689045936397</v>
      </c>
      <c r="N51" s="1"/>
      <c r="O51" s="67"/>
    </row>
    <row r="52" spans="1:15" ht="15" customHeight="1">
      <c r="A52" s="1" t="str">
        <f>SCALARS!A53</f>
        <v>Thursday</v>
      </c>
      <c r="B52" s="28">
        <f>SCALARS!B53</f>
        <v>46128</v>
      </c>
      <c r="C52" s="61">
        <f>SCALARS!K53</f>
        <v>3535.8029000000001</v>
      </c>
      <c r="D52" s="61">
        <f t="shared" si="25"/>
        <v>3535.8031634679751</v>
      </c>
      <c r="E52" s="61">
        <f t="shared" si="32"/>
        <v>-2.6346797494625207E-4</v>
      </c>
      <c r="F52" s="9">
        <v>59650000</v>
      </c>
      <c r="G52" s="1">
        <v>2.8299999999999999E-4</v>
      </c>
      <c r="H52" s="67">
        <v>16870.282999999999</v>
      </c>
      <c r="I52" s="1">
        <f t="shared" si="27"/>
        <v>2.8249999999999998E-4</v>
      </c>
      <c r="J52" s="1">
        <f t="shared" si="28"/>
        <v>2.8350000000000001E-4</v>
      </c>
      <c r="K52" s="46">
        <f t="shared" si="29"/>
        <v>3539.8230088495579</v>
      </c>
      <c r="L52" s="46">
        <f t="shared" si="30"/>
        <v>3527.3368606701938</v>
      </c>
      <c r="M52" s="58">
        <f t="shared" si="1"/>
        <v>3533.5689045936397</v>
      </c>
      <c r="N52" s="1"/>
      <c r="O52" s="67"/>
    </row>
    <row r="53" spans="1:15" ht="15" customHeight="1">
      <c r="A53" s="1" t="str">
        <f>SCALARS!A54</f>
        <v>Friday</v>
      </c>
      <c r="B53" s="28">
        <f>SCALARS!B54</f>
        <v>46129</v>
      </c>
      <c r="C53" s="61">
        <f>SCALARS!K54</f>
        <v>3535.8029000000001</v>
      </c>
      <c r="D53" s="61">
        <f t="shared" si="25"/>
        <v>3535.802115529978</v>
      </c>
      <c r="E53" s="61">
        <f t="shared" si="32"/>
        <v>7.8447002215398243E-4</v>
      </c>
      <c r="F53" s="9">
        <v>59650000</v>
      </c>
      <c r="G53" s="1">
        <v>2.8299999999999999E-4</v>
      </c>
      <c r="H53" s="67">
        <v>16870.288</v>
      </c>
      <c r="I53" s="1">
        <f t="shared" si="27"/>
        <v>2.8249999999999998E-4</v>
      </c>
      <c r="J53" s="1">
        <f t="shared" si="28"/>
        <v>2.8350000000000001E-4</v>
      </c>
      <c r="K53" s="46">
        <f t="shared" si="29"/>
        <v>3539.8230088495579</v>
      </c>
      <c r="L53" s="46">
        <f t="shared" si="30"/>
        <v>3527.3368606701938</v>
      </c>
      <c r="M53" s="58">
        <f t="shared" si="1"/>
        <v>3533.5689045936397</v>
      </c>
      <c r="N53" s="1"/>
      <c r="O53" s="67"/>
    </row>
    <row r="54" spans="1:15" ht="15" customHeight="1">
      <c r="A54" s="1" t="str">
        <f>SCALARS!A55</f>
        <v>Saturday</v>
      </c>
      <c r="B54" s="28">
        <f>SCALARS!B55</f>
        <v>46130</v>
      </c>
      <c r="C54" s="61">
        <f>SCALARS!K55</f>
        <v>3535.8029000000001</v>
      </c>
      <c r="D54" s="61"/>
      <c r="E54" s="61"/>
      <c r="F54" s="9"/>
      <c r="H54" s="67"/>
      <c r="K54" s="46"/>
      <c r="L54" s="46"/>
      <c r="M54" s="58"/>
      <c r="N54" s="1"/>
      <c r="O54" s="67"/>
    </row>
    <row r="55" spans="1:15" ht="15" customHeight="1">
      <c r="A55" s="1" t="str">
        <f>SCALARS!A56</f>
        <v>Sunday</v>
      </c>
      <c r="B55" s="28">
        <f>SCALARS!B56</f>
        <v>46131</v>
      </c>
      <c r="C55" s="61">
        <f>SCALARS!K56</f>
        <v>3535.8029000000001</v>
      </c>
      <c r="D55" s="61"/>
      <c r="E55" s="61"/>
      <c r="F55" s="9"/>
      <c r="H55" s="67"/>
      <c r="K55" s="46"/>
      <c r="L55" s="46"/>
      <c r="M55" s="58"/>
      <c r="N55" s="1"/>
      <c r="O55" s="67"/>
    </row>
    <row r="56" spans="1:15" ht="15" customHeight="1">
      <c r="A56" s="1" t="str">
        <f>SCALARS!A57</f>
        <v>Monday</v>
      </c>
      <c r="B56" s="28">
        <f>SCALARS!B57</f>
        <v>46132</v>
      </c>
      <c r="C56" s="61">
        <f>SCALARS!K57</f>
        <v>3535.8029000000001</v>
      </c>
      <c r="D56" s="61">
        <f t="shared" si="25"/>
        <v>3535.8024027296037</v>
      </c>
      <c r="E56" s="61">
        <f>C56-D56</f>
        <v>4.9727039640856674E-4</v>
      </c>
      <c r="F56" s="9">
        <v>59950000</v>
      </c>
      <c r="G56" s="1">
        <v>2.8299999999999999E-4</v>
      </c>
      <c r="H56" s="67">
        <v>16955.133000000002</v>
      </c>
      <c r="I56" s="1">
        <f t="shared" si="27"/>
        <v>2.8249999999999998E-4</v>
      </c>
      <c r="J56" s="1">
        <f t="shared" si="28"/>
        <v>2.8350000000000001E-4</v>
      </c>
      <c r="K56" s="46">
        <f t="shared" si="29"/>
        <v>3539.8230088495579</v>
      </c>
      <c r="L56" s="46">
        <f t="shared" si="30"/>
        <v>3527.3368606701938</v>
      </c>
      <c r="M56" s="58">
        <f t="shared" si="1"/>
        <v>3533.5689045936397</v>
      </c>
      <c r="N56" s="1"/>
      <c r="O56" s="67"/>
    </row>
    <row r="57" spans="1:15" ht="15" customHeight="1">
      <c r="A57" s="1" t="str">
        <f>SCALARS!A58</f>
        <v>Tuesday</v>
      </c>
      <c r="B57" s="28">
        <f>SCALARS!B58</f>
        <v>46133</v>
      </c>
      <c r="C57" s="61">
        <f>SCALARS!K58</f>
        <v>3535.8029000000001</v>
      </c>
      <c r="D57" s="61">
        <f t="shared" si="25"/>
        <v>3535.8021941908573</v>
      </c>
      <c r="E57" s="61">
        <f t="shared" ref="E57:E60" si="33">C57-D57</f>
        <v>7.0580914280071738E-4</v>
      </c>
      <c r="F57" s="9">
        <v>59950000</v>
      </c>
      <c r="G57" s="1">
        <v>2.8299999999999999E-4</v>
      </c>
      <c r="H57" s="67">
        <v>16955.133999999998</v>
      </c>
      <c r="I57" s="1">
        <f t="shared" si="27"/>
        <v>2.8249999999999998E-4</v>
      </c>
      <c r="J57" s="1">
        <f t="shared" si="28"/>
        <v>2.8350000000000001E-4</v>
      </c>
      <c r="K57" s="46">
        <f t="shared" si="29"/>
        <v>3539.8230088495579</v>
      </c>
      <c r="L57" s="46">
        <f t="shared" si="30"/>
        <v>3527.3368606701938</v>
      </c>
      <c r="M57" s="58">
        <f t="shared" si="1"/>
        <v>3533.5689045936397</v>
      </c>
      <c r="N57" s="1"/>
      <c r="O57" s="67"/>
    </row>
    <row r="58" spans="1:15" ht="15" customHeight="1">
      <c r="A58" s="1" t="str">
        <f>SCALARS!A59</f>
        <v>Wednesday</v>
      </c>
      <c r="B58" s="28">
        <f>SCALARS!B59</f>
        <v>46134</v>
      </c>
      <c r="C58" s="61">
        <f>SCALARS!K59</f>
        <v>3535.8029000000001</v>
      </c>
      <c r="D58" s="61">
        <f t="shared" si="25"/>
        <v>3535.8023510748158</v>
      </c>
      <c r="E58" s="61">
        <f t="shared" si="33"/>
        <v>5.4892518437554827E-4</v>
      </c>
      <c r="F58" s="9">
        <v>59750000</v>
      </c>
      <c r="G58" s="1">
        <v>2.8299999999999999E-4</v>
      </c>
      <c r="H58" s="67">
        <v>16898.569</v>
      </c>
      <c r="I58" s="1">
        <f t="shared" si="27"/>
        <v>2.8249999999999998E-4</v>
      </c>
      <c r="J58" s="1">
        <f t="shared" si="28"/>
        <v>2.8350000000000001E-4</v>
      </c>
      <c r="K58" s="46">
        <f t="shared" si="29"/>
        <v>3539.8230088495579</v>
      </c>
      <c r="L58" s="46">
        <f t="shared" si="30"/>
        <v>3527.3368606701938</v>
      </c>
      <c r="M58" s="58">
        <f t="shared" si="1"/>
        <v>3533.5689045936397</v>
      </c>
      <c r="N58" s="1"/>
      <c r="O58" s="67"/>
    </row>
    <row r="59" spans="1:15" ht="15" customHeight="1">
      <c r="A59" s="1" t="str">
        <f>SCALARS!A60</f>
        <v>Thursday</v>
      </c>
      <c r="B59" s="28">
        <f>SCALARS!B60</f>
        <v>46135</v>
      </c>
      <c r="C59" s="61">
        <f>SCALARS!K60</f>
        <v>3535.8029000000001</v>
      </c>
      <c r="D59" s="61">
        <f t="shared" si="25"/>
        <v>3535.8027092302768</v>
      </c>
      <c r="E59" s="61">
        <f t="shared" si="33"/>
        <v>1.9076972330367425E-4</v>
      </c>
      <c r="F59" s="9">
        <v>59925000</v>
      </c>
      <c r="G59" s="1">
        <v>2.8299999999999999E-4</v>
      </c>
      <c r="H59" s="67">
        <v>16948.061000000002</v>
      </c>
      <c r="I59" s="1">
        <f t="shared" si="27"/>
        <v>2.8249999999999998E-4</v>
      </c>
      <c r="J59" s="1">
        <f t="shared" si="28"/>
        <v>2.8350000000000001E-4</v>
      </c>
      <c r="K59" s="46">
        <f t="shared" si="29"/>
        <v>3539.8230088495579</v>
      </c>
      <c r="L59" s="46">
        <f t="shared" si="30"/>
        <v>3527.3368606701938</v>
      </c>
      <c r="M59" s="58">
        <f t="shared" si="1"/>
        <v>3533.5689045936397</v>
      </c>
      <c r="N59" s="1"/>
      <c r="O59" s="67"/>
    </row>
    <row r="60" spans="1:15" ht="15" customHeight="1">
      <c r="A60" s="1" t="str">
        <f>SCALARS!A61</f>
        <v>Friday</v>
      </c>
      <c r="B60" s="28">
        <f>SCALARS!B61</f>
        <v>46136</v>
      </c>
      <c r="C60" s="61">
        <f>SCALARS!K61</f>
        <v>3535.8029000000001</v>
      </c>
      <c r="D60" s="61">
        <f t="shared" si="25"/>
        <v>3535.8034838640565</v>
      </c>
      <c r="E60" s="61">
        <f t="shared" si="33"/>
        <v>-5.8386405635246774E-4</v>
      </c>
      <c r="F60" s="9">
        <v>59675000</v>
      </c>
      <c r="G60" s="1">
        <v>2.8299999999999999E-4</v>
      </c>
      <c r="H60" s="67">
        <v>16877.351999999999</v>
      </c>
      <c r="I60" s="1">
        <f t="shared" si="27"/>
        <v>2.8249999999999998E-4</v>
      </c>
      <c r="J60" s="1">
        <f t="shared" si="28"/>
        <v>2.8350000000000001E-4</v>
      </c>
      <c r="K60" s="46">
        <f t="shared" si="29"/>
        <v>3539.8230088495579</v>
      </c>
      <c r="L60" s="46">
        <f t="shared" si="30"/>
        <v>3527.3368606701938</v>
      </c>
      <c r="M60" s="58">
        <f t="shared" si="1"/>
        <v>3533.5689045936397</v>
      </c>
      <c r="N60" s="1"/>
      <c r="O60" s="67"/>
    </row>
    <row r="61" spans="1:15" ht="15" customHeight="1">
      <c r="A61" s="1" t="str">
        <f>SCALARS!A62</f>
        <v>Saturday</v>
      </c>
      <c r="B61" s="28">
        <f>SCALARS!B62</f>
        <v>46137</v>
      </c>
      <c r="C61" s="61">
        <f>SCALARS!K62</f>
        <v>3535.8029000000001</v>
      </c>
      <c r="D61" s="61"/>
      <c r="E61" s="61"/>
      <c r="F61" s="9"/>
      <c r="H61" s="67"/>
      <c r="K61" s="46"/>
      <c r="L61" s="46"/>
      <c r="M61" s="58"/>
      <c r="N61" s="1"/>
      <c r="O61" s="67"/>
    </row>
    <row r="62" spans="1:15" ht="15" customHeight="1">
      <c r="A62" s="1" t="str">
        <f>SCALARS!A63</f>
        <v>Sunday</v>
      </c>
      <c r="B62" s="28">
        <f>SCALARS!B63</f>
        <v>46138</v>
      </c>
      <c r="C62" s="61">
        <f>SCALARS!K63</f>
        <v>3535.8029000000001</v>
      </c>
      <c r="D62" s="61"/>
      <c r="E62" s="61"/>
      <c r="F62" s="9"/>
      <c r="H62" s="67"/>
      <c r="K62" s="46"/>
      <c r="L62" s="46"/>
      <c r="M62" s="58"/>
      <c r="N62" s="1"/>
      <c r="O62" s="67"/>
    </row>
    <row r="63" spans="1:15" ht="15" customHeight="1">
      <c r="A63" s="1" t="str">
        <f>SCALARS!A64</f>
        <v>Monday</v>
      </c>
      <c r="B63" s="28">
        <f>SCALARS!B64</f>
        <v>46139</v>
      </c>
      <c r="C63" s="61">
        <f>SCALARS!K64</f>
        <v>3535.8029000000001</v>
      </c>
      <c r="D63" s="61">
        <f t="shared" si="25"/>
        <v>3535.8026458646723</v>
      </c>
      <c r="E63" s="61">
        <f t="shared" ref="E63:E67" si="34">C63-D63</f>
        <v>2.5413532785023563E-4</v>
      </c>
      <c r="F63" s="9">
        <v>59675000</v>
      </c>
      <c r="G63" s="1">
        <v>2.8299999999999999E-4</v>
      </c>
      <c r="H63" s="67">
        <v>16877.356</v>
      </c>
      <c r="I63" s="1">
        <f t="shared" si="27"/>
        <v>2.8249999999999998E-4</v>
      </c>
      <c r="J63" s="1">
        <f t="shared" si="28"/>
        <v>2.8350000000000001E-4</v>
      </c>
      <c r="K63" s="46">
        <f t="shared" si="29"/>
        <v>3539.8230088495579</v>
      </c>
      <c r="L63" s="46">
        <f t="shared" si="30"/>
        <v>3527.3368606701938</v>
      </c>
      <c r="M63" s="58">
        <f t="shared" si="1"/>
        <v>3533.5689045936397</v>
      </c>
      <c r="N63" s="1"/>
      <c r="O63" s="67"/>
    </row>
    <row r="64" spans="1:15" ht="15" customHeight="1">
      <c r="A64" s="1" t="str">
        <f>SCALARS!A65</f>
        <v>Tuesday</v>
      </c>
      <c r="B64" s="28">
        <f>SCALARS!B65</f>
        <v>46140</v>
      </c>
      <c r="C64" s="61">
        <f>SCALARS!K65</f>
        <v>3535.8029000000001</v>
      </c>
      <c r="D64" s="61">
        <f t="shared" si="25"/>
        <v>3535.8033258296227</v>
      </c>
      <c r="E64" s="61">
        <f t="shared" si="34"/>
        <v>-4.2582962259984924E-4</v>
      </c>
      <c r="F64" s="9">
        <v>59025000</v>
      </c>
      <c r="G64" s="1">
        <v>2.8299999999999999E-4</v>
      </c>
      <c r="H64" s="67">
        <v>16693.519</v>
      </c>
      <c r="I64" s="1">
        <f t="shared" si="27"/>
        <v>2.8249999999999998E-4</v>
      </c>
      <c r="J64" s="1">
        <f t="shared" si="28"/>
        <v>2.8350000000000001E-4</v>
      </c>
      <c r="K64" s="46">
        <f t="shared" si="29"/>
        <v>3539.8230088495579</v>
      </c>
      <c r="L64" s="46">
        <f t="shared" si="30"/>
        <v>3527.3368606701938</v>
      </c>
      <c r="M64" s="58">
        <f t="shared" si="1"/>
        <v>3533.5689045936397</v>
      </c>
      <c r="N64" s="1"/>
      <c r="O64" s="67"/>
    </row>
    <row r="65" spans="1:15" ht="15" customHeight="1">
      <c r="A65" s="1" t="str">
        <f>SCALARS!A66</f>
        <v>Wednesday</v>
      </c>
      <c r="B65" s="28">
        <f>SCALARS!B66</f>
        <v>46141</v>
      </c>
      <c r="C65" s="61">
        <f>SCALARS!K66</f>
        <v>3535.8029000000001</v>
      </c>
      <c r="D65" s="61">
        <f t="shared" si="25"/>
        <v>3535.8029022157757</v>
      </c>
      <c r="E65" s="61">
        <f t="shared" si="34"/>
        <v>-2.2157755665830337E-6</v>
      </c>
      <c r="F65" s="9">
        <v>59025000</v>
      </c>
      <c r="G65" s="1">
        <v>2.8299999999999999E-4</v>
      </c>
      <c r="H65" s="67">
        <v>16693.521000000001</v>
      </c>
      <c r="I65" s="1">
        <f t="shared" si="27"/>
        <v>2.8249999999999998E-4</v>
      </c>
      <c r="J65" s="1">
        <f t="shared" si="28"/>
        <v>2.8350000000000001E-4</v>
      </c>
      <c r="K65" s="46">
        <f t="shared" si="29"/>
        <v>3539.8230088495579</v>
      </c>
      <c r="L65" s="46">
        <f t="shared" si="30"/>
        <v>3527.3368606701938</v>
      </c>
      <c r="M65" s="58">
        <f t="shared" si="1"/>
        <v>3533.5689045936397</v>
      </c>
      <c r="N65" s="1"/>
      <c r="O65" s="67"/>
    </row>
    <row r="66" spans="1:15" ht="15" customHeight="1">
      <c r="A66" s="1" t="str">
        <f>SCALARS!A67</f>
        <v>Thursday</v>
      </c>
      <c r="B66" s="28">
        <f>SCALARS!B67</f>
        <v>46142</v>
      </c>
      <c r="C66" s="61">
        <f>SCALARS!K67</f>
        <v>3535.8029000000001</v>
      </c>
      <c r="D66" s="61">
        <f t="shared" si="25"/>
        <v>3535.8035376365842</v>
      </c>
      <c r="E66" s="61">
        <f t="shared" si="34"/>
        <v>-6.3763658408788615E-4</v>
      </c>
      <c r="F66" s="9">
        <v>59025000</v>
      </c>
      <c r="G66" s="1">
        <v>2.8299999999999999E-4</v>
      </c>
      <c r="H66" s="67">
        <v>16693.518</v>
      </c>
      <c r="I66" s="1">
        <f t="shared" si="27"/>
        <v>2.8249999999999998E-4</v>
      </c>
      <c r="J66" s="1">
        <f t="shared" si="28"/>
        <v>2.8350000000000001E-4</v>
      </c>
      <c r="K66" s="46">
        <f t="shared" si="29"/>
        <v>3539.8230088495579</v>
      </c>
      <c r="L66" s="46">
        <f t="shared" si="30"/>
        <v>3527.3368606701938</v>
      </c>
      <c r="M66" s="58">
        <f t="shared" si="1"/>
        <v>3533.5689045936397</v>
      </c>
      <c r="N66" s="1"/>
      <c r="O66" s="67"/>
    </row>
    <row r="67" spans="1:15" ht="15" customHeight="1">
      <c r="A67" s="1" t="str">
        <f>SCALARS!A68</f>
        <v>Friday</v>
      </c>
      <c r="B67" s="28">
        <f>SCALARS!B68</f>
        <v>46143</v>
      </c>
      <c r="C67" s="61">
        <f>SCALARS!K68</f>
        <v>3535.8029000000001</v>
      </c>
      <c r="D67" s="61">
        <f t="shared" si="25"/>
        <v>3535.8033012071774</v>
      </c>
      <c r="E67" s="61">
        <f t="shared" si="34"/>
        <v>-4.0120717721947585E-4</v>
      </c>
      <c r="F67" s="9">
        <v>58925000</v>
      </c>
      <c r="G67" s="1">
        <v>2.8299999999999999E-4</v>
      </c>
      <c r="H67" s="67">
        <v>16665.237000000001</v>
      </c>
      <c r="I67" s="1">
        <f t="shared" si="27"/>
        <v>2.8249999999999998E-4</v>
      </c>
      <c r="J67" s="1">
        <f t="shared" si="28"/>
        <v>2.8350000000000001E-4</v>
      </c>
      <c r="K67" s="46">
        <f t="shared" si="29"/>
        <v>3539.8230088495579</v>
      </c>
      <c r="L67" s="46">
        <f t="shared" si="30"/>
        <v>3527.3368606701938</v>
      </c>
      <c r="M67" s="58">
        <f t="shared" si="1"/>
        <v>3533.5689045936397</v>
      </c>
      <c r="N67" s="1"/>
      <c r="O67" s="67"/>
    </row>
    <row r="68" spans="1:15" ht="15" customHeight="1">
      <c r="A68" s="1" t="str">
        <f>SCALARS!A69</f>
        <v>Saturday</v>
      </c>
      <c r="B68" s="28">
        <f>SCALARS!B69</f>
        <v>46144</v>
      </c>
      <c r="C68" s="61">
        <f>SCALARS!K69</f>
        <v>3535.8029000000001</v>
      </c>
      <c r="D68" s="61"/>
      <c r="E68" s="61"/>
      <c r="F68" s="9"/>
      <c r="H68" s="67"/>
      <c r="K68" s="46"/>
      <c r="L68" s="46"/>
      <c r="M68" s="58"/>
    </row>
    <row r="69" spans="1:15" ht="15" customHeight="1">
      <c r="A69" s="1" t="str">
        <f>SCALARS!A70</f>
        <v>Sunday</v>
      </c>
      <c r="B69" s="28">
        <f>SCALARS!B70</f>
        <v>46145</v>
      </c>
      <c r="C69" s="61">
        <f>SCALARS!K70</f>
        <v>3535.8029000000001</v>
      </c>
      <c r="D69" s="61"/>
      <c r="E69" s="61"/>
      <c r="F69" s="9"/>
      <c r="H69" s="67"/>
      <c r="K69" s="46"/>
      <c r="L69" s="46"/>
      <c r="M69" s="58"/>
    </row>
    <row r="70" spans="1:15" ht="15" customHeight="1">
      <c r="A70" s="1" t="str">
        <f>SCALARS!A71</f>
        <v>Monday</v>
      </c>
      <c r="B70" s="28">
        <f>SCALARS!B71</f>
        <v>46146</v>
      </c>
      <c r="C70" s="61">
        <f>SCALARS!K71</f>
        <v>3535.8029000000001</v>
      </c>
      <c r="D70" s="61">
        <f t="shared" ref="D70:D95" si="35">F70/H70</f>
        <v>3535.8037851474137</v>
      </c>
      <c r="E70" s="61">
        <f t="shared" ref="E70:E95" si="36">C70-D70</f>
        <v>-8.8514741355538717E-4</v>
      </c>
      <c r="F70" s="9">
        <v>59175000</v>
      </c>
      <c r="G70" s="1">
        <v>2.8299999999999999E-4</v>
      </c>
      <c r="H70" s="67">
        <v>16735.939999999999</v>
      </c>
      <c r="I70" s="1">
        <f t="shared" ref="I70:I95" si="37">G70-0.0000005</f>
        <v>2.8249999999999998E-4</v>
      </c>
      <c r="J70" s="1">
        <f t="shared" ref="J70:J95" si="38">G70+0.0000005</f>
        <v>2.8350000000000001E-4</v>
      </c>
      <c r="K70" s="46">
        <f t="shared" ref="K70:K95" si="39">1/I70</f>
        <v>3539.8230088495579</v>
      </c>
      <c r="L70" s="46">
        <f t="shared" ref="L70:L95" si="40">1/J70</f>
        <v>3527.3368606701938</v>
      </c>
      <c r="M70" s="58">
        <f t="shared" si="1"/>
        <v>3533.5689045936397</v>
      </c>
    </row>
    <row r="71" spans="1:15" ht="15" customHeight="1">
      <c r="A71" s="1" t="str">
        <f>SCALARS!A72</f>
        <v>Tuesday</v>
      </c>
      <c r="B71" s="28">
        <f>SCALARS!B72</f>
        <v>46147</v>
      </c>
      <c r="C71" s="61">
        <f>SCALARS!K72</f>
        <v>3535.8029000000001</v>
      </c>
      <c r="D71" s="61">
        <f t="shared" si="35"/>
        <v>3535.8037851474137</v>
      </c>
      <c r="E71" s="61">
        <f t="shared" si="36"/>
        <v>-8.8514741355538717E-4</v>
      </c>
      <c r="F71" s="9">
        <v>59175000</v>
      </c>
      <c r="G71" s="1">
        <v>2.8299999999999999E-4</v>
      </c>
      <c r="H71" s="67">
        <v>16735.939999999999</v>
      </c>
      <c r="I71" s="1">
        <f t="shared" si="37"/>
        <v>2.8249999999999998E-4</v>
      </c>
      <c r="J71" s="1">
        <f t="shared" si="38"/>
        <v>2.8350000000000001E-4</v>
      </c>
      <c r="K71" s="46">
        <f t="shared" si="39"/>
        <v>3539.8230088495579</v>
      </c>
      <c r="L71" s="46">
        <f t="shared" si="40"/>
        <v>3527.3368606701938</v>
      </c>
      <c r="M71" s="58">
        <f t="shared" si="1"/>
        <v>3533.5689045936397</v>
      </c>
    </row>
    <row r="72" spans="1:15" ht="15" customHeight="1">
      <c r="A72" s="1" t="str">
        <f>SCALARS!A73</f>
        <v>Wednesday</v>
      </c>
      <c r="B72" s="28">
        <f>SCALARS!B73</f>
        <v>46148</v>
      </c>
      <c r="C72" s="61">
        <f>SCALARS!K73</f>
        <v>3535.8029000000001</v>
      </c>
      <c r="D72" s="61">
        <f t="shared" si="35"/>
        <v>3535.8030890407922</v>
      </c>
      <c r="E72" s="61">
        <f t="shared" si="36"/>
        <v>-1.8904079206549795E-4</v>
      </c>
      <c r="F72" s="9">
        <v>58925000</v>
      </c>
      <c r="G72" s="1">
        <v>2.8299999999999999E-4</v>
      </c>
      <c r="H72" s="67">
        <v>16665.238000000001</v>
      </c>
      <c r="I72" s="1">
        <f t="shared" si="37"/>
        <v>2.8249999999999998E-4</v>
      </c>
      <c r="J72" s="1">
        <f t="shared" si="38"/>
        <v>2.8350000000000001E-4</v>
      </c>
      <c r="K72" s="46">
        <f t="shared" si="39"/>
        <v>3539.8230088495579</v>
      </c>
      <c r="L72" s="46">
        <f t="shared" si="40"/>
        <v>3527.3368606701938</v>
      </c>
      <c r="M72" s="58">
        <f t="shared" si="1"/>
        <v>3533.5689045936397</v>
      </c>
    </row>
    <row r="73" spans="1:15" ht="15" customHeight="1">
      <c r="A73" s="1" t="str">
        <f>SCALARS!A74</f>
        <v>Thursday</v>
      </c>
      <c r="B73" s="28">
        <f>SCALARS!B74</f>
        <v>46149</v>
      </c>
      <c r="C73" s="61">
        <f>SCALARS!K74</f>
        <v>3535.8029000000001</v>
      </c>
      <c r="D73" s="61">
        <f t="shared" si="35"/>
        <v>3535.8033012071774</v>
      </c>
      <c r="E73" s="61">
        <f t="shared" si="36"/>
        <v>-4.0120717721947585E-4</v>
      </c>
      <c r="F73" s="9">
        <v>58925000</v>
      </c>
      <c r="G73" s="1">
        <f>G72</f>
        <v>2.8299999999999999E-4</v>
      </c>
      <c r="H73" s="67">
        <v>16665.237000000001</v>
      </c>
      <c r="I73" s="1">
        <f t="shared" si="37"/>
        <v>2.8249999999999998E-4</v>
      </c>
      <c r="J73" s="1">
        <f t="shared" si="38"/>
        <v>2.8350000000000001E-4</v>
      </c>
      <c r="K73" s="46">
        <f t="shared" si="39"/>
        <v>3539.8230088495579</v>
      </c>
      <c r="L73" s="46">
        <f t="shared" si="40"/>
        <v>3527.3368606701938</v>
      </c>
      <c r="M73" s="58">
        <f t="shared" si="1"/>
        <v>3533.5689045936397</v>
      </c>
    </row>
    <row r="74" spans="1:15" ht="15" customHeight="1">
      <c r="A74" s="1" t="str">
        <f>SCALARS!A75</f>
        <v>Friday</v>
      </c>
      <c r="B74" s="28">
        <f>SCALARS!B75</f>
        <v>46150</v>
      </c>
      <c r="C74" s="61">
        <f>SCALARS!K75</f>
        <v>3535.8029000000001</v>
      </c>
      <c r="D74" s="61">
        <f t="shared" si="35"/>
        <v>3535.8029260305211</v>
      </c>
      <c r="E74" s="61">
        <f t="shared" si="36"/>
        <v>-2.6030520984932082E-5</v>
      </c>
      <c r="F74" s="9">
        <v>58700000</v>
      </c>
      <c r="G74" s="1">
        <f>G73</f>
        <v>2.8299999999999999E-4</v>
      </c>
      <c r="H74" s="67">
        <v>16601.603999999999</v>
      </c>
      <c r="I74" s="1">
        <f t="shared" si="37"/>
        <v>2.8249999999999998E-4</v>
      </c>
      <c r="J74" s="1">
        <f t="shared" si="38"/>
        <v>2.8350000000000001E-4</v>
      </c>
      <c r="K74" s="46">
        <f t="shared" si="39"/>
        <v>3539.8230088495579</v>
      </c>
      <c r="L74" s="46">
        <f t="shared" si="40"/>
        <v>3527.3368606701938</v>
      </c>
      <c r="M74" s="58">
        <f t="shared" si="1"/>
        <v>3533.5689045936397</v>
      </c>
    </row>
    <row r="75" spans="1:15" ht="15" customHeight="1">
      <c r="A75" s="1" t="str">
        <f>SCALARS!A76</f>
        <v>Saturday</v>
      </c>
      <c r="B75" s="28">
        <f>SCALARS!B76</f>
        <v>46151</v>
      </c>
      <c r="C75" s="61">
        <f>SCALARS!K76</f>
        <v>3535.8029000000001</v>
      </c>
      <c r="D75" s="61"/>
      <c r="E75" s="61"/>
      <c r="F75" s="9"/>
      <c r="H75" s="67"/>
      <c r="K75" s="46"/>
      <c r="L75" s="46"/>
      <c r="M75" s="58"/>
    </row>
    <row r="76" spans="1:15" ht="15" customHeight="1">
      <c r="A76" s="1" t="str">
        <f>SCALARS!A77</f>
        <v>Sunday</v>
      </c>
      <c r="B76" s="28">
        <f>SCALARS!B77</f>
        <v>46152</v>
      </c>
      <c r="C76" s="61">
        <f>SCALARS!K77</f>
        <v>3535.8029000000001</v>
      </c>
      <c r="D76" s="61"/>
      <c r="E76" s="61"/>
      <c r="F76" s="9"/>
      <c r="H76" s="67"/>
      <c r="K76" s="46"/>
      <c r="L76" s="46"/>
      <c r="M76" s="58"/>
    </row>
    <row r="77" spans="1:15" ht="15" customHeight="1">
      <c r="A77" s="1" t="str">
        <f>SCALARS!A78</f>
        <v>Monday</v>
      </c>
      <c r="B77" s="28">
        <f>SCALARS!B78</f>
        <v>46153</v>
      </c>
      <c r="C77" s="61">
        <f>SCALARS!K78</f>
        <v>3535.8029000000001</v>
      </c>
      <c r="D77" s="61">
        <f t="shared" si="35"/>
        <v>3535.803564969427</v>
      </c>
      <c r="E77" s="61">
        <f t="shared" si="36"/>
        <v>-6.6496942690719152E-4</v>
      </c>
      <c r="F77" s="9">
        <v>58700000</v>
      </c>
      <c r="G77" s="1">
        <f>G74</f>
        <v>2.8299999999999999E-4</v>
      </c>
      <c r="H77" s="122">
        <v>16601.600999999999</v>
      </c>
      <c r="I77" s="1">
        <f t="shared" si="37"/>
        <v>2.8249999999999998E-4</v>
      </c>
      <c r="J77" s="1">
        <f t="shared" si="38"/>
        <v>2.8350000000000001E-4</v>
      </c>
      <c r="K77" s="46">
        <f t="shared" si="39"/>
        <v>3539.8230088495579</v>
      </c>
      <c r="L77" s="46">
        <f>1/J77</f>
        <v>3527.3368606701938</v>
      </c>
      <c r="M77" s="58">
        <f>1/G77</f>
        <v>3533.5689045936397</v>
      </c>
    </row>
    <row r="78" spans="1:15" ht="15" customHeight="1">
      <c r="A78" s="1" t="str">
        <f>SCALARS!A79</f>
        <v>Tuesday</v>
      </c>
      <c r="B78" s="28">
        <f>SCALARS!B79</f>
        <v>46154</v>
      </c>
      <c r="C78" s="61">
        <f>SCALARS!K79</f>
        <v>3535.8029000000001</v>
      </c>
      <c r="D78" s="61">
        <f t="shared" si="35"/>
        <v>3535.8027643974551</v>
      </c>
      <c r="E78" s="61">
        <f t="shared" si="36"/>
        <v>1.3560254501499003E-4</v>
      </c>
      <c r="F78" s="9">
        <v>58900000</v>
      </c>
      <c r="G78" s="1">
        <f>G77</f>
        <v>2.8299999999999999E-4</v>
      </c>
      <c r="H78" s="67">
        <v>16658.169000000002</v>
      </c>
      <c r="I78" s="1">
        <f t="shared" si="37"/>
        <v>2.8249999999999998E-4</v>
      </c>
      <c r="J78" s="1">
        <f t="shared" si="38"/>
        <v>2.8350000000000001E-4</v>
      </c>
      <c r="K78" s="46">
        <f t="shared" si="39"/>
        <v>3539.8230088495579</v>
      </c>
      <c r="L78" s="46">
        <f t="shared" si="40"/>
        <v>3527.3368606701938</v>
      </c>
      <c r="M78" s="58">
        <f t="shared" ref="M78:M95" si="41">1/G78</f>
        <v>3533.5689045936397</v>
      </c>
    </row>
    <row r="79" spans="1:15" ht="15" customHeight="1">
      <c r="A79" s="1" t="str">
        <f>SCALARS!A80</f>
        <v>Wednesday</v>
      </c>
      <c r="B79" s="28">
        <f>SCALARS!B80</f>
        <v>46155</v>
      </c>
      <c r="C79" s="61">
        <f>SCALARS!K80</f>
        <v>3535.8029000000001</v>
      </c>
      <c r="D79" s="61">
        <f t="shared" si="35"/>
        <v>3535.803613423207</v>
      </c>
      <c r="E79" s="61">
        <f t="shared" si="36"/>
        <v>-7.134232068892743E-4</v>
      </c>
      <c r="F79" s="9">
        <v>58900000</v>
      </c>
      <c r="G79" s="1">
        <f>G78</f>
        <v>2.8299999999999999E-4</v>
      </c>
      <c r="H79" s="67">
        <v>16658.165000000001</v>
      </c>
      <c r="I79" s="1">
        <f t="shared" si="37"/>
        <v>2.8249999999999998E-4</v>
      </c>
      <c r="J79" s="1">
        <f t="shared" si="38"/>
        <v>2.8350000000000001E-4</v>
      </c>
      <c r="K79" s="46">
        <f t="shared" si="39"/>
        <v>3539.8230088495579</v>
      </c>
      <c r="L79" s="46">
        <f t="shared" si="40"/>
        <v>3527.3368606701938</v>
      </c>
      <c r="M79" s="58">
        <f t="shared" si="41"/>
        <v>3533.5689045936397</v>
      </c>
    </row>
    <row r="80" spans="1:15" ht="15" customHeight="1">
      <c r="A80" s="1" t="str">
        <f>SCALARS!A81</f>
        <v>Thursday</v>
      </c>
      <c r="B80" s="28">
        <f>SCALARS!B81</f>
        <v>46156</v>
      </c>
      <c r="C80" s="61">
        <f>SCALARS!K81</f>
        <v>3535.8029000000001</v>
      </c>
      <c r="D80" s="61">
        <f t="shared" si="35"/>
        <v>3535.803613423207</v>
      </c>
      <c r="E80" s="61">
        <f t="shared" si="36"/>
        <v>-7.134232068892743E-4</v>
      </c>
      <c r="F80" s="9">
        <v>58900000</v>
      </c>
      <c r="G80" s="1">
        <f>G79</f>
        <v>2.8299999999999999E-4</v>
      </c>
      <c r="H80" s="67">
        <v>16658.165000000001</v>
      </c>
      <c r="I80" s="1">
        <f t="shared" si="37"/>
        <v>2.8249999999999998E-4</v>
      </c>
      <c r="J80" s="1">
        <f t="shared" si="38"/>
        <v>2.8350000000000001E-4</v>
      </c>
      <c r="K80" s="46">
        <f t="shared" si="39"/>
        <v>3539.8230088495579</v>
      </c>
      <c r="L80" s="46">
        <f t="shared" si="40"/>
        <v>3527.3368606701938</v>
      </c>
      <c r="M80" s="58">
        <f t="shared" si="41"/>
        <v>3533.5689045936397</v>
      </c>
    </row>
    <row r="81" spans="1:13" ht="15" customHeight="1">
      <c r="A81" s="1" t="str">
        <f>SCALARS!A82</f>
        <v>Friday</v>
      </c>
      <c r="B81" s="28">
        <f>SCALARS!B82</f>
        <v>46157</v>
      </c>
      <c r="C81" s="61">
        <f>SCALARS!K82</f>
        <v>3535.8029000000001</v>
      </c>
      <c r="D81" s="61">
        <f t="shared" si="35"/>
        <v>3535.8031637333879</v>
      </c>
      <c r="E81" s="61">
        <f t="shared" si="36"/>
        <v>-2.637333877828496E-4</v>
      </c>
      <c r="F81" s="9">
        <v>59225000</v>
      </c>
      <c r="G81" s="1">
        <f>G80</f>
        <v>2.8299999999999999E-4</v>
      </c>
      <c r="H81" s="67">
        <v>16750.083999999999</v>
      </c>
      <c r="I81" s="1">
        <f t="shared" si="37"/>
        <v>2.8249999999999998E-4</v>
      </c>
      <c r="J81" s="1">
        <f t="shared" si="38"/>
        <v>2.8350000000000001E-4</v>
      </c>
      <c r="K81" s="46">
        <f t="shared" si="39"/>
        <v>3539.8230088495579</v>
      </c>
      <c r="L81" s="46">
        <f t="shared" si="40"/>
        <v>3527.3368606701938</v>
      </c>
      <c r="M81" s="58">
        <f t="shared" si="41"/>
        <v>3533.5689045936397</v>
      </c>
    </row>
    <row r="82" spans="1:13" ht="15" customHeight="1">
      <c r="A82" s="1" t="str">
        <f>SCALARS!A83</f>
        <v>Saturday</v>
      </c>
      <c r="B82" s="28">
        <f>SCALARS!B83</f>
        <v>46158</v>
      </c>
      <c r="C82" s="61">
        <f>SCALARS!K83</f>
        <v>3535.8029000000001</v>
      </c>
      <c r="D82" s="61"/>
      <c r="E82" s="61"/>
      <c r="F82" s="9"/>
      <c r="H82" s="67"/>
      <c r="K82" s="46"/>
      <c r="L82" s="46"/>
      <c r="M82" s="58"/>
    </row>
    <row r="83" spans="1:13" ht="15" customHeight="1">
      <c r="A83" s="1" t="str">
        <f>SCALARS!A84</f>
        <v>Sunday</v>
      </c>
      <c r="B83" s="28">
        <f>SCALARS!B84</f>
        <v>46159</v>
      </c>
      <c r="C83" s="61">
        <f>SCALARS!K84</f>
        <v>3535.8029000000001</v>
      </c>
      <c r="D83" s="61"/>
      <c r="E83" s="61"/>
      <c r="F83" s="9"/>
      <c r="H83" s="67"/>
      <c r="K83" s="46"/>
      <c r="L83" s="46"/>
      <c r="M83" s="58"/>
    </row>
    <row r="84" spans="1:13" ht="15" customHeight="1">
      <c r="A84" s="1" t="str">
        <f>SCALARS!A85</f>
        <v>Monday</v>
      </c>
      <c r="B84" s="28">
        <f>SCALARS!B85</f>
        <v>46160</v>
      </c>
      <c r="C84" s="61">
        <f>SCALARS!K85</f>
        <v>3535.8029000000001</v>
      </c>
      <c r="D84" s="61">
        <f t="shared" si="35"/>
        <v>3535.8027415501033</v>
      </c>
      <c r="E84" s="61">
        <f t="shared" si="36"/>
        <v>1.5844989684410393E-4</v>
      </c>
      <c r="F84" s="9">
        <v>59225000</v>
      </c>
      <c r="G84" s="1">
        <v>2.8299999999999999E-4</v>
      </c>
      <c r="H84" s="67">
        <v>16750.085999999999</v>
      </c>
      <c r="I84" s="1">
        <f t="shared" si="37"/>
        <v>2.8249999999999998E-4</v>
      </c>
      <c r="J84" s="1">
        <f t="shared" si="38"/>
        <v>2.8350000000000001E-4</v>
      </c>
      <c r="K84" s="46">
        <f t="shared" si="39"/>
        <v>3539.8230088495579</v>
      </c>
      <c r="L84" s="46">
        <f t="shared" si="40"/>
        <v>3527.3368606701938</v>
      </c>
      <c r="M84" s="58">
        <f t="shared" si="41"/>
        <v>3533.5689045936397</v>
      </c>
    </row>
    <row r="85" spans="1:13" ht="15" customHeight="1">
      <c r="A85" s="1" t="str">
        <f>SCALARS!A86</f>
        <v>Tuesday</v>
      </c>
      <c r="B85" s="28">
        <f>SCALARS!B86</f>
        <v>46161</v>
      </c>
      <c r="C85" s="61">
        <f>SCALARS!K86</f>
        <v>3535.8029000000001</v>
      </c>
      <c r="D85" s="61">
        <f t="shared" si="35"/>
        <v>3535.8035012111814</v>
      </c>
      <c r="E85" s="61">
        <f t="shared" si="36"/>
        <v>-6.012111812196963E-4</v>
      </c>
      <c r="F85" s="9">
        <v>58875000</v>
      </c>
      <c r="G85" s="1">
        <v>2.8299999999999999E-4</v>
      </c>
      <c r="H85" s="67">
        <v>16651.095000000001</v>
      </c>
      <c r="I85" s="1">
        <f t="shared" si="37"/>
        <v>2.8249999999999998E-4</v>
      </c>
      <c r="J85" s="1">
        <f t="shared" si="38"/>
        <v>2.8350000000000001E-4</v>
      </c>
      <c r="K85" s="46">
        <f t="shared" si="39"/>
        <v>3539.8230088495579</v>
      </c>
      <c r="L85" s="46">
        <f t="shared" si="40"/>
        <v>3527.3368606701938</v>
      </c>
      <c r="M85" s="58">
        <f t="shared" si="41"/>
        <v>3533.5689045936397</v>
      </c>
    </row>
    <row r="86" spans="1:13" ht="15" customHeight="1">
      <c r="A86" s="1" t="str">
        <f>SCALARS!A87</f>
        <v>Wednesday</v>
      </c>
      <c r="B86" s="28">
        <f>SCALARS!B87</f>
        <v>46162</v>
      </c>
      <c r="C86" s="61">
        <f>SCALARS!K87</f>
        <v>3535.8029000000001</v>
      </c>
      <c r="D86" s="61">
        <f t="shared" si="35"/>
        <v>3535.802651824964</v>
      </c>
      <c r="E86" s="61">
        <f t="shared" si="36"/>
        <v>2.481750361766899E-4</v>
      </c>
      <c r="F86" s="9">
        <v>58875000</v>
      </c>
      <c r="G86" s="1">
        <v>2.8299999999999999E-4</v>
      </c>
      <c r="H86" s="67">
        <v>16651.098999999998</v>
      </c>
      <c r="I86" s="1">
        <f t="shared" si="37"/>
        <v>2.8249999999999998E-4</v>
      </c>
      <c r="J86" s="1">
        <f t="shared" si="38"/>
        <v>2.8350000000000001E-4</v>
      </c>
      <c r="K86" s="46">
        <f t="shared" si="39"/>
        <v>3539.8230088495579</v>
      </c>
      <c r="L86" s="46">
        <f t="shared" si="40"/>
        <v>3527.3368606701938</v>
      </c>
      <c r="M86" s="58">
        <f t="shared" si="41"/>
        <v>3533.5689045936397</v>
      </c>
    </row>
    <row r="87" spans="1:13" ht="15" customHeight="1">
      <c r="A87" s="1" t="str">
        <f>SCALARS!A88</f>
        <v>Thursday</v>
      </c>
      <c r="B87" s="28">
        <f>SCALARS!B88</f>
        <v>46163</v>
      </c>
      <c r="C87" s="61">
        <f>SCALARS!K88</f>
        <v>3535.8029000000001</v>
      </c>
      <c r="D87" s="61">
        <f t="shared" si="35"/>
        <v>3535.8032888645885</v>
      </c>
      <c r="E87" s="61">
        <f t="shared" si="36"/>
        <v>-3.8886458833076176E-4</v>
      </c>
      <c r="F87" s="9">
        <v>58875000</v>
      </c>
      <c r="G87" s="1">
        <v>2.8299999999999999E-4</v>
      </c>
      <c r="H87" s="67">
        <v>16651.096000000001</v>
      </c>
      <c r="I87" s="1">
        <f t="shared" si="37"/>
        <v>2.8249999999999998E-4</v>
      </c>
      <c r="J87" s="1">
        <f t="shared" si="38"/>
        <v>2.8350000000000001E-4</v>
      </c>
      <c r="K87" s="46">
        <f t="shared" si="39"/>
        <v>3539.8230088495579</v>
      </c>
      <c r="L87" s="46">
        <f t="shared" si="40"/>
        <v>3527.3368606701938</v>
      </c>
      <c r="M87" s="58">
        <f t="shared" si="41"/>
        <v>3533.5689045936397</v>
      </c>
    </row>
    <row r="88" spans="1:13" ht="15" customHeight="1">
      <c r="A88" s="1" t="str">
        <f>SCALARS!A89</f>
        <v>Friday</v>
      </c>
      <c r="B88" s="28">
        <f>SCALARS!B89</f>
        <v>46164</v>
      </c>
      <c r="C88" s="61">
        <f>SCALARS!K89</f>
        <v>3535.8029000000001</v>
      </c>
      <c r="D88" s="61">
        <f t="shared" si="35"/>
        <v>3535.8022271320078</v>
      </c>
      <c r="E88" s="61">
        <f t="shared" si="36"/>
        <v>6.7286799230714678E-4</v>
      </c>
      <c r="F88" s="9">
        <v>58875000</v>
      </c>
      <c r="G88" s="1">
        <v>2.8299999999999999E-4</v>
      </c>
      <c r="H88" s="67">
        <v>16651.100999999999</v>
      </c>
      <c r="I88" s="1">
        <f t="shared" si="37"/>
        <v>2.8249999999999998E-4</v>
      </c>
      <c r="J88" s="1">
        <f t="shared" si="38"/>
        <v>2.8350000000000001E-4</v>
      </c>
      <c r="K88" s="46">
        <f t="shared" si="39"/>
        <v>3539.8230088495579</v>
      </c>
      <c r="L88" s="46">
        <f t="shared" si="40"/>
        <v>3527.3368606701938</v>
      </c>
      <c r="M88" s="58">
        <f t="shared" si="41"/>
        <v>3533.5689045936397</v>
      </c>
    </row>
    <row r="89" spans="1:13" ht="15" customHeight="1">
      <c r="A89" s="1" t="str">
        <f>SCALARS!A90</f>
        <v>Saturday</v>
      </c>
      <c r="B89" s="28">
        <f>SCALARS!B90</f>
        <v>46165</v>
      </c>
      <c r="C89" s="61">
        <f>SCALARS!K90</f>
        <v>3535.8029000000001</v>
      </c>
      <c r="D89" s="61"/>
      <c r="E89" s="61"/>
      <c r="F89" s="9"/>
      <c r="H89" s="67"/>
      <c r="K89" s="46"/>
      <c r="L89" s="46"/>
      <c r="M89" s="58"/>
    </row>
    <row r="90" spans="1:13" ht="15" customHeight="1">
      <c r="A90" s="1" t="str">
        <f>SCALARS!A91</f>
        <v>Sunday</v>
      </c>
      <c r="B90" s="28">
        <f>SCALARS!B91</f>
        <v>46166</v>
      </c>
      <c r="C90" s="61">
        <f>SCALARS!K91</f>
        <v>3535.8029000000001</v>
      </c>
      <c r="D90" s="61"/>
      <c r="E90" s="61"/>
      <c r="F90" s="9"/>
      <c r="H90" s="67"/>
      <c r="K90" s="46"/>
      <c r="L90" s="46"/>
      <c r="M90" s="58"/>
    </row>
    <row r="91" spans="1:13" ht="15" customHeight="1">
      <c r="A91" s="1" t="str">
        <f>SCALARS!A92</f>
        <v>Monday</v>
      </c>
      <c r="B91" s="28">
        <f>SCALARS!B92</f>
        <v>46167</v>
      </c>
      <c r="C91" s="61">
        <f>SCALARS!K92</f>
        <v>3535.8029000000001</v>
      </c>
      <c r="D91" s="61"/>
      <c r="E91" s="61"/>
      <c r="F91" s="9"/>
      <c r="H91" s="67"/>
      <c r="K91" s="46"/>
      <c r="L91" s="46"/>
      <c r="M91" s="58"/>
    </row>
    <row r="92" spans="1:13" ht="15" customHeight="1">
      <c r="A92" s="1" t="str">
        <f>SCALARS!A93</f>
        <v>Tuesday</v>
      </c>
      <c r="B92" s="28">
        <f>SCALARS!B93</f>
        <v>46168</v>
      </c>
      <c r="C92" s="61">
        <f>SCALARS!K93</f>
        <v>3535.8029000000001</v>
      </c>
      <c r="D92" s="61">
        <f t="shared" si="35"/>
        <v>3535.8032888645885</v>
      </c>
      <c r="E92" s="61">
        <f t="shared" si="36"/>
        <v>-3.8886458833076176E-4</v>
      </c>
      <c r="F92" s="9">
        <v>58875000</v>
      </c>
      <c r="G92" s="1">
        <v>2.8299999999999999E-4</v>
      </c>
      <c r="H92" s="67">
        <v>16651.096000000001</v>
      </c>
      <c r="I92" s="1">
        <f t="shared" si="37"/>
        <v>2.8249999999999998E-4</v>
      </c>
      <c r="J92" s="1">
        <f t="shared" si="38"/>
        <v>2.8350000000000001E-4</v>
      </c>
      <c r="K92" s="46">
        <f t="shared" si="39"/>
        <v>3539.8230088495579</v>
      </c>
      <c r="L92" s="46">
        <f t="shared" si="40"/>
        <v>3527.3368606701938</v>
      </c>
      <c r="M92" s="58">
        <f t="shared" si="41"/>
        <v>3533.5689045936397</v>
      </c>
    </row>
    <row r="93" spans="1:13" ht="15" customHeight="1">
      <c r="A93" s="1" t="str">
        <f>SCALARS!A94</f>
        <v>Wednesday</v>
      </c>
      <c r="B93" s="28">
        <f>SCALARS!B94</f>
        <v>46169</v>
      </c>
      <c r="C93" s="61">
        <f>SCALARS!K94</f>
        <v>3535.8029000000001</v>
      </c>
      <c r="D93" s="61">
        <f t="shared" si="35"/>
        <v>3535.8024394784734</v>
      </c>
      <c r="E93" s="61">
        <f t="shared" si="36"/>
        <v>4.6052152674747049E-4</v>
      </c>
      <c r="F93" s="9">
        <v>58875000</v>
      </c>
      <c r="G93" s="1">
        <v>2.8299999999999999E-4</v>
      </c>
      <c r="H93" s="67">
        <v>16651.099999999999</v>
      </c>
      <c r="I93" s="1">
        <f t="shared" si="37"/>
        <v>2.8249999999999998E-4</v>
      </c>
      <c r="J93" s="1">
        <f t="shared" si="38"/>
        <v>2.8350000000000001E-4</v>
      </c>
      <c r="K93" s="46">
        <f t="shared" si="39"/>
        <v>3539.8230088495579</v>
      </c>
      <c r="L93" s="46">
        <f t="shared" si="40"/>
        <v>3527.3368606701938</v>
      </c>
      <c r="M93" s="58">
        <f t="shared" si="41"/>
        <v>3533.5689045936397</v>
      </c>
    </row>
    <row r="94" spans="1:13" ht="15" customHeight="1">
      <c r="A94" s="1" t="str">
        <f>SCALARS!A95</f>
        <v>Thursday</v>
      </c>
      <c r="B94" s="28">
        <f>SCALARS!B95</f>
        <v>46170</v>
      </c>
      <c r="C94" s="61">
        <f>SCALARS!K95</f>
        <v>3535.8029000000001</v>
      </c>
      <c r="D94" s="61">
        <f t="shared" si="35"/>
        <v>3535.8035012111814</v>
      </c>
      <c r="E94" s="61">
        <f t="shared" si="36"/>
        <v>-6.012111812196963E-4</v>
      </c>
      <c r="F94" s="9">
        <v>58875000</v>
      </c>
      <c r="G94" s="1">
        <v>2.8299999999999999E-4</v>
      </c>
      <c r="H94" s="67">
        <v>16651.095000000001</v>
      </c>
      <c r="I94" s="1">
        <f t="shared" si="37"/>
        <v>2.8249999999999998E-4</v>
      </c>
      <c r="J94" s="1">
        <f t="shared" si="38"/>
        <v>2.8350000000000001E-4</v>
      </c>
      <c r="K94" s="46">
        <f t="shared" si="39"/>
        <v>3539.8230088495579</v>
      </c>
      <c r="L94" s="46">
        <f t="shared" si="40"/>
        <v>3527.3368606701938</v>
      </c>
      <c r="M94" s="58">
        <f t="shared" si="41"/>
        <v>3533.5689045936397</v>
      </c>
    </row>
    <row r="95" spans="1:13" ht="15" customHeight="1">
      <c r="A95" s="1" t="str">
        <f>SCALARS!A96</f>
        <v>Friday</v>
      </c>
      <c r="B95" s="28">
        <f>SCALARS!B96</f>
        <v>46171</v>
      </c>
      <c r="C95" s="61">
        <f>SCALARS!K96</f>
        <v>3535.8029000000001</v>
      </c>
      <c r="D95" s="61">
        <f t="shared" si="35"/>
        <v>3535.8035012111814</v>
      </c>
      <c r="E95" s="61">
        <f t="shared" si="36"/>
        <v>-6.012111812196963E-4</v>
      </c>
      <c r="F95" s="9">
        <v>58875000</v>
      </c>
      <c r="G95" s="1">
        <v>2.8299999999999999E-4</v>
      </c>
      <c r="H95" s="67">
        <v>16651.095000000001</v>
      </c>
      <c r="I95" s="1">
        <f t="shared" si="37"/>
        <v>2.8249999999999998E-4</v>
      </c>
      <c r="J95" s="1">
        <f t="shared" si="38"/>
        <v>2.8350000000000001E-4</v>
      </c>
      <c r="K95" s="46">
        <f t="shared" si="39"/>
        <v>3539.8230088495579</v>
      </c>
      <c r="L95" s="46">
        <f t="shared" si="40"/>
        <v>3527.3368606701938</v>
      </c>
      <c r="M95" s="58">
        <f t="shared" si="41"/>
        <v>3533.5689045936397</v>
      </c>
    </row>
    <row r="96" spans="1:13" ht="15" customHeight="1">
      <c r="A96" s="1" t="str">
        <f>SCALARS!A97</f>
        <v>Saturday</v>
      </c>
      <c r="B96" s="28">
        <f>SCALARS!B97</f>
        <v>46172</v>
      </c>
      <c r="C96" s="61">
        <f>SCALARS!K97</f>
        <v>3535.8029000000001</v>
      </c>
      <c r="D96" s="61"/>
      <c r="E96" s="61"/>
      <c r="F96" s="9"/>
      <c r="H96" s="67"/>
      <c r="K96" s="46"/>
      <c r="L96" s="46"/>
      <c r="M96" s="58"/>
    </row>
    <row r="97" spans="1:13" ht="15" customHeight="1">
      <c r="A97" s="1" t="str">
        <f>SCALARS!A98</f>
        <v>Sunday</v>
      </c>
      <c r="B97" s="28">
        <f>SCALARS!B98</f>
        <v>46173</v>
      </c>
      <c r="C97" s="61">
        <f>SCALARS!K98</f>
        <v>3535.8029000000001</v>
      </c>
      <c r="D97" s="61"/>
      <c r="E97" s="61"/>
      <c r="F97" s="9"/>
      <c r="H97" s="67"/>
      <c r="K97" s="46"/>
      <c r="L97" s="46"/>
      <c r="M97" s="58"/>
    </row>
    <row r="98" spans="1:13" ht="15" customHeight="1">
      <c r="A98" s="1" t="str">
        <f>SCALARS!A99</f>
        <v>Monday</v>
      </c>
      <c r="B98" s="28">
        <f>SCALARS!B99</f>
        <v>46174</v>
      </c>
      <c r="C98" s="61">
        <f>SCALARS!K99</f>
        <v>3535.8029000000001</v>
      </c>
      <c r="D98" s="61">
        <f t="shared" ref="D98:D102" si="42">F98/H98</f>
        <v>3535.8032888645885</v>
      </c>
      <c r="E98" s="61">
        <f t="shared" ref="E98:E102" si="43">C98-D98</f>
        <v>-3.8886458833076176E-4</v>
      </c>
      <c r="F98" s="9">
        <v>58875000</v>
      </c>
      <c r="G98" s="1">
        <v>2.8299999999999999E-4</v>
      </c>
      <c r="H98" s="67">
        <v>16651.096000000001</v>
      </c>
      <c r="I98" s="1">
        <f t="shared" ref="I98:I102" si="44">G98-0.0000005</f>
        <v>2.8249999999999998E-4</v>
      </c>
      <c r="J98" s="1">
        <f t="shared" ref="J98:J102" si="45">G98+0.0000005</f>
        <v>2.8350000000000001E-4</v>
      </c>
      <c r="K98" s="46">
        <f t="shared" ref="K98:K102" si="46">1/I98</f>
        <v>3539.8230088495579</v>
      </c>
      <c r="L98" s="46">
        <f t="shared" ref="L98:L102" si="47">1/J98</f>
        <v>3527.3368606701938</v>
      </c>
      <c r="M98" s="58">
        <f t="shared" ref="M98:M102" si="48">1/G98</f>
        <v>3533.5689045936397</v>
      </c>
    </row>
    <row r="99" spans="1:13" ht="15" customHeight="1">
      <c r="A99" s="1" t="str">
        <f>SCALARS!A100</f>
        <v>Tuesday</v>
      </c>
      <c r="B99" s="28">
        <f>SCALARS!B100</f>
        <v>46175</v>
      </c>
      <c r="C99" s="61">
        <f>SCALARS!K100</f>
        <v>3535.8029000000001</v>
      </c>
      <c r="D99" s="61">
        <f t="shared" si="42"/>
        <v>3535.8035012111814</v>
      </c>
      <c r="E99" s="61">
        <f t="shared" si="43"/>
        <v>-6.012111812196963E-4</v>
      </c>
      <c r="F99" s="9">
        <v>58875000</v>
      </c>
      <c r="G99" s="1">
        <v>2.8299999999999999E-4</v>
      </c>
      <c r="H99" s="67">
        <v>16651.095000000001</v>
      </c>
      <c r="I99" s="1">
        <f t="shared" si="44"/>
        <v>2.8249999999999998E-4</v>
      </c>
      <c r="J99" s="1">
        <f t="shared" si="45"/>
        <v>2.8350000000000001E-4</v>
      </c>
      <c r="K99" s="46">
        <f t="shared" si="46"/>
        <v>3539.8230088495579</v>
      </c>
      <c r="L99" s="46">
        <f t="shared" si="47"/>
        <v>3527.3368606701938</v>
      </c>
      <c r="M99" s="58">
        <f t="shared" si="48"/>
        <v>3533.5689045936397</v>
      </c>
    </row>
    <row r="100" spans="1:13" ht="15" customHeight="1">
      <c r="A100" s="1" t="str">
        <f>SCALARS!A101</f>
        <v>Wednesday</v>
      </c>
      <c r="B100" s="28">
        <f>SCALARS!B101</f>
        <v>46176</v>
      </c>
      <c r="C100" s="61">
        <f>SCALARS!K101</f>
        <v>3535.8029000000001</v>
      </c>
      <c r="D100" s="61">
        <f>F100/H100</f>
        <v>3535.8037135577997</v>
      </c>
      <c r="E100" s="61">
        <f t="shared" si="43"/>
        <v>-8.1355779957448249E-4</v>
      </c>
      <c r="F100" s="9">
        <v>58875000</v>
      </c>
      <c r="G100" s="1">
        <v>2.8299999999999999E-4</v>
      </c>
      <c r="H100" s="67">
        <v>16651.094000000001</v>
      </c>
      <c r="I100" s="1">
        <f t="shared" si="44"/>
        <v>2.8249999999999998E-4</v>
      </c>
      <c r="J100" s="1">
        <f t="shared" si="45"/>
        <v>2.8350000000000001E-4</v>
      </c>
      <c r="K100" s="46">
        <f t="shared" si="46"/>
        <v>3539.8230088495579</v>
      </c>
      <c r="L100" s="46">
        <f t="shared" si="47"/>
        <v>3527.3368606701938</v>
      </c>
      <c r="M100" s="58">
        <f t="shared" si="48"/>
        <v>3533.5689045936397</v>
      </c>
    </row>
    <row r="101" spans="1:13" ht="15" customHeight="1">
      <c r="A101" s="1" t="str">
        <f>SCALARS!A102</f>
        <v>Thursday</v>
      </c>
      <c r="B101" s="28">
        <f>SCALARS!B102</f>
        <v>46177</v>
      </c>
      <c r="C101" s="61">
        <f>SCALARS!K102</f>
        <v>3535.8029000000001</v>
      </c>
      <c r="D101" s="61">
        <f t="shared" si="42"/>
        <v>3535.8035012111814</v>
      </c>
      <c r="E101" s="61">
        <f t="shared" si="43"/>
        <v>-6.012111812196963E-4</v>
      </c>
      <c r="F101" s="9">
        <v>58875000</v>
      </c>
      <c r="G101" s="1">
        <v>2.8299999999999999E-4</v>
      </c>
      <c r="H101" s="67">
        <v>16651.095000000001</v>
      </c>
      <c r="I101" s="1">
        <f t="shared" si="44"/>
        <v>2.8249999999999998E-4</v>
      </c>
      <c r="J101" s="1">
        <f t="shared" si="45"/>
        <v>2.8350000000000001E-4</v>
      </c>
      <c r="K101" s="46">
        <f t="shared" si="46"/>
        <v>3539.8230088495579</v>
      </c>
      <c r="L101" s="46">
        <f t="shared" si="47"/>
        <v>3527.3368606701938</v>
      </c>
      <c r="M101" s="58">
        <f t="shared" si="48"/>
        <v>3533.5689045936397</v>
      </c>
    </row>
    <row r="102" spans="1:13" ht="15" customHeight="1">
      <c r="A102" s="1" t="str">
        <f>SCALARS!A103</f>
        <v>Friday</v>
      </c>
      <c r="B102" s="28">
        <f>SCALARS!B103</f>
        <v>46178</v>
      </c>
      <c r="C102" s="61">
        <f>SCALARS!K103</f>
        <v>3535.8029000000001</v>
      </c>
      <c r="D102" s="61">
        <f t="shared" si="42"/>
        <v>3535.8020147855682</v>
      </c>
      <c r="E102" s="61">
        <f t="shared" si="43"/>
        <v>8.8521443194622407E-4</v>
      </c>
      <c r="F102" s="9">
        <v>58875000</v>
      </c>
      <c r="G102" s="1">
        <v>2.8299999999999999E-4</v>
      </c>
      <c r="H102" s="67">
        <v>16651.101999999999</v>
      </c>
      <c r="I102" s="1">
        <f t="shared" si="44"/>
        <v>2.8249999999999998E-4</v>
      </c>
      <c r="J102" s="1">
        <f t="shared" si="45"/>
        <v>2.8350000000000001E-4</v>
      </c>
      <c r="K102" s="46">
        <f t="shared" si="46"/>
        <v>3539.8230088495579</v>
      </c>
      <c r="L102" s="46">
        <f t="shared" si="47"/>
        <v>3527.3368606701938</v>
      </c>
      <c r="M102" s="58">
        <f t="shared" si="48"/>
        <v>3533.5689045936397</v>
      </c>
    </row>
    <row r="103" spans="1:13" ht="15" customHeight="1">
      <c r="A103" s="1" t="str">
        <f>SCALARS!A104</f>
        <v>Saturday</v>
      </c>
      <c r="B103" s="28">
        <f>SCALARS!B104</f>
        <v>46179</v>
      </c>
      <c r="C103" s="61">
        <f>SCALARS!K104</f>
        <v>3535.8029000000001</v>
      </c>
    </row>
    <row r="104" spans="1:13" ht="15" customHeight="1">
      <c r="A104" s="1" t="str">
        <f>SCALARS!A105</f>
        <v>Sunday</v>
      </c>
      <c r="B104" s="28">
        <f>SCALARS!B105</f>
        <v>46180</v>
      </c>
      <c r="C104" s="61">
        <f>SCALARS!K105</f>
        <v>3535.8029000000001</v>
      </c>
    </row>
    <row r="105" spans="1:13" ht="15" customHeight="1">
      <c r="A105" s="1" t="str">
        <f>SCALARS!A106</f>
        <v>Monday</v>
      </c>
      <c r="B105" s="28">
        <f>SCALARS!B106</f>
        <v>46181</v>
      </c>
      <c r="C105" s="61">
        <f>SCALARS!K106</f>
        <v>3535.8029000000001</v>
      </c>
      <c r="D105" s="61">
        <f t="shared" ref="D105:D109" si="49">F105/H105</f>
        <v>3535.8027160227448</v>
      </c>
      <c r="E105" s="61">
        <f t="shared" ref="E105:E109" si="50">C105-D105</f>
        <v>1.8397725534669007E-4</v>
      </c>
      <c r="F105" s="9">
        <v>59125000</v>
      </c>
      <c r="G105" s="1">
        <v>2.8299999999999999E-4</v>
      </c>
      <c r="H105" s="67">
        <v>16721.804</v>
      </c>
      <c r="I105" s="1">
        <f t="shared" ref="I105:I109" si="51">G105-0.0000005</f>
        <v>2.8249999999999998E-4</v>
      </c>
      <c r="J105" s="1">
        <f t="shared" ref="J105:J109" si="52">G105+0.0000005</f>
        <v>2.8350000000000001E-4</v>
      </c>
      <c r="K105" s="46">
        <f t="shared" ref="K105:K109" si="53">1/I105</f>
        <v>3539.8230088495579</v>
      </c>
      <c r="L105" s="46">
        <f t="shared" ref="L105:L109" si="54">1/J105</f>
        <v>3527.3368606701938</v>
      </c>
      <c r="M105" s="58">
        <f t="shared" ref="M105:M109" si="55">1/G105</f>
        <v>3533.5689045936397</v>
      </c>
    </row>
    <row r="106" spans="1:13" ht="15" customHeight="1">
      <c r="A106" s="1" t="str">
        <f>SCALARS!A107</f>
        <v>Tuesday</v>
      </c>
      <c r="B106" s="28">
        <f>SCALARS!B107</f>
        <v>46182</v>
      </c>
      <c r="C106" s="61">
        <f>SCALARS!K107</f>
        <v>3535.8029000000001</v>
      </c>
      <c r="D106" s="61">
        <f t="shared" si="49"/>
        <v>3535.8025045741174</v>
      </c>
      <c r="E106" s="61">
        <f t="shared" si="50"/>
        <v>3.9542588274343871E-4</v>
      </c>
      <c r="F106" s="9">
        <v>59125000</v>
      </c>
      <c r="G106" s="1">
        <v>2.8299999999999999E-4</v>
      </c>
      <c r="H106" s="67">
        <v>16721.805</v>
      </c>
      <c r="I106" s="1">
        <f t="shared" si="51"/>
        <v>2.8249999999999998E-4</v>
      </c>
      <c r="J106" s="1">
        <f t="shared" si="52"/>
        <v>2.8350000000000001E-4</v>
      </c>
      <c r="K106" s="46">
        <f t="shared" si="53"/>
        <v>3539.8230088495579</v>
      </c>
      <c r="L106" s="46">
        <f t="shared" si="54"/>
        <v>3527.3368606701938</v>
      </c>
      <c r="M106" s="58">
        <f t="shared" si="55"/>
        <v>3533.5689045936397</v>
      </c>
    </row>
    <row r="107" spans="1:13" ht="15" customHeight="1">
      <c r="A107" s="1" t="str">
        <f>SCALARS!A108</f>
        <v>Wednesday</v>
      </c>
      <c r="B107" s="28">
        <f>SCALARS!B108</f>
        <v>46183</v>
      </c>
      <c r="C107" s="61">
        <f>SCALARS!K108</f>
        <v>3535.8029000000001</v>
      </c>
      <c r="D107" s="61">
        <f t="shared" si="49"/>
        <v>3535.8029274713977</v>
      </c>
      <c r="E107" s="61">
        <f t="shared" si="50"/>
        <v>-2.7471397515910212E-5</v>
      </c>
      <c r="F107" s="9">
        <v>59125000</v>
      </c>
      <c r="G107" s="1">
        <v>2.8299999999999999E-4</v>
      </c>
      <c r="H107" s="67">
        <v>16721.803</v>
      </c>
      <c r="I107" s="1">
        <f t="shared" si="51"/>
        <v>2.8249999999999998E-4</v>
      </c>
      <c r="J107" s="1">
        <f t="shared" si="52"/>
        <v>2.8350000000000001E-4</v>
      </c>
      <c r="K107" s="46">
        <f t="shared" si="53"/>
        <v>3539.8230088495579</v>
      </c>
      <c r="L107" s="46">
        <f t="shared" si="54"/>
        <v>3527.3368606701938</v>
      </c>
      <c r="M107" s="58">
        <f t="shared" si="55"/>
        <v>3533.5689045936397</v>
      </c>
    </row>
    <row r="108" spans="1:13" ht="15" customHeight="1">
      <c r="A108" s="1" t="str">
        <f>SCALARS!A109</f>
        <v>Thursday</v>
      </c>
      <c r="B108" s="28">
        <f>SCALARS!B109</f>
        <v>46184</v>
      </c>
      <c r="C108" s="61">
        <f>SCALARS!K109</f>
        <v>3535.8029000000001</v>
      </c>
      <c r="D108" s="61">
        <f t="shared" si="49"/>
        <v>3535.8029274713977</v>
      </c>
      <c r="E108" s="61">
        <f t="shared" si="50"/>
        <v>-2.7471397515910212E-5</v>
      </c>
      <c r="F108" s="9">
        <v>59125000</v>
      </c>
      <c r="G108" s="1">
        <v>2.8299999999999999E-4</v>
      </c>
      <c r="H108" s="67">
        <v>16721.803</v>
      </c>
      <c r="I108" s="1">
        <f t="shared" si="51"/>
        <v>2.8249999999999998E-4</v>
      </c>
      <c r="J108" s="1">
        <f t="shared" si="52"/>
        <v>2.8350000000000001E-4</v>
      </c>
      <c r="K108" s="46">
        <f t="shared" si="53"/>
        <v>3539.8230088495579</v>
      </c>
      <c r="L108" s="46">
        <f t="shared" si="54"/>
        <v>3527.3368606701938</v>
      </c>
      <c r="M108" s="58">
        <f t="shared" si="55"/>
        <v>3533.5689045936397</v>
      </c>
    </row>
    <row r="109" spans="1:13" ht="15" customHeight="1">
      <c r="A109" s="1" t="str">
        <f>SCALARS!A110</f>
        <v>Friday</v>
      </c>
      <c r="B109" s="28">
        <f>SCALARS!B110</f>
        <v>46185</v>
      </c>
      <c r="C109" s="61">
        <f>SCALARS!K110</f>
        <v>3535.8029000000001</v>
      </c>
      <c r="D109" s="61">
        <f t="shared" si="49"/>
        <v>3535.8038959464461</v>
      </c>
      <c r="E109" s="61">
        <f t="shared" si="50"/>
        <v>-9.95946445982554E-4</v>
      </c>
      <c r="F109" s="9">
        <v>58300000</v>
      </c>
      <c r="G109" s="1">
        <v>2.8299999999999999E-4</v>
      </c>
      <c r="H109" s="67">
        <v>16488.471000000001</v>
      </c>
      <c r="I109" s="1">
        <f t="shared" si="51"/>
        <v>2.8249999999999998E-4</v>
      </c>
      <c r="J109" s="1">
        <f t="shared" si="52"/>
        <v>2.8350000000000001E-4</v>
      </c>
      <c r="K109" s="46">
        <f t="shared" si="53"/>
        <v>3539.8230088495579</v>
      </c>
      <c r="L109" s="46">
        <f t="shared" si="54"/>
        <v>3527.3368606701938</v>
      </c>
      <c r="M109" s="58">
        <f t="shared" si="55"/>
        <v>3533.5689045936397</v>
      </c>
    </row>
    <row r="110" spans="1:13" ht="15" customHeight="1">
      <c r="A110" s="1" t="str">
        <f>SCALARS!A111</f>
        <v>Saturday</v>
      </c>
      <c r="B110" s="28">
        <f>SCALARS!B111</f>
        <v>46186</v>
      </c>
      <c r="C110" s="61">
        <f>SCALARS!K111</f>
        <v>3535.8029000000001</v>
      </c>
    </row>
    <row r="111" spans="1:13" ht="15" customHeight="1">
      <c r="A111" s="1" t="str">
        <f>SCALARS!A112</f>
        <v>Sunday</v>
      </c>
      <c r="B111" s="28">
        <f>SCALARS!B112</f>
        <v>46187</v>
      </c>
      <c r="C111" s="61">
        <f>SCALARS!K112</f>
        <v>3535.8029000000001</v>
      </c>
    </row>
    <row r="112" spans="1:13" ht="15" customHeight="1">
      <c r="A112" s="1" t="str">
        <f>SCALARS!A113</f>
        <v>Monday</v>
      </c>
      <c r="B112" s="28">
        <f>SCALARS!B113</f>
        <v>46188</v>
      </c>
      <c r="C112" s="61">
        <f>SCALARS!K113</f>
        <v>3535.8029000000001</v>
      </c>
      <c r="D112" s="61">
        <f t="shared" ref="D112:D115" si="56">F112/H112</f>
        <v>3535.8034916664924</v>
      </c>
      <c r="E112" s="61">
        <f t="shared" ref="E112:E115" si="57">C112-D112</f>
        <v>-5.9166649225517176E-4</v>
      </c>
      <c r="F112" s="9">
        <v>58400000</v>
      </c>
      <c r="G112" s="1">
        <v>2.8299999999999999E-4</v>
      </c>
      <c r="H112" s="67">
        <v>16516.755000000001</v>
      </c>
      <c r="I112" s="1">
        <f t="shared" ref="I112:I115" si="58">G112-0.0000005</f>
        <v>2.8249999999999998E-4</v>
      </c>
      <c r="J112" s="1">
        <f t="shared" ref="J112:J115" si="59">G112+0.0000005</f>
        <v>2.8350000000000001E-4</v>
      </c>
      <c r="K112" s="46">
        <f t="shared" ref="K112:K115" si="60">1/I112</f>
        <v>3539.8230088495579</v>
      </c>
      <c r="L112" s="46">
        <f t="shared" ref="L112:L115" si="61">1/J112</f>
        <v>3527.3368606701938</v>
      </c>
      <c r="M112" s="58">
        <f t="shared" ref="M112:M115" si="62">1/G112</f>
        <v>3533.5689045936397</v>
      </c>
    </row>
    <row r="113" spans="1:13" ht="15" customHeight="1">
      <c r="A113" s="1" t="str">
        <f>SCALARS!A114</f>
        <v>Tuesday</v>
      </c>
      <c r="B113" s="28">
        <f>SCALARS!B114</f>
        <v>46189</v>
      </c>
      <c r="C113" s="61">
        <f>SCALARS!K114</f>
        <v>3535.8029000000001</v>
      </c>
      <c r="D113" s="61">
        <f t="shared" si="56"/>
        <v>3535.8022274062387</v>
      </c>
      <c r="E113" s="61">
        <f t="shared" si="57"/>
        <v>6.7259376146466821E-4</v>
      </c>
      <c r="F113" s="9">
        <v>58075000</v>
      </c>
      <c r="G113" s="1">
        <v>2.8299999999999999E-4</v>
      </c>
      <c r="H113" s="67">
        <v>16424.844000000001</v>
      </c>
      <c r="I113" s="1">
        <f t="shared" si="58"/>
        <v>2.8249999999999998E-4</v>
      </c>
      <c r="J113" s="1">
        <f t="shared" si="59"/>
        <v>2.8350000000000001E-4</v>
      </c>
      <c r="K113" s="46">
        <f t="shared" si="60"/>
        <v>3539.8230088495579</v>
      </c>
      <c r="L113" s="46">
        <f t="shared" si="61"/>
        <v>3527.3368606701938</v>
      </c>
      <c r="M113" s="58">
        <f t="shared" si="62"/>
        <v>3533.5689045936397</v>
      </c>
    </row>
    <row r="114" spans="1:13" ht="15" customHeight="1">
      <c r="A114" s="1" t="str">
        <f>SCALARS!A115</f>
        <v>Wednesday</v>
      </c>
      <c r="B114" s="28">
        <f>SCALARS!B115</f>
        <v>46190</v>
      </c>
      <c r="C114" s="61">
        <f>SCALARS!K115</f>
        <v>3535.8029000000001</v>
      </c>
      <c r="D114" s="61">
        <f t="shared" si="56"/>
        <v>3535.8026579494644</v>
      </c>
      <c r="E114" s="61">
        <f t="shared" si="57"/>
        <v>2.4205053568948642E-4</v>
      </c>
      <c r="F114" s="9">
        <v>58075000</v>
      </c>
      <c r="G114" s="1">
        <v>2.8299999999999999E-4</v>
      </c>
      <c r="H114" s="67">
        <v>16424.842000000001</v>
      </c>
      <c r="I114" s="1">
        <f t="shared" si="58"/>
        <v>2.8249999999999998E-4</v>
      </c>
      <c r="J114" s="1">
        <f t="shared" si="59"/>
        <v>2.8350000000000001E-4</v>
      </c>
      <c r="K114" s="46">
        <f t="shared" si="60"/>
        <v>3539.8230088495579</v>
      </c>
      <c r="L114" s="46">
        <f t="shared" si="61"/>
        <v>3527.3368606701938</v>
      </c>
      <c r="M114" s="58">
        <f t="shared" si="62"/>
        <v>3533.5689045936397</v>
      </c>
    </row>
    <row r="115" spans="1:13" ht="15" customHeight="1">
      <c r="A115" s="1" t="str">
        <f>SCALARS!A116</f>
        <v>Thursday</v>
      </c>
      <c r="B115" s="28">
        <f>SCALARS!B116</f>
        <v>46191</v>
      </c>
      <c r="C115" s="61">
        <f>SCALARS!K116</f>
        <v>3535.8029000000001</v>
      </c>
      <c r="D115" s="61">
        <f t="shared" si="56"/>
        <v>3535.8031391942095</v>
      </c>
      <c r="E115" s="61">
        <f t="shared" si="57"/>
        <v>-2.3919420937090763E-4</v>
      </c>
      <c r="F115" s="9">
        <v>57850000</v>
      </c>
      <c r="G115" s="1">
        <v>2.8299999999999999E-4</v>
      </c>
      <c r="H115" s="67">
        <v>16361.205</v>
      </c>
      <c r="I115" s="1">
        <f t="shared" si="58"/>
        <v>2.8249999999999998E-4</v>
      </c>
      <c r="J115" s="1">
        <f t="shared" si="59"/>
        <v>2.8350000000000001E-4</v>
      </c>
      <c r="K115" s="46">
        <f t="shared" si="60"/>
        <v>3539.8230088495579</v>
      </c>
      <c r="L115" s="46">
        <f t="shared" si="61"/>
        <v>3527.3368606701938</v>
      </c>
      <c r="M115" s="58">
        <f t="shared" si="62"/>
        <v>3533.5689045936397</v>
      </c>
    </row>
    <row r="116" spans="1:13" ht="15" customHeight="1">
      <c r="A116" s="1" t="str">
        <f>SCALARS!A117</f>
        <v>Friday</v>
      </c>
      <c r="B116" s="28">
        <f>SCALARS!B117</f>
        <v>46192</v>
      </c>
      <c r="C116" s="61">
        <f>SCALARS!K117</f>
        <v>3535.8029000000001</v>
      </c>
      <c r="D116" s="161" t="s">
        <v>73</v>
      </c>
      <c r="E116" s="61"/>
      <c r="F116" s="9"/>
      <c r="H116" s="67"/>
      <c r="K116" s="46"/>
      <c r="L116" s="46"/>
      <c r="M116" s="58"/>
    </row>
    <row r="117" spans="1:13" ht="15" customHeight="1">
      <c r="A117" s="1" t="str">
        <f>SCALARS!A118</f>
        <v>Saturday</v>
      </c>
      <c r="B117" s="28">
        <f>SCALARS!B118</f>
        <v>46193</v>
      </c>
      <c r="C117" s="61">
        <f>SCALARS!K118</f>
        <v>3535.8029000000001</v>
      </c>
    </row>
    <row r="118" spans="1:13" ht="15" customHeight="1">
      <c r="A118" s="1" t="str">
        <f>SCALARS!A119</f>
        <v>Sunday</v>
      </c>
      <c r="B118" s="28">
        <f>SCALARS!B119</f>
        <v>46194</v>
      </c>
      <c r="C118" s="61">
        <f>SCALARS!K119</f>
        <v>3535.8029000000001</v>
      </c>
    </row>
    <row r="119" spans="1:13" ht="15" customHeight="1">
      <c r="A119" s="1" t="str">
        <f>SCALARS!A120</f>
        <v>Monday</v>
      </c>
      <c r="B119" s="28">
        <f>SCALARS!B120</f>
        <v>46195</v>
      </c>
      <c r="C119" s="61">
        <f>SCALARS!K120</f>
        <v>3535.8029000000001</v>
      </c>
      <c r="D119" s="61">
        <f t="shared" ref="D119:D123" si="63">F119/H119</f>
        <v>3535.8035095059709</v>
      </c>
      <c r="E119" s="61">
        <f t="shared" ref="E119:E123" si="64">C119-D119</f>
        <v>-6.0950597071496304E-4</v>
      </c>
      <c r="F119" s="9">
        <v>57600000</v>
      </c>
      <c r="G119" s="1">
        <v>2.8299999999999999E-4</v>
      </c>
      <c r="H119" s="67">
        <v>16290.498</v>
      </c>
      <c r="I119" s="1">
        <f t="shared" ref="I119:I123" si="65">G119-0.0000005</f>
        <v>2.8249999999999998E-4</v>
      </c>
      <c r="J119" s="1">
        <f t="shared" ref="J119:J123" si="66">G119+0.0000005</f>
        <v>2.8350000000000001E-4</v>
      </c>
      <c r="K119" s="46">
        <f t="shared" ref="K119:K123" si="67">1/I119</f>
        <v>3539.8230088495579</v>
      </c>
      <c r="L119" s="46">
        <f t="shared" ref="L119:L123" si="68">1/J119</f>
        <v>3527.3368606701938</v>
      </c>
      <c r="M119" s="58">
        <f t="shared" ref="M119:M123" si="69">1/G119</f>
        <v>3533.5689045936397</v>
      </c>
    </row>
    <row r="120" spans="1:13" ht="15" customHeight="1">
      <c r="A120" s="1" t="str">
        <f>SCALARS!A121</f>
        <v>Tuesday</v>
      </c>
      <c r="B120" s="28">
        <f>SCALARS!B121</f>
        <v>46196</v>
      </c>
      <c r="C120" s="61">
        <f>SCALARS!K121</f>
        <v>3535.8029000000001</v>
      </c>
      <c r="D120" s="61">
        <f t="shared" si="63"/>
        <v>3535.8031518845464</v>
      </c>
      <c r="E120" s="61">
        <f t="shared" si="64"/>
        <v>-2.518845462873287E-4</v>
      </c>
      <c r="F120" s="9">
        <v>57900000</v>
      </c>
      <c r="G120" s="1">
        <v>2.8299999999999999E-4</v>
      </c>
      <c r="H120" s="67">
        <v>16375.346</v>
      </c>
      <c r="I120" s="1">
        <f t="shared" si="65"/>
        <v>2.8249999999999998E-4</v>
      </c>
      <c r="J120" s="1">
        <f t="shared" si="66"/>
        <v>2.8350000000000001E-4</v>
      </c>
      <c r="K120" s="46">
        <f t="shared" si="67"/>
        <v>3539.8230088495579</v>
      </c>
      <c r="L120" s="46">
        <f t="shared" si="68"/>
        <v>3527.3368606701938</v>
      </c>
      <c r="M120" s="58">
        <f t="shared" si="69"/>
        <v>3533.5689045936397</v>
      </c>
    </row>
    <row r="121" spans="1:13" ht="15" customHeight="1">
      <c r="A121" s="1" t="str">
        <f>SCALARS!A122</f>
        <v>Wednesday</v>
      </c>
      <c r="B121" s="28">
        <f>SCALARS!B122</f>
        <v>46197</v>
      </c>
      <c r="C121" s="61">
        <f>SCALARS!K122</f>
        <v>3535.8029000000001</v>
      </c>
      <c r="D121" s="61">
        <f t="shared" si="63"/>
        <v>3535.8037996517078</v>
      </c>
      <c r="E121" s="61">
        <f t="shared" si="64"/>
        <v>-8.996517076411692E-4</v>
      </c>
      <c r="F121" s="9">
        <v>57900000</v>
      </c>
      <c r="G121" s="1">
        <v>2.8299999999999999E-4</v>
      </c>
      <c r="H121" s="122">
        <v>16375.343000000001</v>
      </c>
      <c r="I121" s="1">
        <f t="shared" si="65"/>
        <v>2.8249999999999998E-4</v>
      </c>
      <c r="J121" s="1">
        <f t="shared" si="66"/>
        <v>2.8350000000000001E-4</v>
      </c>
      <c r="K121" s="46">
        <f t="shared" si="67"/>
        <v>3539.8230088495579</v>
      </c>
      <c r="L121" s="46">
        <f t="shared" si="68"/>
        <v>3527.3368606701938</v>
      </c>
      <c r="M121" s="58">
        <f t="shared" si="69"/>
        <v>3533.5689045936397</v>
      </c>
    </row>
    <row r="122" spans="1:13" ht="15" customHeight="1">
      <c r="A122" s="1" t="str">
        <f>SCALARS!A123</f>
        <v>Thursday</v>
      </c>
      <c r="B122" s="28">
        <f>SCALARS!B123</f>
        <v>46198</v>
      </c>
      <c r="C122" s="61">
        <f>SCALARS!K123</f>
        <v>3535.8029000000001</v>
      </c>
      <c r="D122" s="61">
        <f t="shared" si="63"/>
        <v>3535.802504117622</v>
      </c>
      <c r="E122" s="61">
        <f t="shared" si="64"/>
        <v>3.9588237814314198E-4</v>
      </c>
      <c r="F122" s="9">
        <v>57900000</v>
      </c>
      <c r="G122" s="1">
        <v>2.8299999999999999E-4</v>
      </c>
      <c r="H122" s="67">
        <v>16375.349</v>
      </c>
      <c r="I122" s="1">
        <f t="shared" si="65"/>
        <v>2.8249999999999998E-4</v>
      </c>
      <c r="J122" s="1">
        <f t="shared" si="66"/>
        <v>2.8350000000000001E-4</v>
      </c>
      <c r="K122" s="46">
        <f t="shared" si="67"/>
        <v>3539.8230088495579</v>
      </c>
      <c r="L122" s="46">
        <f t="shared" si="68"/>
        <v>3527.3368606701938</v>
      </c>
      <c r="M122" s="58">
        <f t="shared" si="69"/>
        <v>3533.5689045936397</v>
      </c>
    </row>
    <row r="123" spans="1:13" ht="15" customHeight="1">
      <c r="A123" s="1" t="str">
        <f>SCALARS!A124</f>
        <v>Friday</v>
      </c>
      <c r="B123" s="28">
        <f>SCALARS!B124</f>
        <v>46199</v>
      </c>
      <c r="C123" s="61">
        <f>SCALARS!K124</f>
        <v>3535.8029000000001</v>
      </c>
      <c r="D123" s="61">
        <f t="shared" si="63"/>
        <v>3535.8031907656691</v>
      </c>
      <c r="E123" s="61">
        <f t="shared" si="64"/>
        <v>-2.9076566897856537E-4</v>
      </c>
      <c r="F123" s="9">
        <v>57200000</v>
      </c>
      <c r="G123" s="1">
        <v>2.8299999999999999E-4</v>
      </c>
      <c r="H123" s="67">
        <v>16177.370999999999</v>
      </c>
      <c r="I123" s="1">
        <f t="shared" si="65"/>
        <v>2.8249999999999998E-4</v>
      </c>
      <c r="J123" s="1">
        <f t="shared" si="66"/>
        <v>2.8350000000000001E-4</v>
      </c>
      <c r="K123" s="46">
        <f t="shared" si="67"/>
        <v>3539.8230088495579</v>
      </c>
      <c r="L123" s="46">
        <f t="shared" si="68"/>
        <v>3527.3368606701938</v>
      </c>
      <c r="M123" s="58">
        <f t="shared" si="69"/>
        <v>3533.5689045936397</v>
      </c>
    </row>
    <row r="124" spans="1:13" ht="15" customHeight="1">
      <c r="A124" s="1" t="str">
        <f>SCALARS!A125</f>
        <v>Saturday</v>
      </c>
      <c r="B124" s="28">
        <f>SCALARS!B125</f>
        <v>46200</v>
      </c>
      <c r="C124" s="61">
        <f>SCALARS!K125</f>
        <v>3535.8029000000001</v>
      </c>
    </row>
    <row r="125" spans="1:13" ht="15" customHeight="1">
      <c r="A125" s="1" t="str">
        <f>SCALARS!A126</f>
        <v>Sunday</v>
      </c>
      <c r="B125" s="28">
        <f>SCALARS!B126</f>
        <v>46201</v>
      </c>
      <c r="C125" s="61">
        <f>SCALARS!K126</f>
        <v>3535.8029000000001</v>
      </c>
    </row>
    <row r="126" spans="1:13" ht="15" customHeight="1">
      <c r="A126" s="1" t="str">
        <f>SCALARS!A127</f>
        <v>Monday</v>
      </c>
      <c r="B126" s="28">
        <f>SCALARS!B127</f>
        <v>46202</v>
      </c>
      <c r="C126" s="61">
        <f>SCALARS!K127</f>
        <v>3535.8029000000001</v>
      </c>
      <c r="D126" s="61">
        <f t="shared" ref="D126:D127" si="70">F126/H126</f>
        <v>3535.8038464600668</v>
      </c>
      <c r="E126" s="61">
        <f t="shared" ref="E126:E127" si="71">C126-D126</f>
        <v>-9.4646006664333981E-4</v>
      </c>
      <c r="F126" s="9">
        <v>57200000</v>
      </c>
      <c r="G126" s="1">
        <v>2.8299999999999999E-4</v>
      </c>
      <c r="H126" s="67">
        <v>16177.368</v>
      </c>
      <c r="I126" s="1">
        <f t="shared" ref="I126:I127" si="72">G126-0.0000005</f>
        <v>2.8249999999999998E-4</v>
      </c>
      <c r="J126" s="1">
        <f t="shared" ref="J126:J127" si="73">G126+0.0000005</f>
        <v>2.8350000000000001E-4</v>
      </c>
      <c r="K126" s="46">
        <f t="shared" ref="K126:K127" si="74">1/I126</f>
        <v>3539.8230088495579</v>
      </c>
      <c r="L126" s="46">
        <f t="shared" ref="L126:L127" si="75">1/J126</f>
        <v>3527.3368606701938</v>
      </c>
      <c r="M126" s="58">
        <f t="shared" ref="M126:M127" si="76">1/G126</f>
        <v>3533.5689045936397</v>
      </c>
    </row>
    <row r="127" spans="1:13" ht="15" customHeight="1">
      <c r="A127" s="1" t="str">
        <f>SCALARS!A128</f>
        <v>Tuesday</v>
      </c>
      <c r="B127" s="28">
        <f>SCALARS!B128</f>
        <v>46203</v>
      </c>
      <c r="C127" s="61">
        <f>SCALARS!K128</f>
        <v>3535.8029000000001</v>
      </c>
      <c r="D127" s="61">
        <f t="shared" si="70"/>
        <v>3535.8027038715823</v>
      </c>
      <c r="E127" s="61">
        <f t="shared" si="71"/>
        <v>1.9612841788330115E-4</v>
      </c>
      <c r="F127" s="9">
        <v>57425000</v>
      </c>
      <c r="G127" s="1">
        <v>2.8299999999999999E-4</v>
      </c>
      <c r="H127" s="67">
        <v>16241.008</v>
      </c>
      <c r="I127" s="1">
        <f t="shared" si="72"/>
        <v>2.8249999999999998E-4</v>
      </c>
      <c r="J127" s="1">
        <f t="shared" si="73"/>
        <v>2.8350000000000001E-4</v>
      </c>
      <c r="K127" s="46">
        <f t="shared" si="74"/>
        <v>3539.8230088495579</v>
      </c>
      <c r="L127" s="46">
        <f t="shared" si="75"/>
        <v>3527.3368606701938</v>
      </c>
      <c r="M127" s="58">
        <f t="shared" si="76"/>
        <v>3533.5689045936397</v>
      </c>
    </row>
    <row r="128" spans="1:13" ht="15" customHeight="1">
      <c r="A128" s="1" t="str">
        <f>SCALARS!A129</f>
        <v>Wednesday</v>
      </c>
      <c r="B128" s="28">
        <f>SCALARS!B129</f>
        <v>46204</v>
      </c>
      <c r="C128" s="61">
        <f>SCALARS!K129</f>
        <v>3535.8029000000001</v>
      </c>
      <c r="D128" s="61">
        <f t="shared" ref="D128:D158" si="77">F128/H128</f>
        <v>3535.8024861632675</v>
      </c>
      <c r="E128" s="61">
        <f t="shared" ref="E128:E158" si="78">C128-D128</f>
        <v>4.1383673260497744E-4</v>
      </c>
      <c r="F128" s="9">
        <v>57425000</v>
      </c>
      <c r="G128" s="1">
        <v>2.8299999999999999E-4</v>
      </c>
      <c r="H128" s="67">
        <v>16241.009</v>
      </c>
      <c r="I128" s="1">
        <f t="shared" ref="I128:I158" si="79">G128-0.0000005</f>
        <v>2.8249999999999998E-4</v>
      </c>
      <c r="J128" s="1">
        <f t="shared" ref="J128:J158" si="80">G128+0.0000005</f>
        <v>2.8350000000000001E-4</v>
      </c>
      <c r="K128" s="46">
        <f t="shared" ref="K128:K158" si="81">1/I128</f>
        <v>3539.8230088495579</v>
      </c>
      <c r="L128" s="46">
        <f t="shared" ref="L128:L158" si="82">1/J128</f>
        <v>3527.3368606701938</v>
      </c>
      <c r="M128" s="58">
        <f t="shared" ref="M128:M158" si="83">1/G128</f>
        <v>3533.5689045936397</v>
      </c>
    </row>
    <row r="129" spans="1:13" ht="15" customHeight="1">
      <c r="A129" s="1" t="str">
        <f>SCALARS!A130</f>
        <v>Thursday</v>
      </c>
      <c r="B129" s="28">
        <f>SCALARS!B130</f>
        <v>46205</v>
      </c>
      <c r="C129" s="61">
        <f>SCALARS!K130</f>
        <v>3535.8029000000001</v>
      </c>
      <c r="D129" s="61">
        <f t="shared" si="77"/>
        <v>3535.8026281181646</v>
      </c>
      <c r="E129" s="61">
        <f t="shared" si="78"/>
        <v>2.7188183548787492E-4</v>
      </c>
      <c r="F129" s="9">
        <v>57550000</v>
      </c>
      <c r="G129" s="1">
        <v>2.8299999999999999E-4</v>
      </c>
      <c r="H129" s="67">
        <v>16276.361000000001</v>
      </c>
      <c r="I129" s="1">
        <f t="shared" si="79"/>
        <v>2.8249999999999998E-4</v>
      </c>
      <c r="J129" s="1">
        <f t="shared" si="80"/>
        <v>2.8350000000000001E-4</v>
      </c>
      <c r="K129" s="46">
        <f t="shared" si="81"/>
        <v>3539.8230088495579</v>
      </c>
      <c r="L129" s="46">
        <f t="shared" si="82"/>
        <v>3527.3368606701938</v>
      </c>
      <c r="M129" s="58">
        <f t="shared" si="83"/>
        <v>3533.5689045936397</v>
      </c>
    </row>
    <row r="130" spans="1:13" ht="15" customHeight="1">
      <c r="A130" s="1" t="str">
        <f>SCALARS!A131</f>
        <v>Friday</v>
      </c>
      <c r="B130" s="28">
        <f>SCALARS!B131</f>
        <v>46206</v>
      </c>
      <c r="C130" s="61">
        <f>SCALARS!K131</f>
        <v>3535.8029000000001</v>
      </c>
      <c r="D130" s="161" t="s">
        <v>73</v>
      </c>
      <c r="E130" s="61"/>
      <c r="F130" s="9"/>
      <c r="H130" s="67"/>
      <c r="K130" s="46"/>
      <c r="L130" s="46"/>
      <c r="M130" s="58"/>
    </row>
    <row r="131" spans="1:13" ht="15" customHeight="1">
      <c r="A131" s="1" t="str">
        <f>SCALARS!A132</f>
        <v>Saturday</v>
      </c>
      <c r="B131" s="28">
        <f>SCALARS!B132</f>
        <v>46207</v>
      </c>
      <c r="C131" s="61">
        <f>SCALARS!K132</f>
        <v>3535.8029000000001</v>
      </c>
      <c r="D131" s="61"/>
      <c r="E131" s="61"/>
      <c r="F131" s="9"/>
      <c r="H131" s="67"/>
      <c r="K131" s="46"/>
      <c r="L131" s="46"/>
      <c r="M131" s="58"/>
    </row>
    <row r="132" spans="1:13" ht="15" customHeight="1">
      <c r="A132" s="1" t="str">
        <f>SCALARS!A133</f>
        <v>Sunday</v>
      </c>
      <c r="B132" s="28">
        <f>SCALARS!B133</f>
        <v>46208</v>
      </c>
      <c r="C132" s="61">
        <f>SCALARS!K133</f>
        <v>3535.8029000000001</v>
      </c>
      <c r="D132" s="61"/>
      <c r="E132" s="61"/>
      <c r="F132" s="9"/>
      <c r="H132" s="67"/>
      <c r="K132" s="46"/>
      <c r="L132" s="46"/>
      <c r="M132" s="58"/>
    </row>
    <row r="133" spans="1:13" ht="15" customHeight="1">
      <c r="A133" s="1" t="str">
        <f>SCALARS!A134</f>
        <v>Monday</v>
      </c>
      <c r="B133" s="28">
        <f>SCALARS!B134</f>
        <v>46209</v>
      </c>
      <c r="C133" s="61">
        <f>SCALARS!K134</f>
        <v>3535.8029000000001</v>
      </c>
      <c r="D133" s="61">
        <f t="shared" si="77"/>
        <v>3535.8022612984787</v>
      </c>
      <c r="E133" s="61">
        <f t="shared" si="78"/>
        <v>6.3870152143863379E-4</v>
      </c>
      <c r="F133" s="9">
        <v>57800000</v>
      </c>
      <c r="G133" s="1">
        <v>2.8299999999999999E-4</v>
      </c>
      <c r="H133" s="67">
        <v>16347.067999999999</v>
      </c>
      <c r="I133" s="1">
        <f t="shared" si="79"/>
        <v>2.8249999999999998E-4</v>
      </c>
      <c r="J133" s="1">
        <f t="shared" si="80"/>
        <v>2.8350000000000001E-4</v>
      </c>
      <c r="K133" s="46">
        <f t="shared" si="81"/>
        <v>3539.8230088495579</v>
      </c>
      <c r="L133" s="46">
        <f t="shared" si="82"/>
        <v>3527.3368606701938</v>
      </c>
      <c r="M133" s="58">
        <f t="shared" si="83"/>
        <v>3533.5689045936397</v>
      </c>
    </row>
    <row r="134" spans="1:13" ht="15" customHeight="1">
      <c r="A134" s="1" t="str">
        <f>SCALARS!A135</f>
        <v>Tuesday</v>
      </c>
      <c r="B134" s="28">
        <f>SCALARS!B135</f>
        <v>46210</v>
      </c>
      <c r="C134" s="61">
        <f>SCALARS!K135</f>
        <v>3535.8029000000001</v>
      </c>
      <c r="D134" s="61">
        <f t="shared" si="77"/>
        <v>3535.8022612984787</v>
      </c>
      <c r="E134" s="61">
        <f t="shared" si="78"/>
        <v>6.3870152143863379E-4</v>
      </c>
      <c r="F134" s="9">
        <v>57800000</v>
      </c>
      <c r="G134" s="1">
        <v>2.8299999999999999E-4</v>
      </c>
      <c r="H134" s="67">
        <v>16347.067999999999</v>
      </c>
      <c r="I134" s="1">
        <f t="shared" si="79"/>
        <v>2.8249999999999998E-4</v>
      </c>
      <c r="J134" s="1">
        <f t="shared" si="80"/>
        <v>2.8350000000000001E-4</v>
      </c>
      <c r="K134" s="46">
        <f t="shared" si="81"/>
        <v>3539.8230088495579</v>
      </c>
      <c r="L134" s="46">
        <f t="shared" si="82"/>
        <v>3527.3368606701938</v>
      </c>
      <c r="M134" s="58">
        <f t="shared" si="83"/>
        <v>3533.5689045936397</v>
      </c>
    </row>
    <row r="135" spans="1:13" ht="15" customHeight="1">
      <c r="A135" s="1" t="str">
        <f>SCALARS!A136</f>
        <v>Wednesday</v>
      </c>
      <c r="B135" s="28">
        <f>SCALARS!B136</f>
        <v>46211</v>
      </c>
      <c r="C135" s="61">
        <f>SCALARS!K136</f>
        <v>3535.8029000000001</v>
      </c>
      <c r="D135" s="61">
        <f t="shared" si="77"/>
        <v>3535.8026938901448</v>
      </c>
      <c r="E135" s="61">
        <f t="shared" si="78"/>
        <v>2.0610985529856407E-4</v>
      </c>
      <c r="F135" s="9">
        <v>57800000</v>
      </c>
      <c r="G135" s="1">
        <v>2.8299999999999999E-4</v>
      </c>
      <c r="H135" s="67">
        <v>16347.066000000001</v>
      </c>
      <c r="I135" s="1">
        <f t="shared" si="79"/>
        <v>2.8249999999999998E-4</v>
      </c>
      <c r="J135" s="1">
        <f t="shared" si="80"/>
        <v>2.8350000000000001E-4</v>
      </c>
      <c r="K135" s="46">
        <f t="shared" si="81"/>
        <v>3539.8230088495579</v>
      </c>
      <c r="L135" s="46">
        <f t="shared" si="82"/>
        <v>3527.3368606701938</v>
      </c>
      <c r="M135" s="58">
        <f t="shared" si="83"/>
        <v>3533.5689045936397</v>
      </c>
    </row>
    <row r="136" spans="1:13" ht="15" customHeight="1">
      <c r="A136" s="1" t="str">
        <f>SCALARS!A137</f>
        <v>Thursday</v>
      </c>
      <c r="B136" s="28">
        <f>SCALARS!B137</f>
        <v>46212</v>
      </c>
      <c r="C136" s="61">
        <f>SCALARS!K137</f>
        <v>3535.8029000000001</v>
      </c>
      <c r="D136" s="61">
        <f t="shared" si="77"/>
        <v>3535.8029101860179</v>
      </c>
      <c r="E136" s="61">
        <f t="shared" si="78"/>
        <v>-1.0186017789237667E-5</v>
      </c>
      <c r="F136" s="9">
        <v>57800000</v>
      </c>
      <c r="G136" s="1">
        <v>2.8299999999999999E-4</v>
      </c>
      <c r="H136" s="67">
        <v>16347.065000000001</v>
      </c>
      <c r="I136" s="1">
        <f t="shared" si="79"/>
        <v>2.8249999999999998E-4</v>
      </c>
      <c r="J136" s="1">
        <f t="shared" si="80"/>
        <v>2.8350000000000001E-4</v>
      </c>
      <c r="K136" s="46">
        <f t="shared" si="81"/>
        <v>3539.8230088495579</v>
      </c>
      <c r="L136" s="46">
        <f t="shared" si="82"/>
        <v>3527.3368606701938</v>
      </c>
      <c r="M136" s="58">
        <f t="shared" si="83"/>
        <v>3533.5689045936397</v>
      </c>
    </row>
    <row r="137" spans="1:13" ht="15" customHeight="1">
      <c r="A137" s="1" t="str">
        <f>SCALARS!A138</f>
        <v>Friday</v>
      </c>
      <c r="B137" s="28">
        <f>SCALARS!B138</f>
        <v>46213</v>
      </c>
      <c r="C137" s="61">
        <f>SCALARS!K138</f>
        <v>3535.8029000000001</v>
      </c>
      <c r="D137" s="61">
        <f t="shared" si="77"/>
        <v>3535.8025568903631</v>
      </c>
      <c r="E137" s="61">
        <f t="shared" si="78"/>
        <v>3.4310963701500441E-4</v>
      </c>
      <c r="F137" s="9">
        <v>58100000</v>
      </c>
      <c r="G137" s="1">
        <v>2.8299999999999999E-4</v>
      </c>
      <c r="H137" s="67">
        <v>16431.913</v>
      </c>
      <c r="I137" s="1">
        <f t="shared" si="79"/>
        <v>2.8249999999999998E-4</v>
      </c>
      <c r="J137" s="1">
        <f t="shared" si="80"/>
        <v>2.8350000000000001E-4</v>
      </c>
      <c r="K137" s="46">
        <f t="shared" si="81"/>
        <v>3539.8230088495579</v>
      </c>
      <c r="L137" s="46">
        <f t="shared" si="82"/>
        <v>3527.3368606701938</v>
      </c>
      <c r="M137" s="58">
        <f t="shared" si="83"/>
        <v>3533.5689045936397</v>
      </c>
    </row>
    <row r="138" spans="1:13" ht="15" customHeight="1">
      <c r="A138" s="1" t="str">
        <f>SCALARS!A139</f>
        <v>Saturday</v>
      </c>
      <c r="B138" s="28">
        <f>SCALARS!B139</f>
        <v>46214</v>
      </c>
      <c r="C138" s="61">
        <f>SCALARS!K139</f>
        <v>3535.8029000000001</v>
      </c>
      <c r="D138" s="175"/>
      <c r="E138" s="61"/>
      <c r="F138" s="9"/>
      <c r="H138" s="67"/>
      <c r="K138" s="46"/>
      <c r="L138" s="46"/>
      <c r="M138" s="58"/>
    </row>
    <row r="139" spans="1:13" ht="15" customHeight="1">
      <c r="A139" s="1" t="str">
        <f>SCALARS!A140</f>
        <v>Sunday</v>
      </c>
      <c r="B139" s="28">
        <f>SCALARS!B140</f>
        <v>46215</v>
      </c>
      <c r="C139" s="61">
        <f>SCALARS!K140</f>
        <v>3535.8029000000001</v>
      </c>
      <c r="D139" s="61"/>
      <c r="E139" s="61"/>
      <c r="F139" s="9"/>
      <c r="H139" s="67"/>
      <c r="K139" s="46"/>
      <c r="L139" s="46"/>
      <c r="M139" s="58"/>
    </row>
    <row r="140" spans="1:13" ht="15" customHeight="1">
      <c r="A140" s="1" t="str">
        <f>SCALARS!A141</f>
        <v>Monday</v>
      </c>
      <c r="B140" s="28">
        <f>SCALARS!B141</f>
        <v>46216</v>
      </c>
      <c r="C140" s="61">
        <f>SCALARS!K141</f>
        <v>3535.8029000000001</v>
      </c>
      <c r="D140" s="61">
        <f t="shared" si="77"/>
        <v>3535.8021804194314</v>
      </c>
      <c r="E140" s="61">
        <f t="shared" si="78"/>
        <v>7.1958056878429488E-4</v>
      </c>
      <c r="F140" s="9">
        <v>58300000</v>
      </c>
      <c r="G140" s="1">
        <v>2.8299999999999999E-4</v>
      </c>
      <c r="H140" s="67">
        <v>16488.478999999999</v>
      </c>
      <c r="I140" s="1">
        <f t="shared" si="79"/>
        <v>2.8249999999999998E-4</v>
      </c>
      <c r="J140" s="1">
        <f t="shared" si="80"/>
        <v>2.8350000000000001E-4</v>
      </c>
      <c r="K140" s="46">
        <f t="shared" si="81"/>
        <v>3539.8230088495579</v>
      </c>
      <c r="L140" s="46">
        <f t="shared" si="82"/>
        <v>3527.3368606701938</v>
      </c>
      <c r="M140" s="58">
        <f t="shared" si="83"/>
        <v>3533.5689045936397</v>
      </c>
    </row>
    <row r="141" spans="1:13" ht="15" customHeight="1">
      <c r="A141" s="1" t="str">
        <f>SCALARS!A142</f>
        <v>Tuesday</v>
      </c>
      <c r="B141" s="28">
        <f>SCALARS!B142</f>
        <v>46217</v>
      </c>
      <c r="C141" s="61">
        <f>SCALARS!K142</f>
        <v>3535.8029000000001</v>
      </c>
      <c r="D141" s="61">
        <f t="shared" si="77"/>
        <v>3535.8022738373661</v>
      </c>
      <c r="E141" s="61">
        <f t="shared" si="78"/>
        <v>6.2616263403469929E-4</v>
      </c>
      <c r="F141" s="9">
        <v>58650000</v>
      </c>
      <c r="G141" s="1">
        <v>2.8299999999999999E-4</v>
      </c>
      <c r="H141" s="67">
        <v>16587.466</v>
      </c>
      <c r="I141" s="1">
        <f t="shared" si="79"/>
        <v>2.8249999999999998E-4</v>
      </c>
      <c r="J141" s="1">
        <f t="shared" si="80"/>
        <v>2.8350000000000001E-4</v>
      </c>
      <c r="K141" s="46">
        <f t="shared" si="81"/>
        <v>3539.8230088495579</v>
      </c>
      <c r="L141" s="46">
        <f t="shared" si="82"/>
        <v>3527.3368606701938</v>
      </c>
      <c r="M141" s="58">
        <f t="shared" si="83"/>
        <v>3533.5689045936397</v>
      </c>
    </row>
    <row r="142" spans="1:13" ht="15" customHeight="1">
      <c r="A142" s="1" t="str">
        <f>SCALARS!A143</f>
        <v>Wednesday</v>
      </c>
      <c r="B142" s="28">
        <f>SCALARS!B143</f>
        <v>46218</v>
      </c>
      <c r="C142" s="61">
        <f>SCALARS!K143</f>
        <v>3535.8029000000001</v>
      </c>
      <c r="D142" s="61">
        <f t="shared" si="77"/>
        <v>3535.8035528043474</v>
      </c>
      <c r="E142" s="61">
        <f t="shared" si="78"/>
        <v>-6.5280434728265391E-4</v>
      </c>
      <c r="F142" s="9">
        <v>58650000</v>
      </c>
      <c r="G142" s="1">
        <v>2.8299999999999999E-4</v>
      </c>
      <c r="H142" s="67">
        <v>16587.46</v>
      </c>
      <c r="I142" s="1">
        <f t="shared" si="79"/>
        <v>2.8249999999999998E-4</v>
      </c>
      <c r="J142" s="1">
        <f t="shared" si="80"/>
        <v>2.8350000000000001E-4</v>
      </c>
      <c r="K142" s="46">
        <f t="shared" si="81"/>
        <v>3539.8230088495579</v>
      </c>
      <c r="L142" s="46">
        <f t="shared" si="82"/>
        <v>3527.3368606701938</v>
      </c>
      <c r="M142" s="58">
        <f t="shared" si="83"/>
        <v>3533.5689045936397</v>
      </c>
    </row>
    <row r="143" spans="1:13" ht="15" customHeight="1">
      <c r="A143" s="1" t="str">
        <f>SCALARS!A144</f>
        <v>Thursday</v>
      </c>
      <c r="B143" s="28">
        <f>SCALARS!B144</f>
        <v>46219</v>
      </c>
      <c r="C143" s="61">
        <f>SCALARS!K144</f>
        <v>3535.8029000000001</v>
      </c>
      <c r="D143" s="61">
        <f t="shared" si="77"/>
        <v>3535.8037659656011</v>
      </c>
      <c r="E143" s="61">
        <f t="shared" si="78"/>
        <v>-8.6596560095131281E-4</v>
      </c>
      <c r="F143" s="9">
        <v>58650000</v>
      </c>
      <c r="G143" s="1">
        <v>2.8299999999999999E-4</v>
      </c>
      <c r="H143" s="67">
        <v>16587.458999999999</v>
      </c>
      <c r="I143" s="1">
        <f t="shared" si="79"/>
        <v>2.8249999999999998E-4</v>
      </c>
      <c r="J143" s="1">
        <f t="shared" si="80"/>
        <v>2.8350000000000001E-4</v>
      </c>
      <c r="K143" s="46">
        <f t="shared" si="81"/>
        <v>3539.8230088495579</v>
      </c>
      <c r="L143" s="46">
        <f t="shared" si="82"/>
        <v>3527.3368606701938</v>
      </c>
      <c r="M143" s="58">
        <f t="shared" si="83"/>
        <v>3533.5689045936397</v>
      </c>
    </row>
    <row r="144" spans="1:13" ht="15" customHeight="1">
      <c r="A144" s="1" t="str">
        <f>SCALARS!A145</f>
        <v>Friday</v>
      </c>
      <c r="B144" s="28">
        <f>SCALARS!B145</f>
        <v>46220</v>
      </c>
      <c r="C144" s="61">
        <f>SCALARS!K145</f>
        <v>3535.8029000000001</v>
      </c>
      <c r="D144" s="61">
        <f t="shared" si="77"/>
        <v>3535.8031264819174</v>
      </c>
      <c r="E144" s="61">
        <f t="shared" si="78"/>
        <v>-2.2648191725238576E-4</v>
      </c>
      <c r="F144" s="9">
        <v>58650000</v>
      </c>
      <c r="G144" s="1">
        <v>2.8299999999999999E-4</v>
      </c>
      <c r="H144" s="67">
        <v>16587.462</v>
      </c>
      <c r="I144" s="1">
        <f t="shared" si="79"/>
        <v>2.8249999999999998E-4</v>
      </c>
      <c r="J144" s="1">
        <f t="shared" si="80"/>
        <v>2.8350000000000001E-4</v>
      </c>
      <c r="K144" s="46">
        <f t="shared" si="81"/>
        <v>3539.8230088495579</v>
      </c>
      <c r="L144" s="46">
        <f t="shared" si="82"/>
        <v>3527.3368606701938</v>
      </c>
      <c r="M144" s="58">
        <f t="shared" si="83"/>
        <v>3533.5689045936397</v>
      </c>
    </row>
    <row r="145" spans="1:13" ht="15" customHeight="1">
      <c r="A145" s="1" t="str">
        <f>SCALARS!A146</f>
        <v>Saturday</v>
      </c>
      <c r="B145" s="28">
        <f>SCALARS!B146</f>
        <v>46221</v>
      </c>
      <c r="C145" s="61">
        <f>SCALARS!K146</f>
        <v>3535.8029000000001</v>
      </c>
      <c r="D145" s="61"/>
      <c r="E145" s="61"/>
      <c r="F145" s="9"/>
      <c r="H145" s="67"/>
      <c r="K145" s="46"/>
      <c r="L145" s="46"/>
      <c r="M145" s="58"/>
    </row>
    <row r="146" spans="1:13" ht="15" customHeight="1">
      <c r="A146" s="1" t="str">
        <f>SCALARS!A147</f>
        <v>Sunday</v>
      </c>
      <c r="B146" s="28">
        <f>SCALARS!B147</f>
        <v>46222</v>
      </c>
      <c r="C146" s="61">
        <f>SCALARS!K147</f>
        <v>3535.8029000000001</v>
      </c>
      <c r="D146" s="61"/>
      <c r="E146" s="61"/>
      <c r="F146" s="9"/>
      <c r="H146" s="67"/>
      <c r="K146" s="46"/>
      <c r="L146" s="46"/>
      <c r="M146" s="58"/>
    </row>
    <row r="147" spans="1:13" ht="15" customHeight="1">
      <c r="A147" s="1" t="str">
        <f>SCALARS!A148</f>
        <v>Monday</v>
      </c>
      <c r="B147" s="28">
        <f>SCALARS!B148</f>
        <v>46223</v>
      </c>
      <c r="C147" s="61">
        <f>SCALARS!K148</f>
        <v>3535.8029000000001</v>
      </c>
      <c r="D147" s="61">
        <f t="shared" si="77"/>
        <v>3535.8020606762925</v>
      </c>
      <c r="E147" s="61">
        <f t="shared" si="78"/>
        <v>8.3932370762340724E-4</v>
      </c>
      <c r="F147" s="9">
        <v>58650000</v>
      </c>
      <c r="G147" s="1">
        <v>2.8299999999999999E-4</v>
      </c>
      <c r="H147" s="67">
        <v>16587.467000000001</v>
      </c>
      <c r="I147" s="1">
        <f t="shared" si="79"/>
        <v>2.8249999999999998E-4</v>
      </c>
      <c r="J147" s="1">
        <f t="shared" si="80"/>
        <v>2.8350000000000001E-4</v>
      </c>
      <c r="K147" s="46">
        <f t="shared" si="81"/>
        <v>3539.8230088495579</v>
      </c>
      <c r="L147" s="46">
        <f t="shared" si="82"/>
        <v>3527.3368606701938</v>
      </c>
      <c r="M147" s="58">
        <f t="shared" si="83"/>
        <v>3533.5689045936397</v>
      </c>
    </row>
    <row r="148" spans="1:13" ht="15" customHeight="1">
      <c r="A148" s="1" t="str">
        <f>SCALARS!A149</f>
        <v>Tuesday</v>
      </c>
      <c r="B148" s="28">
        <f>SCALARS!B149</f>
        <v>46224</v>
      </c>
      <c r="C148" s="61">
        <f>SCALARS!K149</f>
        <v>3535.8029000000001</v>
      </c>
      <c r="D148" s="61">
        <f t="shared" si="77"/>
        <v>3535.8033643153967</v>
      </c>
      <c r="E148" s="61">
        <f t="shared" si="78"/>
        <v>-4.6431539658442489E-4</v>
      </c>
      <c r="F148" s="9">
        <v>58750000</v>
      </c>
      <c r="G148" s="1">
        <v>2.8299999999999999E-4</v>
      </c>
      <c r="H148" s="67">
        <v>16615.742999999999</v>
      </c>
      <c r="I148" s="1">
        <f t="shared" si="79"/>
        <v>2.8249999999999998E-4</v>
      </c>
      <c r="J148" s="1">
        <f t="shared" si="80"/>
        <v>2.8350000000000001E-4</v>
      </c>
      <c r="K148" s="46">
        <f t="shared" si="81"/>
        <v>3539.8230088495579</v>
      </c>
      <c r="L148" s="46">
        <f t="shared" si="82"/>
        <v>3527.3368606701938</v>
      </c>
      <c r="M148" s="58">
        <f t="shared" si="83"/>
        <v>3533.5689045936397</v>
      </c>
    </row>
    <row r="149" spans="1:13" ht="15" customHeight="1">
      <c r="A149" s="1" t="str">
        <f>SCALARS!A150</f>
        <v>Wednesday</v>
      </c>
      <c r="B149" s="28">
        <f>SCALARS!B150</f>
        <v>46225</v>
      </c>
      <c r="C149" s="61">
        <f>SCALARS!K150</f>
        <v>3535.8029000000001</v>
      </c>
      <c r="D149" s="61">
        <f t="shared" si="77"/>
        <v>3535.8023003237654</v>
      </c>
      <c r="E149" s="61">
        <f t="shared" si="78"/>
        <v>5.9967623474221909E-4</v>
      </c>
      <c r="F149" s="9">
        <v>58750000</v>
      </c>
      <c r="G149" s="1">
        <v>2.8299999999999999E-4</v>
      </c>
      <c r="H149" s="67">
        <v>16615.748</v>
      </c>
      <c r="I149" s="1">
        <f t="shared" si="79"/>
        <v>2.8249999999999998E-4</v>
      </c>
      <c r="J149" s="1">
        <f t="shared" si="80"/>
        <v>2.8350000000000001E-4</v>
      </c>
      <c r="K149" s="46">
        <f t="shared" si="81"/>
        <v>3539.8230088495579</v>
      </c>
      <c r="L149" s="46">
        <f t="shared" si="82"/>
        <v>3527.3368606701938</v>
      </c>
      <c r="M149" s="58">
        <f t="shared" si="83"/>
        <v>3533.5689045936397</v>
      </c>
    </row>
    <row r="150" spans="1:13" ht="15" customHeight="1">
      <c r="A150" s="1" t="str">
        <f>SCALARS!A151</f>
        <v>Thursday</v>
      </c>
      <c r="B150" s="28">
        <f>SCALARS!B151</f>
        <v>46226</v>
      </c>
      <c r="C150" s="61">
        <f>SCALARS!K151</f>
        <v>3535.8029000000001</v>
      </c>
      <c r="D150" s="61">
        <f t="shared" si="77"/>
        <v>3535.8027259203409</v>
      </c>
      <c r="E150" s="61">
        <f t="shared" si="78"/>
        <v>1.7407965924576274E-4</v>
      </c>
      <c r="F150" s="9">
        <v>58750000</v>
      </c>
      <c r="G150" s="1">
        <v>2.8299999999999999E-4</v>
      </c>
      <c r="H150" s="67">
        <v>16615.745999999999</v>
      </c>
      <c r="I150" s="1">
        <f t="shared" si="79"/>
        <v>2.8249999999999998E-4</v>
      </c>
      <c r="J150" s="1">
        <f t="shared" si="80"/>
        <v>2.8350000000000001E-4</v>
      </c>
      <c r="K150" s="46">
        <f t="shared" si="81"/>
        <v>3539.8230088495579</v>
      </c>
      <c r="L150" s="46">
        <f t="shared" si="82"/>
        <v>3527.3368606701938</v>
      </c>
      <c r="M150" s="58">
        <f t="shared" si="83"/>
        <v>3533.5689045936397</v>
      </c>
    </row>
    <row r="151" spans="1:13" ht="15" customHeight="1">
      <c r="A151" s="1" t="str">
        <f>SCALARS!A152</f>
        <v>Friday</v>
      </c>
      <c r="B151" s="28">
        <f>SCALARS!B152</f>
        <v>46227</v>
      </c>
      <c r="C151" s="61">
        <f>SCALARS!K152</f>
        <v>3535.8029000000001</v>
      </c>
      <c r="D151" s="61">
        <f t="shared" si="77"/>
        <v>3535.8025131220402</v>
      </c>
      <c r="E151" s="61">
        <f t="shared" si="78"/>
        <v>3.8687795995429042E-4</v>
      </c>
      <c r="F151" s="9">
        <v>58750000</v>
      </c>
      <c r="G151" s="1">
        <v>2.8299999999999999E-4</v>
      </c>
      <c r="H151" s="67">
        <v>16615.746999999999</v>
      </c>
      <c r="I151" s="1">
        <f t="shared" si="79"/>
        <v>2.8249999999999998E-4</v>
      </c>
      <c r="J151" s="1">
        <f t="shared" si="80"/>
        <v>2.8350000000000001E-4</v>
      </c>
      <c r="K151" s="46">
        <f t="shared" si="81"/>
        <v>3539.8230088495579</v>
      </c>
      <c r="L151" s="46">
        <f t="shared" si="82"/>
        <v>3527.3368606701938</v>
      </c>
      <c r="M151" s="58">
        <f t="shared" si="83"/>
        <v>3533.5689045936397</v>
      </c>
    </row>
    <row r="152" spans="1:13" ht="15" customHeight="1">
      <c r="A152" s="1" t="str">
        <f>SCALARS!A153</f>
        <v>Saturday</v>
      </c>
      <c r="B152" s="28">
        <f>SCALARS!B153</f>
        <v>46228</v>
      </c>
      <c r="C152" s="61">
        <f>SCALARS!K153</f>
        <v>3535.8029000000001</v>
      </c>
      <c r="D152" s="61"/>
      <c r="E152" s="61"/>
      <c r="F152" s="9"/>
      <c r="H152" s="67"/>
      <c r="K152" s="46"/>
      <c r="L152" s="46"/>
      <c r="M152" s="58"/>
    </row>
    <row r="153" spans="1:13" ht="15" customHeight="1">
      <c r="A153" s="1" t="str">
        <f>SCALARS!A154</f>
        <v>Sunday</v>
      </c>
      <c r="B153" s="28">
        <f>SCALARS!B154</f>
        <v>46229</v>
      </c>
      <c r="C153" s="61">
        <f>SCALARS!K154</f>
        <v>3535.8029000000001</v>
      </c>
      <c r="D153" s="61"/>
      <c r="E153" s="61"/>
      <c r="F153" s="9"/>
      <c r="H153" s="67"/>
      <c r="K153" s="46"/>
      <c r="L153" s="46"/>
      <c r="M153" s="58"/>
    </row>
    <row r="154" spans="1:13" ht="15" customHeight="1">
      <c r="A154" s="1" t="str">
        <f>SCALARS!A155</f>
        <v>Monday</v>
      </c>
      <c r="B154" s="28">
        <f>SCALARS!B155</f>
        <v>46230</v>
      </c>
      <c r="C154" s="61">
        <f>SCALARS!K155</f>
        <v>3535.8029000000001</v>
      </c>
      <c r="D154" s="61">
        <f t="shared" si="77"/>
        <v>3535.8029387186675</v>
      </c>
      <c r="E154" s="61">
        <f t="shared" si="78"/>
        <v>-3.8718667383363936E-5</v>
      </c>
      <c r="F154" s="9">
        <v>58750000</v>
      </c>
      <c r="G154" s="1">
        <v>2.8299999999999999E-4</v>
      </c>
      <c r="H154" s="67">
        <v>16615.744999999999</v>
      </c>
      <c r="I154" s="1">
        <f t="shared" si="79"/>
        <v>2.8249999999999998E-4</v>
      </c>
      <c r="J154" s="1">
        <f t="shared" si="80"/>
        <v>2.8350000000000001E-4</v>
      </c>
      <c r="K154" s="46">
        <f t="shared" si="81"/>
        <v>3539.8230088495579</v>
      </c>
      <c r="L154" s="46">
        <f t="shared" si="82"/>
        <v>3527.3368606701938</v>
      </c>
      <c r="M154" s="58">
        <f t="shared" si="83"/>
        <v>3533.5689045936397</v>
      </c>
    </row>
    <row r="155" spans="1:13" ht="15" customHeight="1">
      <c r="A155" s="1" t="str">
        <f>SCALARS!A156</f>
        <v>Tuesday</v>
      </c>
      <c r="B155" s="28">
        <f>SCALARS!B156</f>
        <v>46231</v>
      </c>
      <c r="C155" s="61">
        <f>SCALARS!K156</f>
        <v>3535.8029000000001</v>
      </c>
      <c r="D155" s="61">
        <f t="shared" si="77"/>
        <v>3535.8020875255156</v>
      </c>
      <c r="E155" s="61">
        <f t="shared" si="78"/>
        <v>8.1247448451904347E-4</v>
      </c>
      <c r="F155" s="9">
        <v>58750000</v>
      </c>
      <c r="G155" s="1">
        <v>2.8299999999999999E-4</v>
      </c>
      <c r="H155" s="67">
        <v>16615.749</v>
      </c>
      <c r="I155" s="1">
        <f t="shared" si="79"/>
        <v>2.8249999999999998E-4</v>
      </c>
      <c r="J155" s="1">
        <f t="shared" si="80"/>
        <v>2.8350000000000001E-4</v>
      </c>
      <c r="K155" s="46">
        <f t="shared" si="81"/>
        <v>3539.8230088495579</v>
      </c>
      <c r="L155" s="46">
        <f t="shared" si="82"/>
        <v>3527.3368606701938</v>
      </c>
      <c r="M155" s="58">
        <f t="shared" si="83"/>
        <v>3533.5689045936397</v>
      </c>
    </row>
    <row r="156" spans="1:13" ht="15" customHeight="1">
      <c r="A156" s="1" t="str">
        <f>SCALARS!A157</f>
        <v>Wednesday</v>
      </c>
      <c r="B156" s="28">
        <f>SCALARS!B157</f>
        <v>46232</v>
      </c>
      <c r="C156" s="61">
        <f>SCALARS!K157</f>
        <v>3535.8029000000001</v>
      </c>
      <c r="D156" s="61">
        <f t="shared" si="77"/>
        <v>3535.8029387186675</v>
      </c>
      <c r="E156" s="61">
        <f t="shared" si="78"/>
        <v>-3.8718667383363936E-5</v>
      </c>
      <c r="F156" s="9">
        <v>58750000</v>
      </c>
      <c r="G156" s="1">
        <v>2.8299999999999999E-4</v>
      </c>
      <c r="H156" s="67">
        <v>16615.744999999999</v>
      </c>
      <c r="I156" s="1">
        <f t="shared" si="79"/>
        <v>2.8249999999999998E-4</v>
      </c>
      <c r="J156" s="1">
        <f t="shared" si="80"/>
        <v>2.8350000000000001E-4</v>
      </c>
      <c r="K156" s="46">
        <f t="shared" si="81"/>
        <v>3539.8230088495579</v>
      </c>
      <c r="L156" s="46">
        <f t="shared" si="82"/>
        <v>3527.3368606701938</v>
      </c>
      <c r="M156" s="58">
        <f t="shared" si="83"/>
        <v>3533.5689045936397</v>
      </c>
    </row>
    <row r="157" spans="1:13" ht="15" customHeight="1">
      <c r="A157" s="1" t="str">
        <f>SCALARS!A158</f>
        <v>Thursday</v>
      </c>
      <c r="B157" s="28">
        <f>SCALARS!B158</f>
        <v>46233</v>
      </c>
      <c r="C157" s="61">
        <f>SCALARS!K158</f>
        <v>3535.8029000000001</v>
      </c>
      <c r="D157" s="61" t="e">
        <f t="shared" si="77"/>
        <v>#DIV/0!</v>
      </c>
      <c r="E157" s="61" t="e">
        <f t="shared" si="78"/>
        <v>#DIV/0!</v>
      </c>
      <c r="F157" s="9"/>
      <c r="H157" s="67"/>
      <c r="I157" s="1">
        <f t="shared" si="79"/>
        <v>-4.9999999999999998E-7</v>
      </c>
      <c r="J157" s="1">
        <f t="shared" si="80"/>
        <v>4.9999999999999998E-7</v>
      </c>
      <c r="K157" s="46">
        <f t="shared" si="81"/>
        <v>-2000000</v>
      </c>
      <c r="L157" s="46">
        <f t="shared" si="82"/>
        <v>2000000</v>
      </c>
      <c r="M157" s="58" t="e">
        <f t="shared" si="83"/>
        <v>#DIV/0!</v>
      </c>
    </row>
    <row r="158" spans="1:13" ht="15" customHeight="1">
      <c r="A158" s="1" t="str">
        <f>SCALARS!A159</f>
        <v>Friday</v>
      </c>
      <c r="B158" s="28">
        <f>SCALARS!B159</f>
        <v>46234</v>
      </c>
      <c r="C158" s="61">
        <f>SCALARS!K159</f>
        <v>3535.8029000000001</v>
      </c>
      <c r="D158" s="61" t="e">
        <f t="shared" si="77"/>
        <v>#DIV/0!</v>
      </c>
      <c r="E158" s="61" t="e">
        <f t="shared" si="78"/>
        <v>#DIV/0!</v>
      </c>
      <c r="F158" s="9"/>
      <c r="H158" s="67"/>
      <c r="I158" s="1">
        <f t="shared" si="79"/>
        <v>-4.9999999999999998E-7</v>
      </c>
      <c r="J158" s="1">
        <f t="shared" si="80"/>
        <v>4.9999999999999998E-7</v>
      </c>
      <c r="K158" s="46">
        <f t="shared" si="81"/>
        <v>-2000000</v>
      </c>
      <c r="L158" s="46">
        <f t="shared" si="82"/>
        <v>2000000</v>
      </c>
      <c r="M158" s="58" t="e">
        <f t="shared" si="83"/>
        <v>#DIV/0!</v>
      </c>
    </row>
  </sheetData>
  <hyperlinks>
    <hyperlink ref="A1" r:id="rId1" display="https://www.vaneck.com/us/en/investments/bitcoin-etf-hodl/overview/" xr:uid="{89E3A53B-A9F8-4B79-B185-4570E6ACB362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180D-A8BA-4374-8D10-D44FB9D67D1D}">
  <sheetPr codeName="Sheet13">
    <tabColor theme="6" tint="0.79998168889431442"/>
  </sheetPr>
  <dimension ref="A1:S158"/>
  <sheetViews>
    <sheetView zoomScale="80" zoomScaleNormal="80" workbookViewId="0">
      <pane xSplit="5" ySplit="5" topLeftCell="F87" activePane="bottomRight" state="frozen"/>
      <selection pane="topRight" activeCell="F1" sqref="F1"/>
      <selection pane="bottomLeft" activeCell="A6" sqref="A6"/>
      <selection pane="bottomRight" activeCell="K167" sqref="K167"/>
    </sheetView>
  </sheetViews>
  <sheetFormatPr defaultColWidth="13.7109375" defaultRowHeight="15" customHeight="1"/>
  <cols>
    <col min="1" max="1" width="15.5703125" customWidth="1"/>
    <col min="2" max="2" width="10.28515625" bestFit="1" customWidth="1"/>
    <col min="3" max="4" width="13.7109375" bestFit="1" customWidth="1"/>
    <col min="5" max="5" width="11.42578125" style="57" bestFit="1" customWidth="1"/>
    <col min="6" max="6" width="13" bestFit="1" customWidth="1"/>
    <col min="7" max="7" width="17" bestFit="1" customWidth="1"/>
    <col min="8" max="8" width="21.42578125" bestFit="1" customWidth="1"/>
    <col min="9" max="9" width="18.140625" bestFit="1" customWidth="1"/>
    <col min="10" max="10" width="13.42578125" bestFit="1" customWidth="1"/>
    <col min="11" max="11" width="19.140625" bestFit="1" customWidth="1"/>
    <col min="12" max="12" width="15.140625" style="1" bestFit="1" customWidth="1"/>
    <col min="13" max="13" width="11.42578125" style="81" bestFit="1" customWidth="1"/>
    <col min="14" max="14" width="19.5703125" style="67" bestFit="1" customWidth="1"/>
    <col min="15" max="15" width="11.7109375" style="67" customWidth="1"/>
    <col min="16" max="16" width="11.42578125" style="82" bestFit="1" customWidth="1"/>
  </cols>
  <sheetData>
    <row r="1" spans="1:16" ht="15" customHeight="1">
      <c r="A1" s="5" t="s">
        <v>15</v>
      </c>
      <c r="E1"/>
      <c r="L1" s="84"/>
      <c r="N1" s="81"/>
      <c r="O1" s="81"/>
      <c r="P1" s="81"/>
    </row>
    <row r="2" spans="1:16" s="1" customFormat="1" ht="15" customHeight="1">
      <c r="A2" s="5"/>
      <c r="K2"/>
      <c r="L2" s="84"/>
      <c r="M2" s="81"/>
      <c r="N2" s="81"/>
      <c r="O2" s="81"/>
      <c r="P2" s="81"/>
    </row>
    <row r="3" spans="1:16" s="1" customFormat="1" ht="15" customHeight="1">
      <c r="A3" s="5"/>
      <c r="E3" s="57"/>
      <c r="K3"/>
      <c r="M3" s="81"/>
      <c r="N3" s="67"/>
      <c r="O3" s="67"/>
      <c r="P3" s="82"/>
    </row>
    <row r="4" spans="1:16" s="1" customFormat="1" ht="15" customHeight="1">
      <c r="A4" s="5"/>
      <c r="E4" s="57"/>
      <c r="K4"/>
      <c r="M4" s="81"/>
      <c r="N4" s="67"/>
      <c r="O4" s="67"/>
      <c r="P4" s="82"/>
    </row>
    <row r="5" spans="1:16" s="1" customFormat="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21" t="s">
        <v>16</v>
      </c>
      <c r="G5" s="22" t="s">
        <v>9</v>
      </c>
      <c r="H5" s="21" t="s">
        <v>70</v>
      </c>
      <c r="I5" s="21" t="s">
        <v>17</v>
      </c>
      <c r="J5" s="54" t="s">
        <v>56</v>
      </c>
      <c r="K5" s="45" t="s">
        <v>66</v>
      </c>
      <c r="L5" s="50"/>
      <c r="M5" s="83"/>
      <c r="N5" s="83"/>
      <c r="O5" s="83"/>
      <c r="P5" s="83"/>
    </row>
    <row r="6" spans="1:16" s="1" customFormat="1" ht="15" customHeight="1">
      <c r="A6" s="1" t="str">
        <f>SCALARS!A7</f>
        <v>Sunday</v>
      </c>
      <c r="B6" s="28">
        <f>SCALARS!B7</f>
        <v>46082</v>
      </c>
      <c r="C6" s="61">
        <f>SCALARS!H7</f>
        <v>1729.0917999999999</v>
      </c>
      <c r="D6" s="61"/>
      <c r="E6" s="61"/>
      <c r="F6" s="8"/>
      <c r="G6" s="19"/>
      <c r="H6" s="3"/>
      <c r="I6" s="3"/>
      <c r="J6" s="47"/>
      <c r="K6" s="20"/>
      <c r="M6" s="67"/>
      <c r="N6" s="67"/>
      <c r="O6" s="67"/>
      <c r="P6" s="82"/>
    </row>
    <row r="7" spans="1:16" s="1" customFormat="1" ht="15" customHeight="1">
      <c r="A7" s="1" t="str">
        <f>SCALARS!A8</f>
        <v>Monday</v>
      </c>
      <c r="B7" s="28">
        <f>SCALARS!B8</f>
        <v>46083</v>
      </c>
      <c r="C7" s="61">
        <f>SCALARS!H8</f>
        <v>1729.1007999999999</v>
      </c>
      <c r="D7" s="61"/>
      <c r="E7" s="61"/>
      <c r="F7" s="8"/>
      <c r="G7" s="19"/>
      <c r="H7" s="3"/>
      <c r="I7" s="3"/>
      <c r="J7" s="47"/>
      <c r="K7" s="20"/>
      <c r="M7" s="67"/>
      <c r="N7" s="67"/>
      <c r="O7" s="67"/>
      <c r="P7" s="82"/>
    </row>
    <row r="8" spans="1:16" s="1" customFormat="1" ht="15" customHeight="1">
      <c r="A8" s="1" t="str">
        <f>SCALARS!A9</f>
        <v>Tuesday</v>
      </c>
      <c r="B8" s="28">
        <f>SCALARS!B9</f>
        <v>46084</v>
      </c>
      <c r="C8" s="61">
        <f>SCALARS!H9</f>
        <v>1729.1098</v>
      </c>
      <c r="D8" s="61"/>
      <c r="E8" s="61"/>
      <c r="F8" s="8"/>
      <c r="G8" s="19"/>
      <c r="H8" s="3"/>
      <c r="I8" s="3"/>
      <c r="J8" s="47"/>
      <c r="K8" s="20"/>
      <c r="M8" s="67"/>
      <c r="N8" s="67"/>
      <c r="O8" s="67"/>
      <c r="P8" s="82"/>
    </row>
    <row r="9" spans="1:16" s="1" customFormat="1" ht="15" customHeight="1">
      <c r="A9" s="1" t="str">
        <f>SCALARS!A10</f>
        <v>Wednesday</v>
      </c>
      <c r="B9" s="28">
        <f>SCALARS!B10</f>
        <v>46085</v>
      </c>
      <c r="C9" s="61">
        <f>SCALARS!H10</f>
        <v>1729.1188</v>
      </c>
      <c r="D9" s="61"/>
      <c r="E9" s="61"/>
      <c r="F9" s="8"/>
      <c r="G9" s="19"/>
      <c r="H9" s="3"/>
      <c r="I9" s="3"/>
      <c r="J9" s="47"/>
      <c r="K9" s="20"/>
      <c r="M9" s="67"/>
      <c r="N9" s="67"/>
      <c r="O9" s="67"/>
      <c r="P9" s="82"/>
    </row>
    <row r="10" spans="1:16" s="1" customFormat="1" ht="15" customHeight="1">
      <c r="A10" s="1" t="str">
        <f>SCALARS!A11</f>
        <v>Thursday</v>
      </c>
      <c r="B10" s="28">
        <f>SCALARS!B11</f>
        <v>46086</v>
      </c>
      <c r="C10" s="61">
        <f>SCALARS!H11</f>
        <v>1729.1278</v>
      </c>
      <c r="D10" s="61"/>
      <c r="E10" s="61"/>
      <c r="F10" s="8"/>
      <c r="G10" s="19"/>
      <c r="H10" s="3"/>
      <c r="I10" s="3"/>
      <c r="J10" s="47"/>
      <c r="K10" s="20"/>
      <c r="M10" s="67"/>
      <c r="N10" s="67"/>
      <c r="O10" s="67"/>
      <c r="P10" s="82"/>
    </row>
    <row r="11" spans="1:16" s="1" customFormat="1" ht="15" customHeight="1">
      <c r="A11" s="1" t="str">
        <f>SCALARS!A12</f>
        <v>Friday</v>
      </c>
      <c r="B11" s="28">
        <f>SCALARS!B12</f>
        <v>46087</v>
      </c>
      <c r="C11" s="61">
        <f>SCALARS!H12</f>
        <v>1729.1368</v>
      </c>
      <c r="D11" s="61"/>
      <c r="E11" s="61"/>
      <c r="F11" s="8"/>
      <c r="G11" s="19"/>
      <c r="H11" s="3"/>
      <c r="I11" s="3"/>
      <c r="J11" s="47"/>
      <c r="K11" s="20"/>
      <c r="M11" s="67"/>
      <c r="N11" s="67"/>
      <c r="O11" s="67"/>
      <c r="P11" s="82"/>
    </row>
    <row r="12" spans="1:16" s="1" customFormat="1" ht="15" customHeight="1">
      <c r="A12" s="1" t="str">
        <f>SCALARS!A13</f>
        <v>Saturday</v>
      </c>
      <c r="B12" s="28">
        <f>SCALARS!B13</f>
        <v>46088</v>
      </c>
      <c r="C12" s="61">
        <f>SCALARS!H13</f>
        <v>1729.1458</v>
      </c>
      <c r="D12" s="61"/>
      <c r="E12" s="61"/>
      <c r="F12" s="8"/>
      <c r="G12" s="19"/>
      <c r="H12" s="3"/>
      <c r="I12" s="3"/>
      <c r="J12" s="47"/>
      <c r="K12" s="20"/>
      <c r="M12" s="67"/>
      <c r="N12" s="67"/>
      <c r="O12" s="67"/>
      <c r="P12" s="82"/>
    </row>
    <row r="13" spans="1:16" s="1" customFormat="1" ht="15" customHeight="1">
      <c r="A13" s="1" t="str">
        <f>SCALARS!A14</f>
        <v>Sunday</v>
      </c>
      <c r="B13" s="28">
        <f>SCALARS!B14</f>
        <v>46089</v>
      </c>
      <c r="C13" s="61">
        <f>SCALARS!H14</f>
        <v>1729.1548</v>
      </c>
      <c r="D13" s="61"/>
      <c r="E13" s="61"/>
      <c r="F13" s="8"/>
      <c r="G13" s="19"/>
      <c r="H13" s="3"/>
      <c r="I13" s="3"/>
      <c r="J13" s="47"/>
      <c r="K13" s="20"/>
      <c r="L13" s="88"/>
      <c r="M13" s="67"/>
      <c r="N13" s="67"/>
      <c r="O13" s="67"/>
      <c r="P13" s="82"/>
    </row>
    <row r="14" spans="1:16" s="1" customFormat="1" ht="15" customHeight="1">
      <c r="A14" s="1" t="str">
        <f>SCALARS!A15</f>
        <v>Monday</v>
      </c>
      <c r="B14" s="28">
        <f>SCALARS!B15</f>
        <v>46090</v>
      </c>
      <c r="C14" s="61">
        <f>SCALARS!H15</f>
        <v>1729.1638</v>
      </c>
      <c r="D14" s="61">
        <f t="shared" ref="D14:D78" si="0">G14/K14</f>
        <v>1729.4917719373427</v>
      </c>
      <c r="E14" s="61">
        <f t="shared" ref="E14:E18" si="1">C14-D14</f>
        <v>-0.32797193734268149</v>
      </c>
      <c r="F14" s="8">
        <v>6216.88</v>
      </c>
      <c r="G14" s="19">
        <v>10750000</v>
      </c>
      <c r="H14" s="3">
        <f>428130509.8</f>
        <v>428130509.80000001</v>
      </c>
      <c r="I14" s="3">
        <v>-81623.12</v>
      </c>
      <c r="J14" s="47">
        <f>ARKB!H14</f>
        <v>68865.77</v>
      </c>
      <c r="K14" s="20">
        <f>(H14+I14)/J14</f>
        <v>6215.6988396412326</v>
      </c>
      <c r="L14" s="57">
        <f>K14-F14</f>
        <v>-1.1811603587675563</v>
      </c>
      <c r="M14" s="67"/>
      <c r="N14" s="67"/>
      <c r="O14" s="67"/>
      <c r="P14" s="82"/>
    </row>
    <row r="15" spans="1:16" s="1" customFormat="1" ht="15" customHeight="1">
      <c r="A15" s="1" t="str">
        <f>SCALARS!A16</f>
        <v>Tuesday</v>
      </c>
      <c r="B15" s="28">
        <f>SCALARS!B16</f>
        <v>46091</v>
      </c>
      <c r="C15" s="61">
        <f>SCALARS!H16</f>
        <v>1729.1728000000001</v>
      </c>
      <c r="D15" s="61"/>
      <c r="E15" s="61"/>
      <c r="F15" s="8"/>
      <c r="G15" s="19"/>
      <c r="H15" s="3"/>
      <c r="I15" s="3"/>
      <c r="J15" s="47"/>
      <c r="K15" s="20"/>
      <c r="L15" s="57"/>
      <c r="M15" s="67"/>
      <c r="N15" s="67"/>
      <c r="O15" s="67"/>
      <c r="P15" s="82"/>
    </row>
    <row r="16" spans="1:16" s="1" customFormat="1" ht="15" customHeight="1">
      <c r="A16" s="1" t="str">
        <f>SCALARS!A17</f>
        <v>Wednesday</v>
      </c>
      <c r="B16" s="28">
        <f>SCALARS!B17</f>
        <v>46092</v>
      </c>
      <c r="C16" s="61">
        <f>SCALARS!H17</f>
        <v>1729.1818000000001</v>
      </c>
      <c r="D16" s="61">
        <f t="shared" si="0"/>
        <v>1729.5016005867049</v>
      </c>
      <c r="E16" s="61">
        <f t="shared" si="1"/>
        <v>-0.31980058670478684</v>
      </c>
      <c r="F16" s="8">
        <v>6216.88</v>
      </c>
      <c r="G16" s="19">
        <v>10750000</v>
      </c>
      <c r="H16" s="3">
        <f>438914689.95</f>
        <v>438914689.94999999</v>
      </c>
      <c r="I16" s="3">
        <v>-86172.97</v>
      </c>
      <c r="J16" s="47">
        <f>ARKB!H16</f>
        <v>70600.429999999993</v>
      </c>
      <c r="K16" s="20">
        <f>(H16+I16)/J16</f>
        <v>6215.6635162137118</v>
      </c>
      <c r="L16" s="57">
        <f>K16-F16</f>
        <v>-1.216483786288336</v>
      </c>
      <c r="M16" s="67"/>
      <c r="N16" s="67"/>
      <c r="O16" s="67"/>
      <c r="P16" s="82"/>
    </row>
    <row r="17" spans="1:19" s="1" customFormat="1" ht="15" customHeight="1">
      <c r="A17" s="1" t="str">
        <f>SCALARS!A18</f>
        <v>Thursday</v>
      </c>
      <c r="B17" s="28">
        <f>SCALARS!B18</f>
        <v>46093</v>
      </c>
      <c r="C17" s="61">
        <f>SCALARS!H18</f>
        <v>1729.1908000000001</v>
      </c>
      <c r="D17" s="61">
        <f t="shared" si="0"/>
        <v>1729.5126249067046</v>
      </c>
      <c r="E17" s="61">
        <f t="shared" si="1"/>
        <v>-0.32182490670447805</v>
      </c>
      <c r="F17" s="8">
        <v>6216.88</v>
      </c>
      <c r="G17" s="19">
        <v>10750000</v>
      </c>
      <c r="H17" s="3">
        <f>436317773.13</f>
        <v>436317773.13</v>
      </c>
      <c r="I17" s="3">
        <v>-88443.76</v>
      </c>
      <c r="J17" s="47">
        <f>ARKB!H17</f>
        <v>70182.710000000006</v>
      </c>
      <c r="K17" s="20">
        <f>(H17+I17)/J17</f>
        <v>6215.6238961134441</v>
      </c>
      <c r="L17" s="57">
        <f>K17-F17</f>
        <v>-1.2561038865560477</v>
      </c>
      <c r="M17" s="67"/>
      <c r="N17" s="67"/>
      <c r="O17" s="67"/>
      <c r="P17" s="82"/>
    </row>
    <row r="18" spans="1:19" s="1" customFormat="1" ht="15" customHeight="1">
      <c r="A18" s="1" t="str">
        <f>SCALARS!A19</f>
        <v>Friday</v>
      </c>
      <c r="B18" s="28">
        <f>SCALARS!B19</f>
        <v>46094</v>
      </c>
      <c r="C18" s="61">
        <f>SCALARS!H19</f>
        <v>1729.1998000000001</v>
      </c>
      <c r="D18" s="61">
        <f t="shared" si="0"/>
        <v>1729.5348500988857</v>
      </c>
      <c r="E18" s="61">
        <f t="shared" si="1"/>
        <v>-0.33505009888563109</v>
      </c>
      <c r="F18" s="8">
        <v>6216.88</v>
      </c>
      <c r="G18" s="121">
        <v>10750000</v>
      </c>
      <c r="H18" s="3">
        <f>442352875.53</f>
        <v>442352875.52999997</v>
      </c>
      <c r="I18" s="3">
        <v>-95350.36</v>
      </c>
      <c r="J18" s="47">
        <f>ARKB!H18</f>
        <v>71153.47</v>
      </c>
      <c r="K18" s="20">
        <f>(H18+I18)/J18</f>
        <v>6215.5440229408341</v>
      </c>
      <c r="L18" s="57">
        <f>K18-F18</f>
        <v>-1.3359770591659981</v>
      </c>
      <c r="M18" s="67"/>
      <c r="N18" s="67"/>
      <c r="O18" s="67"/>
      <c r="P18" s="82"/>
    </row>
    <row r="19" spans="1:19" ht="15" customHeight="1">
      <c r="A19" s="1" t="str">
        <f>SCALARS!A20</f>
        <v>Saturday</v>
      </c>
      <c r="B19" s="28">
        <f>SCALARS!B20</f>
        <v>46095</v>
      </c>
      <c r="C19" s="61">
        <f>SCALARS!H20</f>
        <v>1729.2088000000001</v>
      </c>
      <c r="D19" s="61"/>
      <c r="E19" s="61"/>
      <c r="F19" s="8"/>
      <c r="G19" s="121"/>
      <c r="H19" s="3"/>
      <c r="I19" s="3"/>
      <c r="J19" s="47"/>
      <c r="K19" s="20"/>
      <c r="L19" s="57"/>
      <c r="M19" s="67"/>
      <c r="R19" s="1"/>
      <c r="S19" s="1"/>
    </row>
    <row r="20" spans="1:19" ht="15" customHeight="1">
      <c r="A20" s="1" t="str">
        <f>SCALARS!A21</f>
        <v>Sunday</v>
      </c>
      <c r="B20" s="28">
        <f>SCALARS!B21</f>
        <v>46096</v>
      </c>
      <c r="C20" s="61">
        <f>SCALARS!H21</f>
        <v>1729.2177999999999</v>
      </c>
      <c r="D20" s="61"/>
      <c r="E20" s="61"/>
      <c r="F20" s="8"/>
      <c r="G20" s="121"/>
      <c r="H20" s="3"/>
      <c r="I20" s="3"/>
      <c r="J20" s="47"/>
      <c r="K20" s="20"/>
      <c r="L20" s="57"/>
      <c r="M20" s="67"/>
      <c r="R20" s="1"/>
      <c r="S20" s="1"/>
    </row>
    <row r="21" spans="1:19" ht="15" customHeight="1">
      <c r="A21" s="1" t="str">
        <f>SCALARS!A22</f>
        <v>Monday</v>
      </c>
      <c r="B21" s="28">
        <f>SCALARS!B22</f>
        <v>46097</v>
      </c>
      <c r="C21" s="61">
        <f>SCALARS!H22</f>
        <v>1729.2267999999999</v>
      </c>
      <c r="D21" s="61"/>
      <c r="E21" s="61"/>
      <c r="F21" s="8"/>
      <c r="G21" s="121"/>
      <c r="H21" s="3"/>
      <c r="I21" s="3"/>
      <c r="J21" s="47"/>
      <c r="K21" s="20"/>
      <c r="L21" s="57"/>
      <c r="M21" s="67"/>
      <c r="R21" s="1"/>
      <c r="S21" s="1"/>
    </row>
    <row r="22" spans="1:19" ht="15" customHeight="1">
      <c r="A22" s="1" t="str">
        <f>SCALARS!A23</f>
        <v>Tuesday</v>
      </c>
      <c r="B22" s="28">
        <f>SCALARS!B23</f>
        <v>46098</v>
      </c>
      <c r="C22" s="61">
        <f>SCALARS!H23</f>
        <v>1729.2357999999999</v>
      </c>
      <c r="D22" s="61">
        <f t="shared" si="0"/>
        <v>1729.4017032980812</v>
      </c>
      <c r="E22" s="61">
        <f t="shared" ref="E22" si="2">C22-D22</f>
        <v>-0.16590329808127535</v>
      </c>
      <c r="F22" s="8">
        <v>6245.79</v>
      </c>
      <c r="G22" s="121">
        <v>10800000</v>
      </c>
      <c r="H22" s="3">
        <f>466484107.52</f>
        <v>466484107.51999998</v>
      </c>
      <c r="I22" s="3">
        <v>-100174.59</v>
      </c>
      <c r="J22" s="47">
        <f>ARKB!H22</f>
        <v>74681.960000000006</v>
      </c>
      <c r="K22" s="20">
        <f>(H22+I22)/J22</f>
        <v>6244.9342910925207</v>
      </c>
      <c r="L22" s="57">
        <f>K22-F22</f>
        <v>-0.85570890747931116</v>
      </c>
      <c r="M22" s="67"/>
      <c r="R22" s="1"/>
      <c r="S22" s="1"/>
    </row>
    <row r="23" spans="1:19" ht="15" customHeight="1">
      <c r="A23" s="1" t="str">
        <f>SCALARS!A24</f>
        <v>Wednesday</v>
      </c>
      <c r="B23" s="28">
        <f>SCALARS!B24</f>
        <v>46099</v>
      </c>
      <c r="C23" s="61">
        <f>SCALARS!H24</f>
        <v>1729.2447999999999</v>
      </c>
      <c r="D23" s="61">
        <f t="shared" si="0"/>
        <v>1729.5533620394312</v>
      </c>
      <c r="E23" s="61">
        <f t="shared" ref="E23" si="3">C23-D23</f>
        <v>-0.30856203943130822</v>
      </c>
      <c r="F23" s="8">
        <v>6243.76</v>
      </c>
      <c r="G23" s="121">
        <v>10800000</v>
      </c>
      <c r="H23" s="3">
        <f>444611368.78</f>
        <v>444611368.77999997</v>
      </c>
      <c r="I23" s="3">
        <v>44788.63</v>
      </c>
      <c r="J23" s="47">
        <f>ARKB!H23</f>
        <v>71208.94</v>
      </c>
      <c r="K23" s="20">
        <f>(H23+I23)/J23</f>
        <v>6244.3866937213215</v>
      </c>
      <c r="L23" s="57">
        <f>K23-F23</f>
        <v>0.62669372132131684</v>
      </c>
      <c r="M23" s="67"/>
      <c r="R23" s="1"/>
      <c r="S23" s="1"/>
    </row>
    <row r="24" spans="1:19" ht="15" customHeight="1">
      <c r="A24" s="1" t="str">
        <f>SCALARS!A25</f>
        <v>Thursday</v>
      </c>
      <c r="B24" s="28">
        <f>SCALARS!B25</f>
        <v>46100</v>
      </c>
      <c r="C24" s="61">
        <f>SCALARS!H25</f>
        <v>1729.2538</v>
      </c>
      <c r="D24" s="61"/>
      <c r="E24" s="61"/>
      <c r="F24" s="8"/>
      <c r="G24" s="121"/>
      <c r="H24" s="65"/>
      <c r="I24" s="65"/>
      <c r="J24" s="47"/>
      <c r="K24" s="20"/>
      <c r="L24" s="57"/>
      <c r="M24" s="67"/>
      <c r="R24" s="1"/>
      <c r="S24" s="1"/>
    </row>
    <row r="25" spans="1:19" ht="15" customHeight="1">
      <c r="A25" s="1" t="str">
        <f>SCALARS!A26</f>
        <v>Friday</v>
      </c>
      <c r="B25" s="127">
        <f>SCALARS!B26</f>
        <v>46101</v>
      </c>
      <c r="C25" s="61">
        <f>SCALARS!H26</f>
        <v>1729.2628</v>
      </c>
      <c r="D25" s="61">
        <f t="shared" si="0"/>
        <v>1729.5845297747028</v>
      </c>
      <c r="E25" s="61">
        <f t="shared" ref="E25" si="4">C25-D25</f>
        <v>-0.32172977470281694</v>
      </c>
      <c r="F25" s="8">
        <v>6302.83</v>
      </c>
      <c r="G25" s="121">
        <v>10900000</v>
      </c>
      <c r="H25" s="65">
        <f>440398648.48</f>
        <v>440398648.48000002</v>
      </c>
      <c r="I25" s="65">
        <v>-51851.38</v>
      </c>
      <c r="J25" s="47">
        <f>ARKB!H25</f>
        <v>69873.119999999995</v>
      </c>
      <c r="K25" s="20">
        <f>(H25+I25)/J25</f>
        <v>6302.0915210312642</v>
      </c>
      <c r="L25" s="57">
        <f>K25-F25</f>
        <v>-0.73847896873576246</v>
      </c>
      <c r="M25" s="67"/>
      <c r="R25" s="1"/>
      <c r="S25" s="1"/>
    </row>
    <row r="26" spans="1:19" ht="15" customHeight="1">
      <c r="A26" s="1" t="str">
        <f>SCALARS!A27</f>
        <v>Saturday</v>
      </c>
      <c r="B26" s="28">
        <f>SCALARS!B27</f>
        <v>46102</v>
      </c>
      <c r="C26" s="61">
        <f>SCALARS!H27</f>
        <v>1729.2718</v>
      </c>
      <c r="D26" s="61"/>
      <c r="E26" s="61"/>
      <c r="F26" s="8"/>
      <c r="G26" s="19"/>
      <c r="H26" s="3"/>
      <c r="I26" s="3"/>
      <c r="J26" s="47"/>
      <c r="K26" s="20"/>
      <c r="L26" s="57"/>
      <c r="M26" s="67"/>
      <c r="R26" s="1"/>
      <c r="S26" s="1"/>
    </row>
    <row r="27" spans="1:19" ht="15" customHeight="1">
      <c r="A27" s="1" t="str">
        <f>SCALARS!A28</f>
        <v>Sunday</v>
      </c>
      <c r="B27" s="28">
        <f>SCALARS!B28</f>
        <v>46103</v>
      </c>
      <c r="C27" s="61">
        <f>SCALARS!H28</f>
        <v>1729.2808</v>
      </c>
      <c r="D27" s="61"/>
      <c r="E27" s="61"/>
      <c r="F27" s="8"/>
      <c r="G27" s="19"/>
      <c r="H27" s="3"/>
      <c r="I27" s="3"/>
      <c r="J27" s="47"/>
      <c r="K27" s="20"/>
      <c r="L27" s="57"/>
      <c r="M27" s="67"/>
      <c r="R27" s="1"/>
      <c r="S27" s="1"/>
    </row>
    <row r="28" spans="1:19" ht="15" customHeight="1">
      <c r="A28" s="1" t="str">
        <f>SCALARS!A29</f>
        <v>Monday</v>
      </c>
      <c r="B28" s="28">
        <f>SCALARS!B29</f>
        <v>46104</v>
      </c>
      <c r="C28" s="61">
        <f>SCALARS!H29</f>
        <v>1729.2898</v>
      </c>
      <c r="D28" s="61"/>
      <c r="E28" s="61"/>
      <c r="F28" s="8"/>
      <c r="G28" s="19"/>
      <c r="H28" s="65"/>
      <c r="I28" s="65"/>
      <c r="J28" s="47"/>
      <c r="K28" s="20"/>
      <c r="L28" s="57"/>
      <c r="M28" s="67"/>
      <c r="R28" s="1"/>
      <c r="S28" s="1"/>
    </row>
    <row r="29" spans="1:19" ht="15" customHeight="1">
      <c r="A29" s="1" t="str">
        <f>SCALARS!A30</f>
        <v>Tuesday</v>
      </c>
      <c r="B29" s="28">
        <f>SCALARS!B30</f>
        <v>46105</v>
      </c>
      <c r="C29" s="61">
        <f>SCALARS!H30</f>
        <v>1729.2988</v>
      </c>
      <c r="D29" s="61">
        <f t="shared" si="0"/>
        <v>1729.6039635844875</v>
      </c>
      <c r="E29" s="61">
        <f t="shared" ref="E29" si="5">C29-D29</f>
        <v>-0.30516358448744541</v>
      </c>
      <c r="F29" s="8">
        <v>6302.83</v>
      </c>
      <c r="G29" s="19">
        <v>10900000</v>
      </c>
      <c r="H29" s="65">
        <f>437742319.26</f>
        <v>437742319.25999999</v>
      </c>
      <c r="I29" s="65">
        <v>-56456.52</v>
      </c>
      <c r="J29" s="47">
        <f>ARKB!H29</f>
        <v>69451.67</v>
      </c>
      <c r="K29" s="20">
        <f>(H29+I29)/J29</f>
        <v>6302.0207108050827</v>
      </c>
      <c r="L29" s="57">
        <f>K29-F29</f>
        <v>-0.80928919491725537</v>
      </c>
      <c r="M29" s="67"/>
      <c r="R29" s="1"/>
      <c r="S29" s="1"/>
    </row>
    <row r="30" spans="1:19" ht="15" customHeight="1">
      <c r="A30" s="1" t="str">
        <f>SCALARS!A31</f>
        <v>Wednesday</v>
      </c>
      <c r="B30" s="28">
        <f>SCALARS!B31</f>
        <v>46106</v>
      </c>
      <c r="C30" s="61">
        <f>SCALARS!H31</f>
        <v>1729.3078</v>
      </c>
      <c r="D30" s="61">
        <f t="shared" si="0"/>
        <v>1729.6084597967765</v>
      </c>
      <c r="E30" s="61">
        <f t="shared" ref="E30" si="6">C30-D30</f>
        <v>-0.30065979677647192</v>
      </c>
      <c r="F30" s="8">
        <v>6302.83</v>
      </c>
      <c r="G30" s="19">
        <v>10900000</v>
      </c>
      <c r="H30" s="65">
        <f>446768355.14</f>
        <v>446768355.13999999</v>
      </c>
      <c r="I30" s="65">
        <v>-58781.87</v>
      </c>
      <c r="J30" s="47">
        <f>ARKB!H30</f>
        <v>70883.73</v>
      </c>
      <c r="K30" s="20">
        <f>(H30+I30)/J30</f>
        <v>6302.0043283557452</v>
      </c>
      <c r="L30" s="57">
        <f>K30-F30</f>
        <v>-0.82567164425472583</v>
      </c>
      <c r="M30" s="67"/>
      <c r="R30" s="1"/>
      <c r="S30" s="1"/>
    </row>
    <row r="31" spans="1:19" ht="15" customHeight="1">
      <c r="A31" s="1" t="str">
        <f>SCALARS!A32</f>
        <v>Thursday</v>
      </c>
      <c r="B31" s="28">
        <f>SCALARS!B32</f>
        <v>46107</v>
      </c>
      <c r="C31" s="61">
        <f>SCALARS!H32</f>
        <v>1729.3168000000001</v>
      </c>
      <c r="D31" s="61">
        <f t="shared" si="0"/>
        <v>1729.6254562209435</v>
      </c>
      <c r="E31" s="61">
        <f t="shared" ref="E31" si="7">C31-D31</f>
        <v>-0.308656220943476</v>
      </c>
      <c r="F31" s="8">
        <v>6302.83</v>
      </c>
      <c r="G31" s="19">
        <v>10900000</v>
      </c>
      <c r="H31" s="65">
        <f>431610859.7</f>
        <v>431610859.69999999</v>
      </c>
      <c r="I31" s="65">
        <v>-61028.31</v>
      </c>
      <c r="J31" s="47">
        <f>ARKB!H31</f>
        <v>68478.86</v>
      </c>
      <c r="K31" s="20">
        <f>(H31+I31)/J31</f>
        <v>6301.9424007642647</v>
      </c>
      <c r="L31" s="57">
        <f>K31-F31</f>
        <v>-0.88759923573525157</v>
      </c>
      <c r="M31" s="67"/>
      <c r="R31" s="1"/>
      <c r="S31" s="1"/>
    </row>
    <row r="32" spans="1:19" ht="15" customHeight="1">
      <c r="A32" s="1" t="str">
        <f>SCALARS!A33</f>
        <v>Friday</v>
      </c>
      <c r="B32" s="28">
        <f>SCALARS!B33</f>
        <v>46108</v>
      </c>
      <c r="C32" s="61">
        <f>SCALARS!H33</f>
        <v>1729.3258000000001</v>
      </c>
      <c r="D32" s="61"/>
      <c r="E32" s="61"/>
      <c r="F32" s="8"/>
      <c r="G32" s="19"/>
      <c r="H32" s="65"/>
      <c r="I32" s="65"/>
      <c r="J32" s="47"/>
      <c r="K32" s="20"/>
      <c r="L32" s="57"/>
      <c r="M32" s="67"/>
      <c r="R32" s="1"/>
      <c r="S32" s="1"/>
    </row>
    <row r="33" spans="1:19" ht="15" customHeight="1">
      <c r="A33" s="1" t="str">
        <f>SCALARS!A34</f>
        <v>Saturday</v>
      </c>
      <c r="B33" s="28">
        <f>SCALARS!B34</f>
        <v>46109</v>
      </c>
      <c r="C33" s="61">
        <f>SCALARS!H34</f>
        <v>1729.3348000000001</v>
      </c>
      <c r="D33" s="61"/>
      <c r="E33" s="61"/>
      <c r="F33" s="8"/>
      <c r="G33" s="19"/>
      <c r="H33" s="3"/>
      <c r="I33" s="3"/>
      <c r="J33" s="47"/>
      <c r="K33" s="20"/>
      <c r="L33" s="57"/>
      <c r="M33" s="67"/>
      <c r="R33" s="1"/>
      <c r="S33" s="1"/>
    </row>
    <row r="34" spans="1:19" ht="15" customHeight="1">
      <c r="A34" s="1" t="str">
        <f>SCALARS!A35</f>
        <v>Sunday</v>
      </c>
      <c r="B34" s="28">
        <f>SCALARS!B35</f>
        <v>46110</v>
      </c>
      <c r="C34" s="61">
        <f>SCALARS!H35</f>
        <v>1729.3438000000001</v>
      </c>
      <c r="D34" s="61"/>
      <c r="E34" s="61"/>
      <c r="F34" s="8"/>
      <c r="G34" s="19"/>
      <c r="H34" s="3"/>
      <c r="I34" s="3"/>
      <c r="J34" s="47"/>
      <c r="K34" s="20"/>
      <c r="L34" s="57"/>
      <c r="M34" s="67"/>
      <c r="R34" s="1"/>
      <c r="S34" s="1"/>
    </row>
    <row r="35" spans="1:19" ht="15" customHeight="1">
      <c r="A35" s="1" t="str">
        <f>SCALARS!A36</f>
        <v>Monday</v>
      </c>
      <c r="B35" s="28">
        <f>SCALARS!B36</f>
        <v>46111</v>
      </c>
      <c r="C35" s="61">
        <f>SCALARS!H36</f>
        <v>1729.3527999999999</v>
      </c>
      <c r="D35" s="61">
        <f t="shared" si="0"/>
        <v>1729.6690898820216</v>
      </c>
      <c r="E35" s="61">
        <f t="shared" ref="E35" si="8">C35-D35</f>
        <v>-0.31628988202169239</v>
      </c>
      <c r="F35" s="8">
        <v>6302.83</v>
      </c>
      <c r="G35" s="19">
        <v>10900000</v>
      </c>
      <c r="H35" s="65">
        <f>418227548.89</f>
        <v>418227548.88999999</v>
      </c>
      <c r="I35" s="65">
        <v>-69684.92</v>
      </c>
      <c r="J35" s="47">
        <f>ARKB!H35</f>
        <v>66355.48</v>
      </c>
      <c r="K35" s="20">
        <f>(H35+I35)/J35</f>
        <v>6301.7834242175622</v>
      </c>
      <c r="L35" s="57">
        <f>K35-F35</f>
        <v>-1.0465757824376851</v>
      </c>
      <c r="M35" s="67"/>
      <c r="R35" s="1"/>
      <c r="S35" s="1"/>
    </row>
    <row r="36" spans="1:19" ht="15" customHeight="1">
      <c r="A36" s="1" t="str">
        <f>SCALARS!A37</f>
        <v>Tuesday</v>
      </c>
      <c r="B36" s="28">
        <f>SCALARS!B37</f>
        <v>46112</v>
      </c>
      <c r="C36" s="61">
        <f>SCALARS!H37</f>
        <v>1729.3617999999999</v>
      </c>
      <c r="D36" s="61">
        <f t="shared" si="0"/>
        <v>1729.6718199513723</v>
      </c>
      <c r="E36" s="61">
        <f t="shared" ref="E36:E67" si="9">C36-D36</f>
        <v>-0.31001995137239646</v>
      </c>
      <c r="F36" s="8">
        <v>6302.83</v>
      </c>
      <c r="G36" s="19">
        <v>10900000</v>
      </c>
      <c r="H36" s="65">
        <f>427532296.08</f>
        <v>427532296.07999998</v>
      </c>
      <c r="I36" s="65">
        <v>-71909.97</v>
      </c>
      <c r="J36" s="47">
        <f>ARKB!H36</f>
        <v>67831.759999999995</v>
      </c>
      <c r="K36" s="20">
        <f>(H36+I36)/J36</f>
        <v>6301.7734776452799</v>
      </c>
      <c r="L36" s="57">
        <f>K36-F36</f>
        <v>-1.0565223547200731</v>
      </c>
      <c r="M36" s="67"/>
      <c r="R36" s="1"/>
      <c r="S36" s="1"/>
    </row>
    <row r="37" spans="1:19" ht="15" customHeight="1">
      <c r="A37" s="1" t="str">
        <f>SCALARS!A38</f>
        <v>Wednesday</v>
      </c>
      <c r="B37" s="28">
        <f>SCALARS!B38</f>
        <v>46113</v>
      </c>
      <c r="C37" s="61">
        <f>SCALARS!H38</f>
        <v>1729.3707999999999</v>
      </c>
      <c r="D37" s="61">
        <f t="shared" si="0"/>
        <v>1729.6794683197249</v>
      </c>
      <c r="E37" s="61">
        <f t="shared" si="9"/>
        <v>-0.30866831972502951</v>
      </c>
      <c r="F37" s="8">
        <v>6302.83</v>
      </c>
      <c r="G37" s="19">
        <v>10900000</v>
      </c>
      <c r="H37" s="65">
        <f>429533193.63</f>
        <v>429533193.63</v>
      </c>
      <c r="I37" s="65">
        <v>-74145.52</v>
      </c>
      <c r="J37" s="47">
        <f>ARKB!H37</f>
        <v>68149.22</v>
      </c>
      <c r="K37" s="20">
        <f>(H37+I37)/J37</f>
        <v>6301.7456122021649</v>
      </c>
      <c r="L37" s="57">
        <f>K37-F37</f>
        <v>-1.0843877978350065</v>
      </c>
      <c r="M37" s="67"/>
      <c r="R37" s="1"/>
      <c r="S37" s="1"/>
    </row>
    <row r="38" spans="1:19" ht="15" customHeight="1">
      <c r="A38" s="1" t="str">
        <f>SCALARS!A39</f>
        <v>Thursday</v>
      </c>
      <c r="B38" s="28">
        <f>SCALARS!B39</f>
        <v>46114</v>
      </c>
      <c r="C38" s="61">
        <f>SCALARS!H39</f>
        <v>1729.3797999999999</v>
      </c>
      <c r="D38" s="61">
        <f t="shared" si="0"/>
        <v>1729.7206299282884</v>
      </c>
      <c r="E38" s="61">
        <f t="shared" si="9"/>
        <v>-0.34082992828848546</v>
      </c>
      <c r="F38" s="8">
        <v>6302.83</v>
      </c>
      <c r="G38" s="19">
        <v>10900000</v>
      </c>
      <c r="H38" s="65">
        <f>422257517.67</f>
        <v>422257517.67000002</v>
      </c>
      <c r="I38" s="65">
        <v>-82936.2</v>
      </c>
      <c r="J38" s="47">
        <f>ARKB!H38</f>
        <v>66994.87</v>
      </c>
      <c r="K38" s="20">
        <f>(H38+I38)/J38</f>
        <v>6301.5956515775024</v>
      </c>
      <c r="L38" s="57">
        <f>K38-F38</f>
        <v>-1.2343484224975327</v>
      </c>
      <c r="M38" s="67"/>
      <c r="R38" s="1"/>
      <c r="S38" s="1"/>
    </row>
    <row r="39" spans="1:19" ht="15" customHeight="1">
      <c r="A39" s="1" t="str">
        <f>SCALARS!A40</f>
        <v>Friday</v>
      </c>
      <c r="B39" s="28">
        <f>SCALARS!B40</f>
        <v>46115</v>
      </c>
      <c r="C39" s="61">
        <f>SCALARS!H40</f>
        <v>1729.3887999999999</v>
      </c>
      <c r="D39" s="61"/>
      <c r="E39" s="61"/>
      <c r="F39" s="8"/>
      <c r="G39" s="19"/>
      <c r="H39" s="65"/>
      <c r="I39" s="65"/>
      <c r="J39" s="47"/>
      <c r="K39" s="20"/>
      <c r="L39" s="57"/>
      <c r="M39" s="67"/>
      <c r="R39" s="1"/>
      <c r="S39" s="1"/>
    </row>
    <row r="40" spans="1:19" ht="15" customHeight="1">
      <c r="A40" s="1" t="str">
        <f>SCALARS!A41</f>
        <v>Saturday</v>
      </c>
      <c r="B40" s="28">
        <f>SCALARS!B41</f>
        <v>46116</v>
      </c>
      <c r="C40" s="61">
        <f>SCALARS!H41</f>
        <v>1729.3978</v>
      </c>
      <c r="D40" s="61"/>
      <c r="E40" s="61"/>
      <c r="F40" s="8"/>
      <c r="G40" s="19"/>
      <c r="H40" s="65"/>
      <c r="I40" s="65"/>
      <c r="J40" s="47"/>
      <c r="K40" s="20"/>
      <c r="L40" s="57"/>
      <c r="M40" s="67"/>
    </row>
    <row r="41" spans="1:19" ht="15" customHeight="1">
      <c r="A41" s="1" t="str">
        <f>SCALARS!A42</f>
        <v>Sunday</v>
      </c>
      <c r="B41" s="28">
        <f>SCALARS!B42</f>
        <v>46117</v>
      </c>
      <c r="C41" s="61">
        <f>SCALARS!H42</f>
        <v>1729.4068</v>
      </c>
      <c r="D41" s="61"/>
      <c r="E41" s="61"/>
      <c r="F41" s="8"/>
      <c r="G41" s="19"/>
      <c r="H41" s="65"/>
      <c r="I41" s="65"/>
      <c r="J41" s="47"/>
      <c r="K41" s="20"/>
      <c r="L41" s="57"/>
      <c r="M41" s="67"/>
    </row>
    <row r="42" spans="1:19" ht="15" customHeight="1">
      <c r="A42" s="1" t="str">
        <f>SCALARS!A43</f>
        <v>Monday</v>
      </c>
      <c r="B42" s="28">
        <f>SCALARS!B43</f>
        <v>46118</v>
      </c>
      <c r="C42" s="61">
        <f>SCALARS!H43</f>
        <v>1729.4158</v>
      </c>
      <c r="D42" s="61">
        <f t="shared" si="0"/>
        <v>1729.3808930355258</v>
      </c>
      <c r="E42" s="61">
        <f t="shared" si="9"/>
        <v>3.490696447420305E-2</v>
      </c>
      <c r="F42" s="8">
        <v>6302.83</v>
      </c>
      <c r="G42" s="19">
        <v>10900000</v>
      </c>
      <c r="H42" s="65">
        <v>439728972.41000003</v>
      </c>
      <c r="I42" s="65">
        <v>-85224.77</v>
      </c>
      <c r="J42" s="47">
        <f>ARKB!H42</f>
        <v>69766.87</v>
      </c>
      <c r="K42" s="20">
        <f>H42/J42</f>
        <v>6302.8336001027428</v>
      </c>
      <c r="L42" s="57">
        <f t="shared" ref="L42:L81" si="10">K42-F42</f>
        <v>3.6001027428937959E-3</v>
      </c>
      <c r="M42" s="67"/>
      <c r="R42" s="1"/>
      <c r="S42" s="1"/>
    </row>
    <row r="43" spans="1:19" ht="15" customHeight="1">
      <c r="A43" s="1" t="str">
        <f>SCALARS!A44</f>
        <v>Tuesday</v>
      </c>
      <c r="B43" s="28">
        <f>SCALARS!B44</f>
        <v>46119</v>
      </c>
      <c r="C43" s="61">
        <f>SCALARS!H44</f>
        <v>1729.4248</v>
      </c>
      <c r="D43" s="61">
        <f t="shared" si="0"/>
        <v>1729.3808930435619</v>
      </c>
      <c r="E43" s="61">
        <f t="shared" si="9"/>
        <v>4.3906956438149791E-2</v>
      </c>
      <c r="F43" s="8">
        <v>6302.83</v>
      </c>
      <c r="G43" s="19">
        <v>10900000</v>
      </c>
      <c r="H43" s="65">
        <v>432452224.95999998</v>
      </c>
      <c r="I43" s="65">
        <v>-87475.46</v>
      </c>
      <c r="J43" s="47">
        <f>ARKB!H43</f>
        <v>68612.350000000006</v>
      </c>
      <c r="K43" s="20">
        <f>H43/J43</f>
        <v>6302.8336000734553</v>
      </c>
      <c r="L43" s="57">
        <f t="shared" si="10"/>
        <v>3.6000734553454095E-3</v>
      </c>
      <c r="M43" s="67"/>
    </row>
    <row r="44" spans="1:19" ht="15" customHeight="1">
      <c r="A44" s="1" t="str">
        <f>SCALARS!A45</f>
        <v>Wednesday</v>
      </c>
      <c r="B44" s="28">
        <f>SCALARS!B45</f>
        <v>46120</v>
      </c>
      <c r="C44" s="61">
        <f>SCALARS!H45</f>
        <v>1729.4338</v>
      </c>
      <c r="D44" s="61">
        <f t="shared" si="0"/>
        <v>1729.3808930529324</v>
      </c>
      <c r="E44" s="61">
        <f t="shared" si="9"/>
        <v>5.2906947067640431E-2</v>
      </c>
      <c r="F44" s="8">
        <v>6302.83</v>
      </c>
      <c r="G44" s="121">
        <v>10900000</v>
      </c>
      <c r="H44" s="65">
        <v>449010714.25</v>
      </c>
      <c r="I44" s="65">
        <v>-89812.31</v>
      </c>
      <c r="J44" s="47">
        <f>ARKB!H44</f>
        <v>71239.5</v>
      </c>
      <c r="K44" s="20">
        <f>H44/J44</f>
        <v>6302.8336000393037</v>
      </c>
      <c r="L44" s="57">
        <f t="shared" si="10"/>
        <v>3.6000393038193579E-3</v>
      </c>
      <c r="M44" s="67"/>
    </row>
    <row r="45" spans="1:19" ht="15" customHeight="1">
      <c r="A45" s="1" t="str">
        <f>SCALARS!A46</f>
        <v>Thursday</v>
      </c>
      <c r="B45" s="28">
        <f>SCALARS!B46</f>
        <v>46121</v>
      </c>
      <c r="C45" s="61">
        <f>SCALARS!H46</f>
        <v>1729.4428</v>
      </c>
      <c r="D45" s="61">
        <f t="shared" si="0"/>
        <v>1729.3824725623301</v>
      </c>
      <c r="E45" s="106">
        <f t="shared" si="9"/>
        <v>6.0327437669911887E-2</v>
      </c>
      <c r="F45" s="8">
        <v>6331.74</v>
      </c>
      <c r="G45" s="121">
        <v>10950000</v>
      </c>
      <c r="H45" s="65">
        <v>455917121.29000002</v>
      </c>
      <c r="I45" s="65">
        <v>-92174.28</v>
      </c>
      <c r="J45" s="47">
        <f>ARKB!H45</f>
        <v>72005.03</v>
      </c>
      <c r="K45" s="20">
        <f>H45/J45</f>
        <v>6331.7398977543653</v>
      </c>
      <c r="L45" s="57">
        <f t="shared" si="10"/>
        <v>-1.0224563447991386E-4</v>
      </c>
      <c r="M45" s="67"/>
    </row>
    <row r="46" spans="1:19" ht="15" customHeight="1">
      <c r="A46" s="1" t="str">
        <f>SCALARS!A47</f>
        <v>Friday</v>
      </c>
      <c r="B46" s="28">
        <f>SCALARS!B47</f>
        <v>46122</v>
      </c>
      <c r="C46" s="61">
        <f>SCALARS!H47</f>
        <v>1729.4518</v>
      </c>
      <c r="D46" s="61">
        <f t="shared" si="0"/>
        <v>1729.3824725811935</v>
      </c>
      <c r="E46" s="61">
        <f t="shared" si="9"/>
        <v>6.9327418806551577E-2</v>
      </c>
      <c r="F46" s="8">
        <v>6331.74</v>
      </c>
      <c r="G46" s="19">
        <v>10950000</v>
      </c>
      <c r="H46" s="65">
        <v>462911794.35000002</v>
      </c>
      <c r="I46" s="65">
        <v>-99401.88</v>
      </c>
      <c r="J46" s="47">
        <f>ARKB!H46</f>
        <v>73109.73</v>
      </c>
      <c r="K46" s="20">
        <f>H46/J46</f>
        <v>6331.7398976853019</v>
      </c>
      <c r="L46" s="57">
        <f t="shared" si="10"/>
        <v>-1.0231469786958769E-4</v>
      </c>
      <c r="M46" s="67"/>
    </row>
    <row r="47" spans="1:19" ht="15" customHeight="1">
      <c r="A47" s="1" t="str">
        <f>SCALARS!A48</f>
        <v>Saturday</v>
      </c>
      <c r="B47" s="28">
        <f>SCALARS!B48</f>
        <v>46123</v>
      </c>
      <c r="C47" s="61">
        <f>SCALARS!H48</f>
        <v>1729.4608000000001</v>
      </c>
      <c r="D47" s="61"/>
      <c r="E47" s="61"/>
      <c r="F47" s="8"/>
      <c r="G47" s="19"/>
      <c r="H47" s="65"/>
      <c r="I47" s="65"/>
      <c r="J47" s="47"/>
      <c r="K47" s="20"/>
      <c r="L47" s="57">
        <f t="shared" si="10"/>
        <v>0</v>
      </c>
      <c r="M47" s="67"/>
    </row>
    <row r="48" spans="1:19" ht="15" customHeight="1">
      <c r="A48" s="1" t="str">
        <f>SCALARS!A49</f>
        <v>Sunday</v>
      </c>
      <c r="B48" s="28">
        <f>SCALARS!B49</f>
        <v>46124</v>
      </c>
      <c r="C48" s="61">
        <f>SCALARS!H49</f>
        <v>1729.4698000000001</v>
      </c>
      <c r="D48" s="61"/>
      <c r="E48" s="61"/>
      <c r="F48" s="8"/>
      <c r="G48" s="19"/>
      <c r="H48" s="65"/>
      <c r="I48" s="65"/>
      <c r="J48" s="47"/>
      <c r="K48" s="20"/>
      <c r="L48" s="57">
        <f t="shared" si="10"/>
        <v>0</v>
      </c>
      <c r="M48" s="67"/>
    </row>
    <row r="49" spans="1:13" ht="15" customHeight="1">
      <c r="A49" s="1" t="str">
        <f>SCALARS!A50</f>
        <v>Monday</v>
      </c>
      <c r="B49" s="28">
        <f>SCALARS!B50</f>
        <v>46125</v>
      </c>
      <c r="C49" s="61">
        <f>SCALARS!H50</f>
        <v>1729.4788000000001</v>
      </c>
      <c r="D49" s="61">
        <f t="shared" si="0"/>
        <v>1729.3824725775244</v>
      </c>
      <c r="E49" s="61">
        <f t="shared" si="9"/>
        <v>9.6327422475724234E-2</v>
      </c>
      <c r="F49" s="8">
        <v>6331.74</v>
      </c>
      <c r="G49" s="19">
        <v>10950000</v>
      </c>
      <c r="H49" s="65">
        <v>461536667.07999998</v>
      </c>
      <c r="I49" s="65">
        <v>-101803.88</v>
      </c>
      <c r="J49" s="47">
        <f>ARKB!H49</f>
        <v>72892.55</v>
      </c>
      <c r="K49" s="20">
        <f>H49/J49</f>
        <v>6331.7398976987351</v>
      </c>
      <c r="L49" s="57">
        <f t="shared" si="10"/>
        <v>-1.023012646328425E-4</v>
      </c>
      <c r="M49" s="67"/>
    </row>
    <row r="50" spans="1:13" ht="15" customHeight="1">
      <c r="A50" s="1" t="str">
        <f>SCALARS!A51</f>
        <v>Tuesday</v>
      </c>
      <c r="B50" s="28">
        <f>SCALARS!B51</f>
        <v>46126</v>
      </c>
      <c r="C50" s="61">
        <f>SCALARS!H51</f>
        <v>1729.4878000000001</v>
      </c>
      <c r="D50" s="61">
        <f t="shared" si="0"/>
        <v>1729.3824725630896</v>
      </c>
      <c r="E50" s="61">
        <f t="shared" si="9"/>
        <v>0.10532743691055657</v>
      </c>
      <c r="F50" s="8">
        <v>6331.74</v>
      </c>
      <c r="G50" s="19">
        <v>10950000</v>
      </c>
      <c r="H50" s="65">
        <v>470258955.38</v>
      </c>
      <c r="I50" s="65">
        <v>-104251.27</v>
      </c>
      <c r="J50" s="47">
        <f>ARKB!H50</f>
        <v>74270.100000000006</v>
      </c>
      <c r="K50" s="20">
        <f>H50/J50</f>
        <v>6331.739897751585</v>
      </c>
      <c r="L50" s="57">
        <f t="shared" si="10"/>
        <v>-1.0224841480521718E-4</v>
      </c>
      <c r="M50" s="67"/>
    </row>
    <row r="51" spans="1:13" ht="15" customHeight="1">
      <c r="A51" s="1" t="str">
        <f>SCALARS!A52</f>
        <v>Wednesday</v>
      </c>
      <c r="B51" s="28">
        <f>SCALARS!B52</f>
        <v>46127</v>
      </c>
      <c r="C51" s="61">
        <f>SCALARS!H52</f>
        <v>1729.4967999999999</v>
      </c>
      <c r="D51" s="61">
        <f t="shared" si="0"/>
        <v>1729.64014164542</v>
      </c>
      <c r="E51" s="61">
        <f t="shared" si="9"/>
        <v>-0.1433416454201506</v>
      </c>
      <c r="F51" s="8">
        <v>6330.8</v>
      </c>
      <c r="G51" s="19">
        <v>10950000</v>
      </c>
      <c r="H51" s="65">
        <v>473882476.33999997</v>
      </c>
      <c r="I51" s="65">
        <v>-37043.800000000003</v>
      </c>
      <c r="J51" s="47">
        <f>ARKB!H51</f>
        <v>74853.53</v>
      </c>
      <c r="K51" s="20">
        <f>H51/J51</f>
        <v>6330.7966416547088</v>
      </c>
      <c r="L51" s="57">
        <f t="shared" si="10"/>
        <v>-3.3583452914172085E-3</v>
      </c>
      <c r="M51" s="67"/>
    </row>
    <row r="52" spans="1:13" ht="15" customHeight="1">
      <c r="A52" s="1" t="str">
        <f>SCALARS!A53</f>
        <v>Thursday</v>
      </c>
      <c r="B52" s="28">
        <f>SCALARS!B53</f>
        <v>46128</v>
      </c>
      <c r="C52" s="61">
        <f>SCALARS!H53</f>
        <v>1729.5057999999999</v>
      </c>
      <c r="D52" s="61">
        <f t="shared" si="0"/>
        <v>1729.6401416359358</v>
      </c>
      <c r="E52" s="61">
        <f t="shared" si="9"/>
        <v>-0.1343416359359253</v>
      </c>
      <c r="F52" s="8">
        <v>6330.8</v>
      </c>
      <c r="G52" s="19">
        <v>10950000</v>
      </c>
      <c r="H52" s="65">
        <v>475369074.00999999</v>
      </c>
      <c r="I52" s="65">
        <v>-39518.129999999997</v>
      </c>
      <c r="J52" s="47">
        <f>ARKB!H52</f>
        <v>75088.350000000006</v>
      </c>
      <c r="K52" s="20">
        <f>H52/J52</f>
        <v>6330.7966416894224</v>
      </c>
      <c r="L52" s="57">
        <f t="shared" si="10"/>
        <v>-3.3583105778234312E-3</v>
      </c>
      <c r="M52" s="67"/>
    </row>
    <row r="53" spans="1:13" ht="15" customHeight="1">
      <c r="A53" s="1" t="str">
        <f>SCALARS!A54</f>
        <v>Friday</v>
      </c>
      <c r="B53" s="28">
        <f>SCALARS!B54</f>
        <v>46129</v>
      </c>
      <c r="C53" s="61">
        <f>SCALARS!H54</f>
        <v>1729.5147999999999</v>
      </c>
      <c r="D53" s="61">
        <f t="shared" si="0"/>
        <v>1729.6401416288686</v>
      </c>
      <c r="E53" s="61">
        <f t="shared" si="9"/>
        <v>-0.12534162886868216</v>
      </c>
      <c r="F53" s="8">
        <v>6330.8</v>
      </c>
      <c r="G53" s="19">
        <v>10950000</v>
      </c>
      <c r="H53" s="65">
        <v>489571519.88999999</v>
      </c>
      <c r="I53" s="65">
        <v>-47162.879999999997</v>
      </c>
      <c r="J53" s="47">
        <f>ARKB!H53</f>
        <v>77331.740000000005</v>
      </c>
      <c r="K53" s="20">
        <f>H53/J53</f>
        <v>6330.7966417152902</v>
      </c>
      <c r="L53" s="57">
        <f t="shared" si="10"/>
        <v>-3.3582847099751234E-3</v>
      </c>
      <c r="M53" s="67"/>
    </row>
    <row r="54" spans="1:13" ht="15" customHeight="1">
      <c r="A54" s="1" t="str">
        <f>SCALARS!A55</f>
        <v>Saturday</v>
      </c>
      <c r="B54" s="28">
        <f>SCALARS!B55</f>
        <v>46130</v>
      </c>
      <c r="C54" s="61">
        <f>SCALARS!H55</f>
        <v>1729.5237999999999</v>
      </c>
      <c r="D54" s="61"/>
      <c r="E54" s="61"/>
      <c r="F54" s="8"/>
      <c r="G54" s="19"/>
      <c r="H54" s="65"/>
      <c r="I54" s="65"/>
      <c r="J54" s="47"/>
      <c r="K54" s="20"/>
      <c r="L54" s="57">
        <f t="shared" si="10"/>
        <v>0</v>
      </c>
      <c r="M54" s="67"/>
    </row>
    <row r="55" spans="1:13" ht="15" customHeight="1">
      <c r="A55" s="1" t="str">
        <f>SCALARS!A56</f>
        <v>Sunday</v>
      </c>
      <c r="B55" s="28">
        <f>SCALARS!B56</f>
        <v>46131</v>
      </c>
      <c r="C55" s="61">
        <f>SCALARS!H56</f>
        <v>1729.5328</v>
      </c>
      <c r="D55" s="61"/>
      <c r="E55" s="61"/>
      <c r="F55" s="8"/>
      <c r="G55" s="19"/>
      <c r="H55" s="65"/>
      <c r="I55" s="65"/>
      <c r="J55" s="47"/>
      <c r="K55" s="20"/>
      <c r="L55" s="57">
        <f t="shared" si="10"/>
        <v>0</v>
      </c>
      <c r="M55" s="67"/>
    </row>
    <row r="56" spans="1:13" ht="15" customHeight="1">
      <c r="A56" s="1" t="str">
        <f>SCALARS!A57</f>
        <v>Monday</v>
      </c>
      <c r="B56" s="28">
        <f>SCALARS!B57</f>
        <v>46132</v>
      </c>
      <c r="C56" s="61">
        <f>SCALARS!H57</f>
        <v>1729.5418</v>
      </c>
      <c r="D56" s="61">
        <f t="shared" si="0"/>
        <v>1729.6401416491799</v>
      </c>
      <c r="E56" s="61">
        <f t="shared" si="9"/>
        <v>-9.8341649179928936E-2</v>
      </c>
      <c r="F56" s="8">
        <v>6330.8</v>
      </c>
      <c r="G56" s="19">
        <v>10950000</v>
      </c>
      <c r="H56" s="65">
        <v>483158929.35000002</v>
      </c>
      <c r="I56" s="65">
        <v>-49617.71</v>
      </c>
      <c r="J56" s="47">
        <f>ARKB!H56</f>
        <v>76318.820000000007</v>
      </c>
      <c r="K56" s="20">
        <f>H56/J56</f>
        <v>6330.7966416409472</v>
      </c>
      <c r="L56" s="57">
        <f t="shared" si="10"/>
        <v>-3.358359052981541E-3</v>
      </c>
      <c r="M56" s="67"/>
    </row>
    <row r="57" spans="1:13" ht="15" customHeight="1">
      <c r="A57" s="1" t="str">
        <f>SCALARS!A58</f>
        <v>Tuesday</v>
      </c>
      <c r="B57" s="28">
        <f>SCALARS!B58</f>
        <v>46133</v>
      </c>
      <c r="C57" s="61">
        <f>SCALARS!H58</f>
        <v>1729.5508</v>
      </c>
      <c r="D57" s="61">
        <f t="shared" si="0"/>
        <v>1729.6401416577505</v>
      </c>
      <c r="E57" s="61">
        <f t="shared" si="9"/>
        <v>-8.9341657750537706E-2</v>
      </c>
      <c r="F57" s="8">
        <v>6330.8</v>
      </c>
      <c r="G57" s="19">
        <v>10950000</v>
      </c>
      <c r="H57" s="65">
        <v>477736728.63999999</v>
      </c>
      <c r="I57" s="65">
        <v>-52104.3</v>
      </c>
      <c r="J57" s="47">
        <f>ARKB!H57</f>
        <v>75462.34</v>
      </c>
      <c r="K57" s="20">
        <f>H57/J57</f>
        <v>6330.7966416095769</v>
      </c>
      <c r="L57" s="57">
        <f t="shared" si="10"/>
        <v>-3.3583904232727946E-3</v>
      </c>
      <c r="M57" s="67"/>
    </row>
    <row r="58" spans="1:13" ht="15" customHeight="1">
      <c r="A58" s="1" t="str">
        <f>SCALARS!A59</f>
        <v>Wednesday</v>
      </c>
      <c r="B58" s="28">
        <f>SCALARS!B59</f>
        <v>46134</v>
      </c>
      <c r="C58" s="61">
        <f>SCALARS!H59</f>
        <v>1729.5598</v>
      </c>
      <c r="D58" s="61">
        <f t="shared" si="0"/>
        <v>1729.6401416321337</v>
      </c>
      <c r="E58" s="61">
        <f t="shared" si="9"/>
        <v>-8.0341632133695384E-2</v>
      </c>
      <c r="F58" s="8">
        <v>6330.8</v>
      </c>
      <c r="G58" s="19">
        <v>10950000</v>
      </c>
      <c r="H58" s="65">
        <v>499625014.88</v>
      </c>
      <c r="I58" s="65">
        <v>-54704.82</v>
      </c>
      <c r="J58" s="47">
        <f>ARKB!H58</f>
        <v>78919.77</v>
      </c>
      <c r="K58" s="20">
        <f>H58/J58</f>
        <v>6330.7966417033394</v>
      </c>
      <c r="L58" s="57">
        <f t="shared" si="10"/>
        <v>-3.3582966607355047E-3</v>
      </c>
      <c r="M58" s="67"/>
    </row>
    <row r="59" spans="1:13" ht="15" customHeight="1">
      <c r="A59" s="1" t="str">
        <f>SCALARS!A60</f>
        <v>Thursday</v>
      </c>
      <c r="B59" s="28">
        <f>SCALARS!B60</f>
        <v>46135</v>
      </c>
      <c r="C59" s="61">
        <f>SCALARS!H60</f>
        <v>1729.5688</v>
      </c>
      <c r="D59" s="61">
        <f t="shared" si="0"/>
        <v>1729.6401416285539</v>
      </c>
      <c r="E59" s="61">
        <f t="shared" si="9"/>
        <v>-7.1341628553909686E-2</v>
      </c>
      <c r="F59" s="8">
        <v>6330.8</v>
      </c>
      <c r="G59" s="19">
        <v>10950000</v>
      </c>
      <c r="H59" s="65">
        <v>492376759.19</v>
      </c>
      <c r="I59" s="65">
        <v>-57267.59</v>
      </c>
      <c r="J59" s="47">
        <f>ARKB!H59</f>
        <v>77774.850000000006</v>
      </c>
      <c r="K59" s="20">
        <f>H59/J59</f>
        <v>6330.7966417164416</v>
      </c>
      <c r="L59" s="57">
        <f t="shared" si="10"/>
        <v>-3.358283558554831E-3</v>
      </c>
      <c r="M59" s="67"/>
    </row>
    <row r="60" spans="1:13" ht="15" customHeight="1">
      <c r="A60" s="1" t="str">
        <f>SCALARS!A61</f>
        <v>Friday</v>
      </c>
      <c r="B60" s="28">
        <f>SCALARS!B61</f>
        <v>46136</v>
      </c>
      <c r="C60" s="61">
        <f>SCALARS!H61</f>
        <v>1729.5778</v>
      </c>
      <c r="D60" s="61">
        <f t="shared" si="0"/>
        <v>1729.6401416527503</v>
      </c>
      <c r="E60" s="61">
        <f t="shared" si="9"/>
        <v>-6.2341652750319554E-2</v>
      </c>
      <c r="F60" s="8">
        <v>6330.8</v>
      </c>
      <c r="G60" s="19">
        <v>10950000</v>
      </c>
      <c r="H60" s="65">
        <v>491511719.13</v>
      </c>
      <c r="I60" s="65">
        <v>-64942.37</v>
      </c>
      <c r="J60" s="47">
        <f>ARKB!H60</f>
        <v>77638.210000000006</v>
      </c>
      <c r="K60" s="20">
        <f>H60/J60</f>
        <v>6330.7966416278787</v>
      </c>
      <c r="L60" s="57">
        <f t="shared" si="10"/>
        <v>-3.3583721215109108E-3</v>
      </c>
    </row>
    <row r="61" spans="1:13" ht="15" customHeight="1">
      <c r="A61" s="1" t="str">
        <f>SCALARS!A62</f>
        <v>Saturday</v>
      </c>
      <c r="B61" s="28">
        <f>SCALARS!B62</f>
        <v>46137</v>
      </c>
      <c r="C61" s="61">
        <f>SCALARS!H62</f>
        <v>1729.5868</v>
      </c>
      <c r="D61" s="61"/>
      <c r="E61" s="61"/>
      <c r="F61" s="8"/>
      <c r="G61" s="19"/>
      <c r="H61" s="65"/>
      <c r="I61" s="65"/>
      <c r="J61" s="47"/>
      <c r="K61" s="20"/>
      <c r="L61" s="57">
        <f t="shared" si="10"/>
        <v>0</v>
      </c>
    </row>
    <row r="62" spans="1:13" ht="15" customHeight="1">
      <c r="A62" s="1" t="str">
        <f>SCALARS!A63</f>
        <v>Sunday</v>
      </c>
      <c r="B62" s="28">
        <f>SCALARS!B63</f>
        <v>46138</v>
      </c>
      <c r="C62" s="61">
        <f>SCALARS!H63</f>
        <v>1729.5958000000001</v>
      </c>
      <c r="D62" s="61"/>
      <c r="E62" s="61"/>
      <c r="F62" s="8"/>
      <c r="G62" s="19"/>
      <c r="H62" s="65"/>
      <c r="I62" s="65"/>
      <c r="J62" s="47"/>
      <c r="K62" s="20"/>
      <c r="L62" s="57">
        <f t="shared" si="10"/>
        <v>0</v>
      </c>
    </row>
    <row r="63" spans="1:13" ht="15" customHeight="1">
      <c r="A63" s="1" t="str">
        <f>SCALARS!A64</f>
        <v>Monday</v>
      </c>
      <c r="B63" s="28">
        <f>SCALARS!B64</f>
        <v>46139</v>
      </c>
      <c r="C63" s="61">
        <f>SCALARS!H64</f>
        <v>1729.6048000000001</v>
      </c>
      <c r="D63" s="61">
        <f t="shared" si="0"/>
        <v>1729.6401416306821</v>
      </c>
      <c r="E63" s="61">
        <f t="shared" si="9"/>
        <v>-3.5341630682069081E-2</v>
      </c>
      <c r="F63" s="8">
        <v>6330.8</v>
      </c>
      <c r="G63" s="19">
        <v>10950000</v>
      </c>
      <c r="H63" s="65">
        <v>485966194.50999999</v>
      </c>
      <c r="I63" s="65">
        <v>-64471.72</v>
      </c>
      <c r="J63" s="47">
        <f>ARKB!H63</f>
        <v>76762.25</v>
      </c>
      <c r="K63" s="20">
        <f>H63/J63</f>
        <v>6330.7966417086518</v>
      </c>
      <c r="L63" s="57">
        <f t="shared" si="10"/>
        <v>-3.3582913483769516E-3</v>
      </c>
    </row>
    <row r="64" spans="1:13" ht="15" customHeight="1">
      <c r="A64" s="1" t="str">
        <f>SCALARS!A65</f>
        <v>Tuesday</v>
      </c>
      <c r="B64" s="28">
        <f>SCALARS!B65</f>
        <v>46140</v>
      </c>
      <c r="C64" s="61">
        <f>SCALARS!H65</f>
        <v>1729.6138000000001</v>
      </c>
      <c r="D64" s="61">
        <f t="shared" si="0"/>
        <v>1729.6401416583512</v>
      </c>
      <c r="E64" s="61">
        <f t="shared" si="9"/>
        <v>-2.6341658351157093E-2</v>
      </c>
      <c r="F64" s="8">
        <v>6330.8</v>
      </c>
      <c r="G64" s="121">
        <v>10950000</v>
      </c>
      <c r="H64" s="3">
        <v>482309589.67000002</v>
      </c>
      <c r="I64" s="3">
        <v>-69982.02</v>
      </c>
      <c r="J64" s="47">
        <f>ARKB!H64</f>
        <v>76184.66</v>
      </c>
      <c r="K64" s="20">
        <f>H64/J64</f>
        <v>6330.7966416073787</v>
      </c>
      <c r="L64" s="57">
        <f t="shared" si="10"/>
        <v>-3.3583926215214888E-3</v>
      </c>
    </row>
    <row r="65" spans="1:12" ht="15" customHeight="1">
      <c r="A65" s="1" t="str">
        <f>SCALARS!A66</f>
        <v>Wednesday</v>
      </c>
      <c r="B65" s="28">
        <f>SCALARS!B66</f>
        <v>46141</v>
      </c>
      <c r="C65" s="61">
        <f>SCALARS!H66</f>
        <v>1729.6228000000001</v>
      </c>
      <c r="D65" s="61">
        <f t="shared" si="0"/>
        <v>1729.6366560209103</v>
      </c>
      <c r="E65" s="61">
        <f t="shared" si="9"/>
        <v>-1.3856020910225197E-2</v>
      </c>
      <c r="F65" s="8">
        <v>6244.09</v>
      </c>
      <c r="G65" s="121">
        <f>G66</f>
        <v>10800000</v>
      </c>
      <c r="H65" s="65">
        <v>471093246.75999999</v>
      </c>
      <c r="I65" s="65">
        <v>-72467.98</v>
      </c>
      <c r="J65" s="47">
        <f>ARKB!H65</f>
        <v>75446.31</v>
      </c>
      <c r="K65" s="20">
        <f>H65/J65</f>
        <v>6244.0859832641254</v>
      </c>
      <c r="L65" s="57">
        <f t="shared" si="10"/>
        <v>-4.016735874756705E-3</v>
      </c>
    </row>
    <row r="66" spans="1:12" ht="15" customHeight="1">
      <c r="A66" s="1" t="str">
        <f>SCALARS!A67</f>
        <v>Thursday</v>
      </c>
      <c r="B66" s="28">
        <f>SCALARS!B67</f>
        <v>46142</v>
      </c>
      <c r="C66" s="61">
        <f>SCALARS!H67</f>
        <v>1729.6318000000001</v>
      </c>
      <c r="D66" s="61">
        <f t="shared" si="0"/>
        <v>1729.6366559884927</v>
      </c>
      <c r="E66" s="61">
        <f t="shared" si="9"/>
        <v>-4.8559884926362429E-3</v>
      </c>
      <c r="F66" s="8">
        <v>6244.09</v>
      </c>
      <c r="G66" s="19">
        <v>10800000</v>
      </c>
      <c r="H66" s="65">
        <v>477153444.42000002</v>
      </c>
      <c r="I66" s="65">
        <v>-74951.42</v>
      </c>
      <c r="J66" s="47">
        <f>ARKB!H66</f>
        <v>76416.86</v>
      </c>
      <c r="K66" s="20">
        <f>H66/J66</f>
        <v>6244.0859833811546</v>
      </c>
      <c r="L66" s="57">
        <f t="shared" si="10"/>
        <v>-4.0166188455259544E-3</v>
      </c>
    </row>
    <row r="67" spans="1:12" ht="15" customHeight="1">
      <c r="A67" s="1" t="str">
        <f>SCALARS!A68</f>
        <v>Friday</v>
      </c>
      <c r="B67" s="28">
        <f>SCALARS!B68</f>
        <v>46143</v>
      </c>
      <c r="C67" s="61">
        <f>SCALARS!H68</f>
        <v>1729.6407999999999</v>
      </c>
      <c r="D67" s="61">
        <f t="shared" si="0"/>
        <v>1729.6366560209528</v>
      </c>
      <c r="E67" s="61">
        <f t="shared" si="9"/>
        <v>4.1439790470576554E-3</v>
      </c>
      <c r="F67" s="8">
        <v>6244.09</v>
      </c>
      <c r="G67" s="19">
        <v>10800000</v>
      </c>
      <c r="H67" s="65">
        <v>489631625.83999997</v>
      </c>
      <c r="I67" s="65">
        <v>-82596.56</v>
      </c>
      <c r="J67" s="47">
        <f>ARKB!H67</f>
        <v>78415.259999999995</v>
      </c>
      <c r="K67" s="20">
        <f>H67/J67</f>
        <v>6244.0859832639717</v>
      </c>
      <c r="L67" s="57">
        <f t="shared" si="10"/>
        <v>-4.0167360284613096E-3</v>
      </c>
    </row>
    <row r="68" spans="1:12" ht="15" customHeight="1">
      <c r="A68" s="1" t="str">
        <f>SCALARS!A69</f>
        <v>Saturday</v>
      </c>
      <c r="B68" s="28">
        <f>SCALARS!B69</f>
        <v>46144</v>
      </c>
      <c r="C68" s="61">
        <f>SCALARS!H69</f>
        <v>1729.6497999999999</v>
      </c>
      <c r="D68" s="61"/>
      <c r="E68" s="61"/>
      <c r="F68" s="8"/>
      <c r="G68" s="19"/>
      <c r="H68" s="65"/>
      <c r="I68" s="65"/>
      <c r="J68" s="47"/>
      <c r="K68" s="20"/>
      <c r="L68" s="57">
        <f t="shared" si="10"/>
        <v>0</v>
      </c>
    </row>
    <row r="69" spans="1:12" ht="15" customHeight="1">
      <c r="A69" s="1" t="str">
        <f>SCALARS!A70</f>
        <v>Sunday</v>
      </c>
      <c r="B69" s="28">
        <f>SCALARS!B70</f>
        <v>46145</v>
      </c>
      <c r="C69" s="61">
        <f>SCALARS!H70</f>
        <v>1729.6587999999999</v>
      </c>
      <c r="D69" s="61"/>
      <c r="E69" s="61"/>
      <c r="F69" s="8"/>
      <c r="G69" s="19"/>
      <c r="H69" s="65"/>
      <c r="I69" s="65"/>
      <c r="J69" s="47"/>
      <c r="K69" s="20"/>
      <c r="L69" s="57">
        <f t="shared" si="10"/>
        <v>0</v>
      </c>
    </row>
    <row r="70" spans="1:12" ht="15" customHeight="1">
      <c r="A70" s="1" t="str">
        <f>SCALARS!A71</f>
        <v>Monday</v>
      </c>
      <c r="B70" s="28">
        <f>SCALARS!B71</f>
        <v>46146</v>
      </c>
      <c r="C70" s="61">
        <f>SCALARS!H71</f>
        <v>1729.6677999999999</v>
      </c>
      <c r="D70" s="61">
        <f t="shared" si="0"/>
        <v>1729.6366559884827</v>
      </c>
      <c r="E70" s="61">
        <f t="shared" ref="E70:E95" si="11">C70-D70</f>
        <v>3.1144011517199033E-2</v>
      </c>
      <c r="F70" s="8">
        <v>6244.09</v>
      </c>
      <c r="G70" s="19">
        <v>10800000</v>
      </c>
      <c r="H70" s="65">
        <v>499555164.38</v>
      </c>
      <c r="I70" s="65">
        <v>-85196.55</v>
      </c>
      <c r="J70" s="47">
        <f>ARKB!H70</f>
        <v>80004.53</v>
      </c>
      <c r="K70" s="20">
        <f>H70/J70</f>
        <v>6244.085983381191</v>
      </c>
      <c r="L70" s="57">
        <f t="shared" si="10"/>
        <v>-4.0166188091461663E-3</v>
      </c>
    </row>
    <row r="71" spans="1:12" ht="15" customHeight="1">
      <c r="A71" s="1" t="str">
        <f>SCALARS!A72</f>
        <v>Tuesday</v>
      </c>
      <c r="B71" s="28">
        <f>SCALARS!B72</f>
        <v>46147</v>
      </c>
      <c r="C71" s="61">
        <f>SCALARS!H72</f>
        <v>1729.6768</v>
      </c>
      <c r="D71" s="61">
        <f t="shared" si="0"/>
        <v>1729.6366559972826</v>
      </c>
      <c r="E71" s="61">
        <f t="shared" si="11"/>
        <v>4.0144002717397598E-2</v>
      </c>
      <c r="F71" s="8">
        <v>6244.09</v>
      </c>
      <c r="G71" s="121">
        <v>10800000</v>
      </c>
      <c r="H71" s="65">
        <v>509274771.06</v>
      </c>
      <c r="I71" s="65">
        <v>-87847.13</v>
      </c>
      <c r="J71" s="47">
        <f>ARKB!H71</f>
        <v>81561.14</v>
      </c>
      <c r="K71" s="20">
        <f>H71/J71</f>
        <v>6244.0859833494233</v>
      </c>
      <c r="L71" s="57">
        <f t="shared" si="10"/>
        <v>-4.0166505768866045E-3</v>
      </c>
    </row>
    <row r="72" spans="1:12" ht="15" customHeight="1">
      <c r="A72" s="1" t="str">
        <f>SCALARS!A73</f>
        <v>Wednesday</v>
      </c>
      <c r="B72" s="28">
        <f>SCALARS!B73</f>
        <v>46148</v>
      </c>
      <c r="C72" s="61">
        <f>SCALARS!H73</f>
        <v>1729.6858</v>
      </c>
      <c r="D72" s="61">
        <f t="shared" si="0"/>
        <v>1729.6324538528722</v>
      </c>
      <c r="E72" s="61">
        <f t="shared" si="11"/>
        <v>5.3346147127740551E-2</v>
      </c>
      <c r="F72" s="8">
        <v>6157.38</v>
      </c>
      <c r="G72" s="121">
        <f>G73</f>
        <v>10650000</v>
      </c>
      <c r="H72" s="65">
        <v>500932032.44999999</v>
      </c>
      <c r="I72" s="65">
        <v>-90490.98</v>
      </c>
      <c r="J72" s="47">
        <f>ARKB!H72</f>
        <v>81354.77</v>
      </c>
      <c r="K72" s="20">
        <f>H72/J72</f>
        <v>6157.3775262347854</v>
      </c>
      <c r="L72" s="57">
        <f t="shared" si="10"/>
        <v>-2.4737652147450717E-3</v>
      </c>
    </row>
    <row r="73" spans="1:12" ht="15" customHeight="1">
      <c r="A73" s="1" t="str">
        <f>SCALARS!A74</f>
        <v>Thursday</v>
      </c>
      <c r="B73" s="28">
        <f>SCALARS!B74</f>
        <v>46149</v>
      </c>
      <c r="C73" s="61">
        <f>SCALARS!H74</f>
        <v>1729.6948</v>
      </c>
      <c r="D73" s="61">
        <f t="shared" si="0"/>
        <v>1729.6324538534409</v>
      </c>
      <c r="E73" s="61">
        <f t="shared" si="11"/>
        <v>6.234614655909354E-2</v>
      </c>
      <c r="F73" s="8">
        <v>6157.38</v>
      </c>
      <c r="G73" s="19">
        <v>10650000</v>
      </c>
      <c r="H73" s="65">
        <v>493084085.35000002</v>
      </c>
      <c r="I73" s="65">
        <v>-93057.25</v>
      </c>
      <c r="J73" s="47">
        <f>ARKB!H73</f>
        <v>80080.210000000006</v>
      </c>
      <c r="K73" s="20">
        <f>H73/J73</f>
        <v>6157.3775262327608</v>
      </c>
      <c r="L73" s="57">
        <f t="shared" si="10"/>
        <v>-2.4737672392802779E-3</v>
      </c>
    </row>
    <row r="74" spans="1:12" ht="15" customHeight="1">
      <c r="A74" s="1" t="str">
        <f>SCALARS!A75</f>
        <v>Friday</v>
      </c>
      <c r="B74" s="28">
        <f>SCALARS!B75</f>
        <v>46150</v>
      </c>
      <c r="C74" s="61">
        <f>SCALARS!H75</f>
        <v>1729.7038</v>
      </c>
      <c r="D74" s="61">
        <f t="shared" si="0"/>
        <v>1729.632453866461</v>
      </c>
      <c r="E74" s="61">
        <f t="shared" si="11"/>
        <v>7.1346133539009315E-2</v>
      </c>
      <c r="F74" s="8">
        <v>6157.38</v>
      </c>
      <c r="G74" s="19">
        <v>10650000</v>
      </c>
      <c r="H74" s="65">
        <v>492998682.51999998</v>
      </c>
      <c r="I74" s="65">
        <v>-100754.68</v>
      </c>
      <c r="J74" s="47">
        <f>ARKB!H74</f>
        <v>80066.34</v>
      </c>
      <c r="K74" s="20">
        <f>H74/J74</f>
        <v>6157.3775261864103</v>
      </c>
      <c r="L74" s="57">
        <f t="shared" si="10"/>
        <v>-2.4738135898587643E-3</v>
      </c>
    </row>
    <row r="75" spans="1:12" ht="15" customHeight="1">
      <c r="A75" s="1" t="str">
        <f>SCALARS!A76</f>
        <v>Saturday</v>
      </c>
      <c r="B75" s="28">
        <f>SCALARS!B76</f>
        <v>46151</v>
      </c>
      <c r="C75" s="61">
        <f>SCALARS!H76</f>
        <v>1729.7128</v>
      </c>
      <c r="D75" s="61"/>
      <c r="E75" s="61"/>
      <c r="F75" s="8"/>
      <c r="G75" s="19"/>
      <c r="H75" s="65"/>
      <c r="I75" s="65"/>
      <c r="J75" s="47"/>
      <c r="K75" s="20"/>
      <c r="L75" s="57">
        <f t="shared" si="10"/>
        <v>0</v>
      </c>
    </row>
    <row r="76" spans="1:12" ht="15" customHeight="1">
      <c r="A76" s="1" t="str">
        <f>SCALARS!A77</f>
        <v>Sunday</v>
      </c>
      <c r="B76" s="28">
        <f>SCALARS!B77</f>
        <v>46152</v>
      </c>
      <c r="C76" s="61">
        <f>SCALARS!H77</f>
        <v>1729.7218</v>
      </c>
      <c r="D76" s="61"/>
      <c r="E76" s="61"/>
      <c r="F76" s="8"/>
      <c r="G76" s="19"/>
      <c r="H76" s="65"/>
      <c r="I76" s="65"/>
      <c r="J76" s="47"/>
      <c r="K76" s="20"/>
      <c r="L76" s="57">
        <f t="shared" si="10"/>
        <v>0</v>
      </c>
    </row>
    <row r="77" spans="1:12" ht="15" customHeight="1">
      <c r="A77" s="1" t="str">
        <f>SCALARS!A78</f>
        <v>Monday</v>
      </c>
      <c r="B77" s="28">
        <f>SCALARS!B78</f>
        <v>46153</v>
      </c>
      <c r="C77" s="61">
        <f>SCALARS!H78</f>
        <v>1729.7308</v>
      </c>
      <c r="D77" s="61">
        <f t="shared" si="0"/>
        <v>1729.6324538710392</v>
      </c>
      <c r="E77" s="61">
        <f t="shared" si="11"/>
        <v>9.8346128960884016E-2</v>
      </c>
      <c r="F77" s="8">
        <v>6157.38</v>
      </c>
      <c r="G77" s="19">
        <v>10650000</v>
      </c>
      <c r="H77" s="65">
        <v>504381641.63</v>
      </c>
      <c r="I77" s="65">
        <v>-103379.7</v>
      </c>
      <c r="J77" s="47">
        <f>ARKB!H77</f>
        <v>81915.009999999995</v>
      </c>
      <c r="K77" s="20">
        <f>H77/J77</f>
        <v>6157.3775261701121</v>
      </c>
      <c r="L77" s="57">
        <f t="shared" si="10"/>
        <v>-2.4738298880038201E-3</v>
      </c>
    </row>
    <row r="78" spans="1:12" ht="15" customHeight="1">
      <c r="A78" s="1" t="str">
        <f>SCALARS!A79</f>
        <v>Tuesday</v>
      </c>
      <c r="B78" s="28">
        <f>SCALARS!B79</f>
        <v>46154</v>
      </c>
      <c r="C78" s="61">
        <f>SCALARS!H79</f>
        <v>1729.7398000000001</v>
      </c>
      <c r="D78" s="61">
        <f t="shared" si="0"/>
        <v>1729.6324538543015</v>
      </c>
      <c r="E78" s="61">
        <f t="shared" si="11"/>
        <v>0.10734614569855694</v>
      </c>
      <c r="F78" s="8">
        <v>6157.38</v>
      </c>
      <c r="G78" s="19">
        <v>10650000</v>
      </c>
      <c r="H78" s="65">
        <v>497255647.05000001</v>
      </c>
      <c r="I78" s="65">
        <v>-105967.62</v>
      </c>
      <c r="J78" s="47">
        <f>ARKB!H78</f>
        <v>80757.7</v>
      </c>
      <c r="K78" s="20">
        <f>H78/J78</f>
        <v>6157.3775262296977</v>
      </c>
      <c r="L78" s="57">
        <f t="shared" si="10"/>
        <v>-2.4737703024584334E-3</v>
      </c>
    </row>
    <row r="79" spans="1:12" ht="15" customHeight="1">
      <c r="A79" s="1" t="str">
        <f>SCALARS!A80</f>
        <v>Wednesday</v>
      </c>
      <c r="B79" s="28">
        <f>SCALARS!B80</f>
        <v>46155</v>
      </c>
      <c r="C79" s="61">
        <f>SCALARS!H80</f>
        <v>1729.7488000000001</v>
      </c>
      <c r="D79" s="61">
        <f t="shared" ref="D79:D84" si="12">G79/K79</f>
        <v>1729.6324538497252</v>
      </c>
      <c r="E79" s="61">
        <f t="shared" si="11"/>
        <v>0.11634615027492146</v>
      </c>
      <c r="F79" s="8">
        <v>6157.38</v>
      </c>
      <c r="G79" s="19">
        <v>10650000</v>
      </c>
      <c r="H79" s="65">
        <v>489492487.04000002</v>
      </c>
      <c r="I79" s="65">
        <v>-108515.11</v>
      </c>
      <c r="J79" s="47">
        <f>ARKB!H79</f>
        <v>79496.91</v>
      </c>
      <c r="K79" s="20">
        <f>H79/J79</f>
        <v>6157.3775262459885</v>
      </c>
      <c r="L79" s="57">
        <f t="shared" si="10"/>
        <v>-2.4737540115893353E-3</v>
      </c>
    </row>
    <row r="80" spans="1:12" ht="15" customHeight="1">
      <c r="A80" s="1" t="str">
        <f>SCALARS!A81</f>
        <v>Thursday</v>
      </c>
      <c r="B80" s="28">
        <f>SCALARS!B81</f>
        <v>46156</v>
      </c>
      <c r="C80" s="61">
        <f>SCALARS!H81</f>
        <v>1729.7578000000001</v>
      </c>
      <c r="D80" s="61">
        <f t="shared" si="12"/>
        <v>1729.6213397256242</v>
      </c>
      <c r="E80" s="61">
        <f t="shared" si="11"/>
        <v>0.13646027437584962</v>
      </c>
      <c r="F80" s="8">
        <v>5983.97</v>
      </c>
      <c r="G80" s="121">
        <v>10350000</v>
      </c>
      <c r="H80" s="65">
        <v>487765318.41000003</v>
      </c>
      <c r="I80" s="65">
        <v>-111127.18</v>
      </c>
      <c r="J80" s="47">
        <f>ARKB!H80</f>
        <v>81512.009999999995</v>
      </c>
      <c r="K80" s="20">
        <f>H80/J80</f>
        <v>5983.9687232593096</v>
      </c>
      <c r="L80" s="57">
        <f t="shared" si="10"/>
        <v>-1.2767406906277756E-3</v>
      </c>
    </row>
    <row r="81" spans="1:17" ht="15" customHeight="1">
      <c r="A81" s="1" t="str">
        <f>SCALARS!A82</f>
        <v>Friday</v>
      </c>
      <c r="B81" s="28">
        <f>SCALARS!B82</f>
        <v>46157</v>
      </c>
      <c r="C81" s="61">
        <f>SCALARS!H82</f>
        <v>1729.7668000000001</v>
      </c>
      <c r="D81" s="61">
        <f t="shared" si="12"/>
        <v>1729.8849014268312</v>
      </c>
      <c r="E81" s="61">
        <f t="shared" si="11"/>
        <v>-0.11810142683111735</v>
      </c>
      <c r="F81" s="8">
        <v>5896.35</v>
      </c>
      <c r="G81" s="121">
        <v>10200000</v>
      </c>
      <c r="H81" s="65">
        <v>466383519.12</v>
      </c>
      <c r="I81" s="65">
        <v>-46001.21</v>
      </c>
      <c r="J81" s="47">
        <f>ARKB!H81</f>
        <v>79097.039999999994</v>
      </c>
      <c r="K81" s="20">
        <f>H81/J81</f>
        <v>5896.3460468305775</v>
      </c>
      <c r="L81" s="57">
        <f t="shared" si="10"/>
        <v>-3.9531694228571723E-3</v>
      </c>
    </row>
    <row r="82" spans="1:17" ht="15" customHeight="1">
      <c r="A82" s="1" t="str">
        <f>SCALARS!A83</f>
        <v>Saturday</v>
      </c>
      <c r="B82" s="28">
        <f>SCALARS!B83</f>
        <v>46158</v>
      </c>
      <c r="C82" s="61">
        <f>SCALARS!H83</f>
        <v>1729.7757999999999</v>
      </c>
      <c r="D82" s="61"/>
      <c r="E82" s="61"/>
      <c r="F82" s="8"/>
      <c r="G82" s="19"/>
      <c r="H82" s="65"/>
      <c r="I82" s="65"/>
      <c r="J82" s="47"/>
      <c r="K82" s="20"/>
      <c r="L82" s="57"/>
    </row>
    <row r="83" spans="1:17" ht="15" customHeight="1">
      <c r="A83" s="1" t="str">
        <f>SCALARS!A84</f>
        <v>Sunday</v>
      </c>
      <c r="B83" s="28">
        <f>SCALARS!B84</f>
        <v>46159</v>
      </c>
      <c r="C83" s="61">
        <f>SCALARS!H84</f>
        <v>1729.7847999999999</v>
      </c>
      <c r="D83" s="61"/>
      <c r="E83" s="61"/>
      <c r="F83" s="8"/>
      <c r="G83" s="19"/>
      <c r="H83" s="65"/>
      <c r="I83" s="65"/>
      <c r="J83" s="47"/>
      <c r="K83" s="20"/>
      <c r="L83" s="57"/>
    </row>
    <row r="84" spans="1:17" ht="15" customHeight="1">
      <c r="A84" s="1" t="str">
        <f>SCALARS!A85</f>
        <v>Monday</v>
      </c>
      <c r="B84" s="28">
        <f>SCALARS!B85</f>
        <v>46160</v>
      </c>
      <c r="C84" s="61">
        <f>SCALARS!H85</f>
        <v>1729.7937999999999</v>
      </c>
      <c r="D84" s="61">
        <f t="shared" si="12"/>
        <v>1729.8823547726076</v>
      </c>
      <c r="E84" s="61">
        <f t="shared" si="11"/>
        <v>-8.8554772607722043E-2</v>
      </c>
      <c r="F84" s="8">
        <v>5809.64</v>
      </c>
      <c r="G84" s="121">
        <f>G85</f>
        <v>10050000</v>
      </c>
      <c r="H84" s="65">
        <v>445460699.61000001</v>
      </c>
      <c r="I84" s="65">
        <v>-48354.41</v>
      </c>
      <c r="J84" s="47">
        <f>ARKB!H84</f>
        <v>76676.08</v>
      </c>
      <c r="K84" s="20">
        <f>H84/J84</f>
        <v>5809.6436282345157</v>
      </c>
      <c r="L84" s="57">
        <f>K84-F84</f>
        <v>3.6282345154177165E-3</v>
      </c>
      <c r="Q84" s="130"/>
    </row>
    <row r="85" spans="1:17" ht="15" customHeight="1">
      <c r="A85" s="1" t="str">
        <f>SCALARS!A86</f>
        <v>Tuesday</v>
      </c>
      <c r="B85" s="28">
        <f>SCALARS!B86</f>
        <v>46161</v>
      </c>
      <c r="C85" s="61">
        <f>SCALARS!H86</f>
        <v>1729.8027999999999</v>
      </c>
      <c r="D85" s="61">
        <f>G85/K85</f>
        <v>1729.8823547980705</v>
      </c>
      <c r="E85" s="61">
        <f t="shared" si="11"/>
        <v>-7.9554798070603283E-2</v>
      </c>
      <c r="F85" s="8">
        <v>5809.64</v>
      </c>
      <c r="G85" s="19">
        <v>10050000</v>
      </c>
      <c r="H85" s="65">
        <v>446301296.94</v>
      </c>
      <c r="I85" s="65">
        <v>-50677.37</v>
      </c>
      <c r="J85" s="47">
        <f>ARKB!H85</f>
        <v>76820.77</v>
      </c>
      <c r="K85" s="20">
        <f>H85/J85</f>
        <v>5809.6436281490014</v>
      </c>
      <c r="L85" s="57">
        <f>K85-F85</f>
        <v>3.628149001087877E-3</v>
      </c>
    </row>
    <row r="86" spans="1:17" ht="15" customHeight="1">
      <c r="A86" s="1" t="str">
        <f>SCALARS!A87</f>
        <v>Wednesday</v>
      </c>
      <c r="B86" s="28">
        <f>SCALARS!B87</f>
        <v>46162</v>
      </c>
      <c r="C86" s="61">
        <f>SCALARS!H87</f>
        <v>1729.8117999999999</v>
      </c>
      <c r="D86" s="61">
        <f>G86/K86</f>
        <v>1729.88235477891</v>
      </c>
      <c r="E86" s="61">
        <f t="shared" si="11"/>
        <v>-7.0554778910036475E-2</v>
      </c>
      <c r="F86" s="8">
        <v>5809.64</v>
      </c>
      <c r="G86" s="19">
        <v>10050000</v>
      </c>
      <c r="H86" s="65">
        <v>450058219.19</v>
      </c>
      <c r="I86" s="65">
        <v>-53019.88</v>
      </c>
      <c r="J86" s="47">
        <f>ARKB!H86</f>
        <v>77467.44</v>
      </c>
      <c r="K86" s="20">
        <f>H86/J86</f>
        <v>5809.64362821335</v>
      </c>
      <c r="L86" s="57">
        <f>K86-F86</f>
        <v>3.6282133496570168E-3</v>
      </c>
    </row>
    <row r="87" spans="1:17" ht="15" customHeight="1">
      <c r="A87" s="1" t="str">
        <f>SCALARS!A88</f>
        <v>Thursday</v>
      </c>
      <c r="B87" s="28">
        <f>SCALARS!B88</f>
        <v>46163</v>
      </c>
      <c r="C87" s="61">
        <f>SCALARS!H88</f>
        <v>1729.8208</v>
      </c>
      <c r="D87" s="61">
        <f>G87/K87</f>
        <v>1729.8823547793525</v>
      </c>
      <c r="E87" s="61">
        <f t="shared" si="11"/>
        <v>-6.1554779352491096E-2</v>
      </c>
      <c r="F87" s="8">
        <v>5809.64</v>
      </c>
      <c r="G87" s="19">
        <v>10050000</v>
      </c>
      <c r="H87" s="65">
        <v>450338941.17000002</v>
      </c>
      <c r="I87" s="65">
        <v>-5363.83</v>
      </c>
      <c r="J87" s="47">
        <f>ARKB!H87</f>
        <v>77515.759999999995</v>
      </c>
      <c r="K87" s="20">
        <f>H87/J87</f>
        <v>5809.6436282118639</v>
      </c>
      <c r="L87" s="57">
        <f>K87-F87</f>
        <v>3.6282118635426741E-3</v>
      </c>
    </row>
    <row r="88" spans="1:17" ht="15" customHeight="1">
      <c r="A88" s="1" t="str">
        <f>SCALARS!A89</f>
        <v>Friday</v>
      </c>
      <c r="B88" s="28">
        <f>SCALARS!B89</f>
        <v>46164</v>
      </c>
      <c r="C88" s="61">
        <f>SCALARS!H89</f>
        <v>1729.8298</v>
      </c>
      <c r="D88" s="61">
        <f>G88/K88</f>
        <v>1729.8823547992351</v>
      </c>
      <c r="E88" s="61">
        <f t="shared" si="11"/>
        <v>-5.2554799235167593E-2</v>
      </c>
      <c r="F88" s="8">
        <v>5809.64</v>
      </c>
      <c r="G88" s="19">
        <v>10050000</v>
      </c>
      <c r="H88" s="65">
        <v>441513337.24000001</v>
      </c>
      <c r="I88" s="65">
        <v>-64555.83</v>
      </c>
      <c r="J88" s="47">
        <f>ARKB!H88</f>
        <v>75996.63</v>
      </c>
      <c r="K88" s="20">
        <f>H88/J88</f>
        <v>5809.6436281450897</v>
      </c>
      <c r="L88" s="57">
        <f>K88-F88</f>
        <v>3.6281450893511646E-3</v>
      </c>
    </row>
    <row r="89" spans="1:17" ht="15" customHeight="1">
      <c r="A89" s="1" t="str">
        <f>SCALARS!A90</f>
        <v>Saturday</v>
      </c>
      <c r="B89" s="28">
        <f>SCALARS!B90</f>
        <v>46165</v>
      </c>
      <c r="C89" s="61">
        <f>SCALARS!H90</f>
        <v>1729.8388</v>
      </c>
      <c r="D89" s="61"/>
      <c r="E89" s="61"/>
      <c r="F89" s="8"/>
      <c r="G89" s="19"/>
      <c r="H89" s="65"/>
      <c r="I89" s="65"/>
      <c r="J89" s="47"/>
      <c r="K89" s="20"/>
    </row>
    <row r="90" spans="1:17" ht="15" customHeight="1">
      <c r="A90" s="1" t="str">
        <f>SCALARS!A91</f>
        <v>Sunday</v>
      </c>
      <c r="B90" s="28">
        <f>SCALARS!B91</f>
        <v>46166</v>
      </c>
      <c r="C90" s="61">
        <f>SCALARS!H91</f>
        <v>1729.8478</v>
      </c>
      <c r="D90" s="61"/>
      <c r="E90" s="61"/>
      <c r="F90" s="8"/>
      <c r="G90" s="19"/>
      <c r="H90" s="65"/>
      <c r="I90" s="65"/>
      <c r="J90" s="47"/>
      <c r="K90" s="20"/>
    </row>
    <row r="91" spans="1:17" ht="15" customHeight="1">
      <c r="A91" s="1" t="str">
        <f>SCALARS!A92</f>
        <v>Monday</v>
      </c>
      <c r="B91" s="28">
        <f>SCALARS!B92</f>
        <v>46167</v>
      </c>
      <c r="C91" s="61">
        <f>SCALARS!H92</f>
        <v>1729.8568</v>
      </c>
      <c r="D91" s="61"/>
      <c r="E91" s="61"/>
      <c r="F91" s="8"/>
      <c r="G91" s="19"/>
      <c r="H91" s="65"/>
      <c r="I91" s="65"/>
      <c r="J91" s="47"/>
      <c r="K91" s="20"/>
    </row>
    <row r="92" spans="1:17" ht="15" customHeight="1">
      <c r="A92" s="1" t="str">
        <f>SCALARS!A93</f>
        <v>Tuesday</v>
      </c>
      <c r="B92" s="28">
        <f>SCALARS!B93</f>
        <v>46168</v>
      </c>
      <c r="C92" s="61">
        <f>SCALARS!H93</f>
        <v>1729.8658</v>
      </c>
      <c r="D92" s="61">
        <f>G92/F88</f>
        <v>1729.8834351181829</v>
      </c>
      <c r="E92" s="61">
        <f t="shared" si="11"/>
        <v>-1.7635118182852239E-2</v>
      </c>
      <c r="F92" s="8">
        <v>5809.64</v>
      </c>
      <c r="G92" s="19">
        <v>10050000</v>
      </c>
      <c r="H92" s="65">
        <v>440454936.37</v>
      </c>
      <c r="I92" s="65">
        <v>-66848.27</v>
      </c>
      <c r="J92" s="47">
        <f>ARKB!H92</f>
        <v>75814.45</v>
      </c>
      <c r="K92" s="20">
        <f>H92/J92</f>
        <v>5809.6436282265458</v>
      </c>
    </row>
    <row r="93" spans="1:17" ht="15" customHeight="1">
      <c r="A93" s="1" t="str">
        <f>SCALARS!A94</f>
        <v>Wednesday</v>
      </c>
      <c r="B93" s="28">
        <f>SCALARS!B94</f>
        <v>46169</v>
      </c>
      <c r="C93" s="61">
        <f>SCALARS!H94</f>
        <v>1729.8748000000001</v>
      </c>
      <c r="D93" s="61">
        <f>G93/F92</f>
        <v>1729.8834351181829</v>
      </c>
      <c r="E93" s="61">
        <f t="shared" si="11"/>
        <v>-8.6351181828376866E-3</v>
      </c>
      <c r="F93" s="8">
        <v>5809.64</v>
      </c>
      <c r="G93" s="19">
        <v>10050000</v>
      </c>
      <c r="H93" s="65">
        <v>435083281.76999998</v>
      </c>
      <c r="I93" s="65">
        <v>-69112.740000000005</v>
      </c>
      <c r="J93" s="47">
        <f>ARKB!H93</f>
        <v>74889.84</v>
      </c>
      <c r="K93" s="20">
        <f>H93/J93</f>
        <v>5809.6436281610431</v>
      </c>
    </row>
    <row r="94" spans="1:17" ht="15" customHeight="1">
      <c r="A94" s="1" t="str">
        <f>SCALARS!A95</f>
        <v>Thursday</v>
      </c>
      <c r="B94" s="28">
        <f>SCALARS!B95</f>
        <v>46170</v>
      </c>
      <c r="C94" s="61">
        <f>SCALARS!H95</f>
        <v>1729.8838000000001</v>
      </c>
      <c r="D94" s="61">
        <f>G94/F93</f>
        <v>1729.8834351181829</v>
      </c>
      <c r="E94" s="61">
        <f t="shared" si="11"/>
        <v>3.648818171768653E-4</v>
      </c>
      <c r="F94" s="8">
        <v>5809.64</v>
      </c>
      <c r="G94" s="19">
        <v>10050000</v>
      </c>
      <c r="H94" s="65">
        <v>426314670.44999999</v>
      </c>
      <c r="I94" s="65">
        <v>-76769.17</v>
      </c>
      <c r="J94" s="47">
        <f>ARKB!H94</f>
        <v>73380.52</v>
      </c>
      <c r="K94" s="20">
        <f>H94/J94</f>
        <v>5809.6436281727083</v>
      </c>
    </row>
    <row r="95" spans="1:17" ht="15" customHeight="1">
      <c r="A95" s="1" t="str">
        <f>SCALARS!A96</f>
        <v>Friday</v>
      </c>
      <c r="B95" s="28">
        <f>SCALARS!B96</f>
        <v>46171</v>
      </c>
      <c r="C95" s="61">
        <f>SCALARS!H96</f>
        <v>1729.8928000000001</v>
      </c>
      <c r="D95" s="61">
        <f>G95/F94</f>
        <v>1729.8834351181829</v>
      </c>
      <c r="E95" s="61">
        <f t="shared" si="11"/>
        <v>9.3648818171914172E-3</v>
      </c>
      <c r="F95" s="8">
        <v>5809.64</v>
      </c>
      <c r="G95" s="19">
        <v>10050000</v>
      </c>
      <c r="H95" s="65">
        <v>426416862.07999998</v>
      </c>
      <c r="I95" s="65">
        <v>-77988.479999999996</v>
      </c>
      <c r="J95" s="47">
        <f>ARKB!H95</f>
        <v>73398.11</v>
      </c>
      <c r="K95" s="20">
        <f>H95/J95</f>
        <v>5809.6436281533679</v>
      </c>
    </row>
    <row r="96" spans="1:17" ht="15" customHeight="1">
      <c r="A96" s="1" t="str">
        <f>SCALARS!A97</f>
        <v>Saturday</v>
      </c>
      <c r="B96" s="28">
        <f>SCALARS!B97</f>
        <v>46172</v>
      </c>
      <c r="C96" s="61">
        <f>SCALARS!H97</f>
        <v>1729.9018000000001</v>
      </c>
      <c r="D96" s="61"/>
      <c r="E96" s="61"/>
      <c r="F96" s="8"/>
      <c r="G96" s="19"/>
      <c r="H96" s="65"/>
      <c r="I96" s="65"/>
      <c r="J96" s="47"/>
      <c r="K96" s="20"/>
    </row>
    <row r="97" spans="1:16" ht="15" customHeight="1">
      <c r="A97" s="1" t="str">
        <f>SCALARS!A98</f>
        <v>Sunday</v>
      </c>
      <c r="B97" s="28">
        <f>SCALARS!B98</f>
        <v>46173</v>
      </c>
      <c r="C97" s="61">
        <f>SCALARS!H98</f>
        <v>1729.9108000000001</v>
      </c>
      <c r="D97" s="61"/>
      <c r="E97" s="61"/>
      <c r="F97" s="8"/>
      <c r="G97" s="19"/>
      <c r="H97" s="65"/>
      <c r="I97" s="65"/>
      <c r="J97" s="47"/>
      <c r="K97" s="20"/>
    </row>
    <row r="98" spans="1:16" ht="15" customHeight="1">
      <c r="A98" s="1" t="str">
        <f>SCALARS!A99</f>
        <v>Monday</v>
      </c>
      <c r="B98" s="28">
        <f>SCALARS!B99</f>
        <v>46174</v>
      </c>
      <c r="C98" s="61">
        <f>SCALARS!H99</f>
        <v>1729.9197999999999</v>
      </c>
      <c r="D98" s="61">
        <f>G98/F95</f>
        <v>1729.8834351181829</v>
      </c>
      <c r="E98" s="61">
        <f t="shared" ref="E98:E102" si="13">C98-D98</f>
        <v>3.6364881817007699E-2</v>
      </c>
      <c r="F98" s="141">
        <v>5809.64</v>
      </c>
      <c r="G98" s="63">
        <v>10050000</v>
      </c>
      <c r="H98" s="142">
        <v>414975524.20999998</v>
      </c>
      <c r="I98" s="142">
        <v>-80148.22</v>
      </c>
      <c r="J98" s="47">
        <f>ARKB!H98</f>
        <v>71428.740000000005</v>
      </c>
      <c r="K98" s="20">
        <f>H98/J98</f>
        <v>5809.6436281810365</v>
      </c>
      <c r="L98" s="57">
        <f>K98-F98</f>
        <v>3.6281810362197575E-3</v>
      </c>
      <c r="N98" s="142">
        <f>H98+I98</f>
        <v>414895375.98999995</v>
      </c>
      <c r="O98" s="141">
        <f>N98/J98</f>
        <v>5808.5215557491274</v>
      </c>
      <c r="P98" s="82">
        <f>O98-F98</f>
        <v>-1.1184442508729262</v>
      </c>
    </row>
    <row r="99" spans="1:16" ht="15" customHeight="1">
      <c r="A99" s="1" t="str">
        <f>SCALARS!A100</f>
        <v>Tuesday</v>
      </c>
      <c r="B99" s="28">
        <f>SCALARS!B100</f>
        <v>46175</v>
      </c>
      <c r="C99" s="61">
        <f>SCALARS!H100</f>
        <v>1729.9287999999999</v>
      </c>
      <c r="D99" s="61">
        <f>G99/F98</f>
        <v>1729.8834351181829</v>
      </c>
      <c r="E99" s="61">
        <f t="shared" si="13"/>
        <v>4.5364881817022251E-2</v>
      </c>
      <c r="F99" s="141">
        <v>5809.64</v>
      </c>
      <c r="G99" s="63">
        <v>10050000</v>
      </c>
      <c r="H99" s="142">
        <v>389195172.50999999</v>
      </c>
      <c r="I99" s="142">
        <v>-82173.75</v>
      </c>
      <c r="J99" s="47">
        <f>ARKB!H99</f>
        <v>66991.23</v>
      </c>
      <c r="K99" s="20">
        <f>H99/J99</f>
        <v>5809.6436281286369</v>
      </c>
      <c r="L99" s="57">
        <f>K99-F99</f>
        <v>3.6281286365920096E-3</v>
      </c>
    </row>
    <row r="100" spans="1:16" ht="15" customHeight="1">
      <c r="A100" s="1" t="str">
        <f>SCALARS!A101</f>
        <v>Wednesday</v>
      </c>
      <c r="B100" s="28">
        <f>SCALARS!B101</f>
        <v>46176</v>
      </c>
      <c r="C100" s="61">
        <f>SCALARS!H101</f>
        <v>1729.9377999999999</v>
      </c>
      <c r="D100" s="61">
        <f>G100/F99</f>
        <v>1729.8834351181829</v>
      </c>
      <c r="E100" s="61">
        <f t="shared" si="13"/>
        <v>5.4364881817036803E-2</v>
      </c>
      <c r="F100" s="151">
        <v>5809.64</v>
      </c>
      <c r="G100" s="152">
        <v>10050000</v>
      </c>
      <c r="H100" s="153">
        <v>381589593.75</v>
      </c>
      <c r="I100" s="153">
        <v>-84159.679999999993</v>
      </c>
      <c r="J100" s="47">
        <f>ARKB!H100</f>
        <v>65682.100000000006</v>
      </c>
      <c r="K100" s="20">
        <f>H100/J100</f>
        <v>5809.6436281726674</v>
      </c>
      <c r="L100" s="57">
        <f>K100-F100</f>
        <v>3.6281726670495118E-3</v>
      </c>
    </row>
    <row r="101" spans="1:16" ht="15" customHeight="1">
      <c r="A101" s="1" t="str">
        <f>SCALARS!A102</f>
        <v>Thursday</v>
      </c>
      <c r="B101" s="28">
        <f>SCALARS!B102</f>
        <v>46177</v>
      </c>
      <c r="C101" s="61">
        <f>SCALARS!H102</f>
        <v>1729.9467999999999</v>
      </c>
      <c r="D101" s="61">
        <f>G101/F100</f>
        <v>1729.8834351181829</v>
      </c>
      <c r="E101" s="61">
        <f t="shared" si="13"/>
        <v>6.3364881817051355E-2</v>
      </c>
      <c r="F101" s="141">
        <v>5809.64</v>
      </c>
      <c r="G101" s="63">
        <v>10050000</v>
      </c>
      <c r="H101" s="142">
        <v>370264100.17000002</v>
      </c>
      <c r="I101" s="142">
        <v>-86086.64</v>
      </c>
      <c r="J101" s="47">
        <f>ARKB!H101</f>
        <v>63732.67</v>
      </c>
      <c r="K101" s="20">
        <f>H101/J101</f>
        <v>5809.6436281423648</v>
      </c>
      <c r="L101" s="57">
        <f>K101-F101</f>
        <v>3.6281423645050381E-3</v>
      </c>
    </row>
    <row r="102" spans="1:16" ht="15" customHeight="1">
      <c r="A102" s="1" t="str">
        <f>SCALARS!A103</f>
        <v>Friday</v>
      </c>
      <c r="B102" s="28">
        <f>SCALARS!B103</f>
        <v>46178</v>
      </c>
      <c r="C102" s="61">
        <f>SCALARS!H103</f>
        <v>1729.9558</v>
      </c>
      <c r="D102" s="61">
        <f>G102/F101</f>
        <v>1729.8834351181829</v>
      </c>
      <c r="E102" s="61">
        <f t="shared" si="13"/>
        <v>7.2364881817065907E-2</v>
      </c>
      <c r="F102" s="141">
        <v>5809.64</v>
      </c>
      <c r="G102" s="63">
        <v>10050000</v>
      </c>
      <c r="H102" s="142">
        <v>346681478.56</v>
      </c>
      <c r="I102" s="142">
        <v>-91499.24</v>
      </c>
      <c r="J102" s="47">
        <f>ARKB!H102</f>
        <v>59673.45</v>
      </c>
      <c r="K102" s="20">
        <f>H102/J102</f>
        <v>5809.6436281126698</v>
      </c>
      <c r="L102" s="57">
        <f>K102-F102</f>
        <v>3.6281126695030252E-3</v>
      </c>
    </row>
    <row r="103" spans="1:16" ht="15" customHeight="1">
      <c r="A103" s="1" t="str">
        <f>SCALARS!A104</f>
        <v>Saturday</v>
      </c>
      <c r="B103" s="28">
        <f>SCALARS!B104</f>
        <v>46179</v>
      </c>
      <c r="C103" s="61">
        <f>SCALARS!H104</f>
        <v>1729.9648</v>
      </c>
      <c r="F103" s="18"/>
      <c r="G103" s="18"/>
      <c r="H103" s="18"/>
      <c r="I103" s="18"/>
    </row>
    <row r="104" spans="1:16" ht="15" customHeight="1">
      <c r="A104" s="1" t="str">
        <f>SCALARS!A105</f>
        <v>Sunday</v>
      </c>
      <c r="B104" s="28">
        <f>SCALARS!B105</f>
        <v>46180</v>
      </c>
      <c r="C104" s="61">
        <f>SCALARS!H105</f>
        <v>1729.9738</v>
      </c>
      <c r="F104" s="18"/>
      <c r="G104" s="18"/>
      <c r="H104" s="18"/>
      <c r="I104" s="18"/>
    </row>
    <row r="105" spans="1:16" ht="15" customHeight="1">
      <c r="A105" s="1" t="str">
        <f>SCALARS!A106</f>
        <v>Monday</v>
      </c>
      <c r="B105" s="28">
        <f>SCALARS!B106</f>
        <v>46181</v>
      </c>
      <c r="C105" s="61">
        <f>SCALARS!H106</f>
        <v>1729.9828</v>
      </c>
      <c r="D105" s="61">
        <f>G105/F102</f>
        <v>1729.8834351181829</v>
      </c>
      <c r="E105" s="61">
        <f t="shared" ref="E105:E109" si="14">C105-D105</f>
        <v>9.9364881817109563E-2</v>
      </c>
      <c r="F105" s="141">
        <v>5809.64</v>
      </c>
      <c r="G105" s="63">
        <v>10050000</v>
      </c>
      <c r="H105" s="142">
        <v>368620377.69999999</v>
      </c>
      <c r="I105" s="142">
        <v>-93417.61</v>
      </c>
      <c r="J105" s="47">
        <f>ARKB!H105</f>
        <v>63449.74</v>
      </c>
      <c r="K105" s="20">
        <f>H105/J105</f>
        <v>5809.6436281693195</v>
      </c>
      <c r="L105" s="57">
        <f>K105-F105</f>
        <v>3.6281693191995146E-3</v>
      </c>
    </row>
    <row r="106" spans="1:16" ht="15" customHeight="1">
      <c r="A106" s="1" t="str">
        <f>SCALARS!A107</f>
        <v>Tuesday</v>
      </c>
      <c r="B106" s="28">
        <f>SCALARS!B107</f>
        <v>46182</v>
      </c>
      <c r="C106" s="61">
        <f>SCALARS!H107</f>
        <v>1729.9918</v>
      </c>
      <c r="D106" s="61">
        <f>G106/F105</f>
        <v>1729.8834351181829</v>
      </c>
      <c r="E106" s="61">
        <f t="shared" si="14"/>
        <v>0.10836488181712411</v>
      </c>
      <c r="F106" s="141">
        <v>5809.64</v>
      </c>
      <c r="G106" s="63">
        <v>10050000</v>
      </c>
      <c r="H106" s="142">
        <v>359183366.88</v>
      </c>
      <c r="I106" s="142">
        <v>-95286.85</v>
      </c>
      <c r="J106" s="47">
        <f>ARKB!H106</f>
        <v>61825.37</v>
      </c>
      <c r="K106" s="20">
        <f>H106/J106</f>
        <v>5809.6436281739998</v>
      </c>
      <c r="L106" s="57">
        <f>K106-F106</f>
        <v>3.6281739994592499E-3</v>
      </c>
    </row>
    <row r="107" spans="1:16" ht="15" customHeight="1">
      <c r="A107" s="1" t="str">
        <f>SCALARS!A108</f>
        <v>Wednesday</v>
      </c>
      <c r="B107" s="28">
        <f>SCALARS!B108</f>
        <v>46183</v>
      </c>
      <c r="C107" s="61">
        <f>SCALARS!H108</f>
        <v>1730.0008</v>
      </c>
      <c r="D107" s="61">
        <f>G107/F106</f>
        <v>1729.8834351181829</v>
      </c>
      <c r="E107" s="61">
        <f t="shared" si="14"/>
        <v>0.11736488181713867</v>
      </c>
      <c r="F107" s="141">
        <v>5809.64</v>
      </c>
      <c r="G107" s="63">
        <v>10050000</v>
      </c>
      <c r="H107" s="142">
        <v>359110513.94999999</v>
      </c>
      <c r="I107" s="142">
        <v>-97155.7</v>
      </c>
      <c r="J107" s="47">
        <f>ARKB!H107</f>
        <v>61812.83</v>
      </c>
      <c r="K107" s="20">
        <f>H107/J107</f>
        <v>5809.6436281917522</v>
      </c>
      <c r="L107" s="57">
        <f>K107-F107</f>
        <v>3.6281917518863338E-3</v>
      </c>
    </row>
    <row r="108" spans="1:16" ht="15" customHeight="1">
      <c r="A108" s="1" t="str">
        <f>SCALARS!A109</f>
        <v>Thursday</v>
      </c>
      <c r="B108" s="28">
        <f>SCALARS!B109</f>
        <v>46184</v>
      </c>
      <c r="C108" s="61">
        <f>SCALARS!H109</f>
        <v>1730.0098</v>
      </c>
      <c r="D108" s="61">
        <f>G108/F107</f>
        <v>1729.8834351181829</v>
      </c>
      <c r="E108" s="61">
        <f t="shared" si="14"/>
        <v>0.12636488181715322</v>
      </c>
      <c r="F108" s="141">
        <v>5809.64</v>
      </c>
      <c r="G108" s="63">
        <v>10050000</v>
      </c>
      <c r="H108" s="142">
        <v>369406829.16000003</v>
      </c>
      <c r="I108" s="142">
        <v>-99078.13</v>
      </c>
      <c r="J108" s="47">
        <f>ARKB!H108</f>
        <v>63585.11</v>
      </c>
      <c r="K108" s="20">
        <f>H108/J108</f>
        <v>5809.6436282016348</v>
      </c>
      <c r="L108" s="57">
        <f>K108-F108</f>
        <v>3.6282016344557633E-3</v>
      </c>
    </row>
    <row r="109" spans="1:16" ht="15" customHeight="1">
      <c r="A109" s="1" t="str">
        <f>SCALARS!A110</f>
        <v>Friday</v>
      </c>
      <c r="B109" s="28">
        <f>SCALARS!B110</f>
        <v>46185</v>
      </c>
      <c r="C109" s="61">
        <f>SCALARS!H110</f>
        <v>1730.0188000000001</v>
      </c>
      <c r="D109" s="61">
        <f>G109/F108</f>
        <v>1729.8834351181829</v>
      </c>
      <c r="E109" s="61">
        <f t="shared" si="14"/>
        <v>0.13536488181716777</v>
      </c>
      <c r="F109" s="151">
        <v>5809.64</v>
      </c>
      <c r="G109" s="152">
        <v>10050000</v>
      </c>
      <c r="H109" s="142">
        <v>369807985.05000001</v>
      </c>
      <c r="I109" s="142">
        <v>-104851.66</v>
      </c>
      <c r="J109" s="47">
        <f>ARKB!H109</f>
        <v>63654.16</v>
      </c>
      <c r="K109" s="20">
        <f>H109/J109</f>
        <v>5809.6436281619299</v>
      </c>
      <c r="L109" s="57">
        <f>K109-F109</f>
        <v>3.6281619295550627E-3</v>
      </c>
    </row>
    <row r="110" spans="1:16" ht="15" customHeight="1">
      <c r="A110" s="1" t="str">
        <f>SCALARS!A111</f>
        <v>Saturday</v>
      </c>
      <c r="B110" s="28">
        <f>SCALARS!B111</f>
        <v>46186</v>
      </c>
      <c r="C110" s="61">
        <f>SCALARS!H111</f>
        <v>1730.0278000000001</v>
      </c>
      <c r="F110" s="18"/>
      <c r="G110" s="18"/>
      <c r="H110" s="18"/>
      <c r="I110" s="18"/>
    </row>
    <row r="111" spans="1:16" ht="15" customHeight="1">
      <c r="A111" s="1" t="str">
        <f>SCALARS!A112</f>
        <v>Sunday</v>
      </c>
      <c r="B111" s="28">
        <f>SCALARS!B112</f>
        <v>46187</v>
      </c>
      <c r="C111" s="61">
        <f>SCALARS!H112</f>
        <v>1730.0368000000001</v>
      </c>
      <c r="F111" s="169"/>
      <c r="G111" s="18"/>
      <c r="H111" s="18"/>
      <c r="I111" s="18"/>
    </row>
    <row r="112" spans="1:16" ht="15" customHeight="1">
      <c r="A112" s="1" t="str">
        <f>SCALARS!A113</f>
        <v>Monday</v>
      </c>
      <c r="B112" s="28">
        <f>SCALARS!B113</f>
        <v>46188</v>
      </c>
      <c r="C112" s="61">
        <f>SCALARS!H113</f>
        <v>1730.0458000000001</v>
      </c>
      <c r="D112" s="61">
        <f>G112/F109</f>
        <v>1729.8834351181829</v>
      </c>
      <c r="E112" s="61">
        <f t="shared" ref="E112:E123" si="15">C112-D112</f>
        <v>0.16236488181721143</v>
      </c>
      <c r="F112" s="151">
        <v>5722.96</v>
      </c>
      <c r="G112" s="152">
        <v>10050000</v>
      </c>
      <c r="H112" s="142">
        <v>381422157.80000001</v>
      </c>
      <c r="I112" s="142">
        <v>-106866.67</v>
      </c>
      <c r="J112" s="47">
        <f>ARKB!H112</f>
        <v>66647.740000000005</v>
      </c>
      <c r="K112" s="20">
        <f>H112/J112</f>
        <v>5722.9571145248137</v>
      </c>
      <c r="L112" s="57">
        <f>K112-F112</f>
        <v>-2.8854751863036654E-3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SCALARS!H114</f>
        <v>1730.0547999999999</v>
      </c>
      <c r="D113" s="61">
        <f>G113/F112</f>
        <v>1729.8740511902931</v>
      </c>
      <c r="E113" s="61">
        <f t="shared" si="15"/>
        <v>0.18074880970675622</v>
      </c>
      <c r="F113" s="151">
        <v>5721.8</v>
      </c>
      <c r="G113" s="152">
        <v>9900000</v>
      </c>
      <c r="H113" s="142">
        <v>375395870.30000001</v>
      </c>
      <c r="I113" s="142">
        <v>-33043.49</v>
      </c>
      <c r="J113" s="47">
        <f>ARKB!H113</f>
        <v>65607.990000000005</v>
      </c>
      <c r="K113" s="20">
        <f>H113/J113</f>
        <v>5721.8011144679176</v>
      </c>
      <c r="L113" s="57">
        <f>K113-F113</f>
        <v>1.1144679174321936E-3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SCALARS!H115</f>
        <v>1730.0637999999999</v>
      </c>
      <c r="D114" s="61">
        <f>G114/F113</f>
        <v>1730.224754447901</v>
      </c>
      <c r="E114" s="61">
        <f t="shared" si="15"/>
        <v>-0.16095444790107649</v>
      </c>
      <c r="F114" s="141">
        <v>5721.8</v>
      </c>
      <c r="G114" s="63">
        <v>9900000</v>
      </c>
      <c r="H114" s="142">
        <v>369906717.62</v>
      </c>
      <c r="I114" s="142">
        <v>-34968.86</v>
      </c>
      <c r="J114" s="47">
        <f>ARKB!H114</f>
        <v>64648.65</v>
      </c>
      <c r="K114" s="20">
        <f>H114/J114</f>
        <v>5721.8011144857628</v>
      </c>
      <c r="L114" s="57">
        <f>K114-F114</f>
        <v>1.1144857626277371E-3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SCALARS!H116</f>
        <v>1730.0727999999999</v>
      </c>
      <c r="D115" s="61">
        <f>G115/F114</f>
        <v>1730.224754447901</v>
      </c>
      <c r="E115" s="61">
        <f t="shared" si="15"/>
        <v>-0.15195444790106194</v>
      </c>
      <c r="F115" s="141">
        <v>5721.8</v>
      </c>
      <c r="G115" s="63">
        <v>9900000</v>
      </c>
      <c r="H115" s="142">
        <v>358938940.37</v>
      </c>
      <c r="I115" s="142">
        <v>-42441.94</v>
      </c>
      <c r="J115" s="47">
        <f>ARKB!H115</f>
        <v>62731.81</v>
      </c>
      <c r="K115" s="20">
        <f>H115/J115</f>
        <v>5721.801114458518</v>
      </c>
      <c r="L115" s="57">
        <f>K115-F115</f>
        <v>1.1144585178044508E-3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SCALARS!H117</f>
        <v>1730.0817999999999</v>
      </c>
      <c r="D116" s="161" t="s">
        <v>73</v>
      </c>
      <c r="E116" s="61"/>
      <c r="F116" s="141"/>
      <c r="G116" s="63"/>
      <c r="H116" s="142"/>
      <c r="I116" s="142"/>
      <c r="J116" s="47"/>
      <c r="K116" s="20"/>
      <c r="L116" s="57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SCALARS!H118</f>
        <v>1730.0907999999999</v>
      </c>
      <c r="E117" s="61"/>
      <c r="F117" s="18"/>
      <c r="G117" s="18"/>
      <c r="H117" s="18"/>
      <c r="I117" s="18"/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SCALARS!H119</f>
        <v>1730.0998</v>
      </c>
      <c r="E118" s="61"/>
      <c r="F118" s="18"/>
      <c r="G118" s="18"/>
      <c r="H118" s="18"/>
      <c r="I118" s="18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SCALARS!H120</f>
        <v>1730.1088</v>
      </c>
      <c r="D119" s="61">
        <f>G119/F115</f>
        <v>1730.224754447901</v>
      </c>
      <c r="E119" s="61">
        <f t="shared" si="15"/>
        <v>-0.11595444790100373</v>
      </c>
      <c r="F119" s="141">
        <v>5779.59</v>
      </c>
      <c r="G119" s="63">
        <v>9900000</v>
      </c>
      <c r="H119" s="142">
        <v>371726373.38999999</v>
      </c>
      <c r="I119" s="142">
        <v>-44357.38</v>
      </c>
      <c r="J119" s="47">
        <f>ARKB!H119</f>
        <v>64317.06</v>
      </c>
      <c r="K119" s="20">
        <f>H119/J119</f>
        <v>5779.5921236138593</v>
      </c>
      <c r="L119" s="57">
        <f>K119-F119</f>
        <v>2.1236138591120834E-3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SCALARS!H121</f>
        <v>1730.1178</v>
      </c>
      <c r="D120" s="61">
        <f>G120/F119</f>
        <v>1730.2265385606936</v>
      </c>
      <c r="E120" s="61">
        <f t="shared" si="15"/>
        <v>-0.10873856069360954</v>
      </c>
      <c r="F120" s="141">
        <v>5779.59</v>
      </c>
      <c r="G120" s="63">
        <v>10000000</v>
      </c>
      <c r="H120" s="142">
        <v>359887052.31</v>
      </c>
      <c r="I120" s="142">
        <v>-46230.53</v>
      </c>
      <c r="J120" s="47">
        <f>ARKB!H120</f>
        <v>62268.59</v>
      </c>
      <c r="K120" s="20">
        <f>H120/J120</f>
        <v>5779.5921235730566</v>
      </c>
      <c r="L120" s="57">
        <f>K120-F120</f>
        <v>2.1235730564512778E-3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SCALARS!H122</f>
        <v>1730.1268</v>
      </c>
      <c r="D121" s="61">
        <f>G121/F120</f>
        <v>1730.2265385606936</v>
      </c>
      <c r="E121" s="61">
        <f t="shared" si="15"/>
        <v>-9.9738560693594991E-2</v>
      </c>
      <c r="F121" s="141">
        <v>5779.59</v>
      </c>
      <c r="G121" s="63">
        <v>10000000</v>
      </c>
      <c r="H121" s="142">
        <v>344854333.19999999</v>
      </c>
      <c r="I121" s="142">
        <v>-48025.42</v>
      </c>
      <c r="J121" s="47">
        <f>ARKB!H121</f>
        <v>59667.59</v>
      </c>
      <c r="K121" s="20">
        <f>H121/J121</f>
        <v>5779.5921236302656</v>
      </c>
      <c r="L121" s="57">
        <f>K121-F121</f>
        <v>2.1236302654870087E-3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SCALARS!H123</f>
        <v>1730.1358</v>
      </c>
      <c r="D122" s="61">
        <f>G122/F121</f>
        <v>1730.2265385606936</v>
      </c>
      <c r="E122" s="61">
        <f t="shared" si="15"/>
        <v>-9.0738560693580439E-2</v>
      </c>
      <c r="F122" s="141">
        <v>5664.02</v>
      </c>
      <c r="G122" s="63">
        <v>10000000</v>
      </c>
      <c r="H122" s="142">
        <v>335437719.75999999</v>
      </c>
      <c r="I122" s="142">
        <v>-49806.91</v>
      </c>
      <c r="J122" s="47">
        <f>ARKB!H122</f>
        <v>59222.59</v>
      </c>
      <c r="K122" s="20">
        <f>H122/J122</f>
        <v>5664.0163788851523</v>
      </c>
      <c r="L122" s="57">
        <f>K122-F122</f>
        <v>-3.6211148481015698E-3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SCALARS!H124</f>
        <v>1730.1448</v>
      </c>
      <c r="D123" s="61">
        <f>G123/F122</f>
        <v>1730.2198791670933</v>
      </c>
      <c r="E123" s="61">
        <f t="shared" si="15"/>
        <v>-7.507916709323581E-2</v>
      </c>
      <c r="F123" s="141">
        <v>5664.02</v>
      </c>
      <c r="G123" s="63">
        <v>9800000</v>
      </c>
      <c r="H123" s="142">
        <v>338782378.06999999</v>
      </c>
      <c r="I123" s="142">
        <v>-55096.72</v>
      </c>
      <c r="J123" s="47">
        <f>ARKB!H123</f>
        <v>59813.1</v>
      </c>
      <c r="K123" s="20">
        <f>H123/J123</f>
        <v>5664.0163788534619</v>
      </c>
      <c r="L123" s="57">
        <f>K123-F123</f>
        <v>-3.6211465385349584E-3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SCALARS!H125</f>
        <v>1730.1538</v>
      </c>
      <c r="F124" s="18"/>
      <c r="G124" s="18"/>
      <c r="H124" s="18"/>
      <c r="I124" s="18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SCALARS!H126</f>
        <v>1730.1628000000001</v>
      </c>
      <c r="F125" s="18"/>
      <c r="G125" s="18"/>
      <c r="H125" s="18"/>
      <c r="I125" s="18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SCALARS!H127</f>
        <v>1730.1718000000001</v>
      </c>
      <c r="D126" s="61">
        <f>G126/F123</f>
        <v>1730.2198791670933</v>
      </c>
      <c r="E126" s="61">
        <f t="shared" ref="E126:E127" si="16">C126-D126</f>
        <v>-4.8079167093192154E-2</v>
      </c>
      <c r="F126" s="141">
        <v>5664.02</v>
      </c>
      <c r="G126" s="63">
        <v>9800000</v>
      </c>
      <c r="H126" s="142">
        <v>341331242.07999998</v>
      </c>
      <c r="I126" s="142">
        <v>-56873.23</v>
      </c>
      <c r="J126" s="47">
        <f>ARKB!H126</f>
        <v>60263.11</v>
      </c>
      <c r="K126" s="20">
        <f>H126/J126</f>
        <v>5664.0163788427117</v>
      </c>
      <c r="L126" s="57">
        <f>K126-F126</f>
        <v>-3.6211572887623333E-3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SCALARS!H128</f>
        <v>1730.1808000000001</v>
      </c>
      <c r="D127" s="61">
        <f>G127/F126</f>
        <v>1730.2198791670933</v>
      </c>
      <c r="E127" s="61">
        <f t="shared" si="16"/>
        <v>-3.9079167093177603E-2</v>
      </c>
      <c r="F127" s="141">
        <v>5664.02</v>
      </c>
      <c r="G127" s="63">
        <v>9800000</v>
      </c>
      <c r="H127" s="142">
        <v>331942002.13</v>
      </c>
      <c r="I127" s="142">
        <v>-58600.85</v>
      </c>
      <c r="J127" s="47">
        <f>ARKB!H127</f>
        <v>58605.41</v>
      </c>
      <c r="K127" s="20">
        <f>H127/J127</f>
        <v>5664.0163788633163</v>
      </c>
      <c r="L127" s="57">
        <f>K127-F127</f>
        <v>-3.6211366841598647E-3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SCALARS!H129</f>
        <v>1730.1898000000001</v>
      </c>
      <c r="D128" s="61">
        <f>G128/F127</f>
        <v>1730.2198791670933</v>
      </c>
      <c r="E128" s="61">
        <f t="shared" ref="E128:E129" si="17">C128-D128</f>
        <v>-3.0079167093163051E-2</v>
      </c>
      <c r="F128" s="141">
        <v>5721.8</v>
      </c>
      <c r="G128" s="63">
        <v>9800000</v>
      </c>
      <c r="H128" s="142">
        <v>344142946.61000001</v>
      </c>
      <c r="I128" s="142">
        <v>-60373.88</v>
      </c>
      <c r="J128" s="47">
        <f>ARKB!H128</f>
        <v>60145.9</v>
      </c>
      <c r="K128" s="20">
        <f t="shared" ref="K128:K158" si="18">H128/J128</f>
        <v>5721.8022610019971</v>
      </c>
      <c r="L128" s="57">
        <f>K128-F128</f>
        <v>2.2610019968851702E-3</v>
      </c>
    </row>
    <row r="129" spans="1:12" ht="15" customHeight="1">
      <c r="A129" s="1" t="str">
        <f>SCALARS!A130</f>
        <v>Thursday</v>
      </c>
      <c r="B129" s="28">
        <f>SCALARS!B130</f>
        <v>46205</v>
      </c>
      <c r="C129" s="61">
        <f>SCALARS!H130</f>
        <v>1730.1987999999999</v>
      </c>
      <c r="D129" s="61">
        <f>G129/F128</f>
        <v>1730.224754447901</v>
      </c>
      <c r="E129" s="61">
        <f t="shared" si="17"/>
        <v>-2.5954447901085587E-2</v>
      </c>
      <c r="F129" s="141">
        <v>5721.8</v>
      </c>
      <c r="G129" s="63">
        <v>9900000</v>
      </c>
      <c r="H129" s="142">
        <v>352088184.00999999</v>
      </c>
      <c r="I129" s="142">
        <v>-67703.759999999995</v>
      </c>
      <c r="J129" s="47">
        <f>ARKB!H129</f>
        <v>61534.49</v>
      </c>
      <c r="K129" s="20">
        <f t="shared" si="18"/>
        <v>5721.8022609759182</v>
      </c>
      <c r="L129" s="57">
        <f>K129-F129</f>
        <v>2.2609759180340916E-3</v>
      </c>
    </row>
    <row r="130" spans="1:12" ht="15" customHeight="1">
      <c r="A130" s="1" t="str">
        <f>SCALARS!A131</f>
        <v>Friday</v>
      </c>
      <c r="B130" s="28">
        <f>SCALARS!B131</f>
        <v>46206</v>
      </c>
      <c r="C130" s="61">
        <f>SCALARS!H131</f>
        <v>1730.2077999999999</v>
      </c>
      <c r="D130" s="161" t="s">
        <v>73</v>
      </c>
      <c r="E130" s="61"/>
      <c r="F130" s="141"/>
      <c r="G130" s="63"/>
      <c r="H130" s="142"/>
      <c r="I130" s="142"/>
      <c r="J130" s="47"/>
      <c r="K130" s="20"/>
      <c r="L130" s="57"/>
    </row>
    <row r="131" spans="1:12" ht="15" customHeight="1">
      <c r="A131" s="1" t="str">
        <f>SCALARS!A132</f>
        <v>Saturday</v>
      </c>
      <c r="B131" s="28">
        <f>SCALARS!B132</f>
        <v>46207</v>
      </c>
      <c r="C131" s="61">
        <f>SCALARS!H132</f>
        <v>1730.2167999999999</v>
      </c>
      <c r="D131" s="61"/>
      <c r="E131" s="61"/>
      <c r="F131" s="141"/>
      <c r="G131" s="63"/>
      <c r="H131" s="142"/>
      <c r="I131" s="142"/>
      <c r="J131" s="47"/>
      <c r="K131" s="20"/>
      <c r="L131" s="57"/>
    </row>
    <row r="132" spans="1:12" ht="15" customHeight="1">
      <c r="A132" s="1" t="str">
        <f>SCALARS!A133</f>
        <v>Sunday</v>
      </c>
      <c r="B132" s="28">
        <f>SCALARS!B133</f>
        <v>46208</v>
      </c>
      <c r="C132" s="61">
        <f>SCALARS!H133</f>
        <v>1730.2257999999999</v>
      </c>
      <c r="D132" s="61"/>
      <c r="E132" s="61"/>
      <c r="F132" s="141"/>
      <c r="G132" s="63"/>
      <c r="H132" s="142"/>
      <c r="I132" s="142"/>
      <c r="J132" s="47"/>
      <c r="K132" s="20"/>
      <c r="L132" s="57"/>
    </row>
    <row r="133" spans="1:12" ht="15" customHeight="1">
      <c r="A133" s="1" t="str">
        <f>SCALARS!A134</f>
        <v>Monday</v>
      </c>
      <c r="B133" s="28">
        <f>SCALARS!B134</f>
        <v>46209</v>
      </c>
      <c r="C133" s="61">
        <f>SCALARS!H134</f>
        <v>1730.2348</v>
      </c>
      <c r="D133" s="61">
        <f>G133/K129</f>
        <v>1730.2240707478491</v>
      </c>
      <c r="E133" s="61">
        <f>C133-D133</f>
        <v>1.0729252150895263E-2</v>
      </c>
      <c r="F133" s="141">
        <v>5721.8</v>
      </c>
      <c r="G133" s="63">
        <v>9900000</v>
      </c>
      <c r="H133" s="142">
        <v>364715114.45999998</v>
      </c>
      <c r="I133" s="142">
        <v>-69601.919999999998</v>
      </c>
      <c r="J133" s="47">
        <f>ARKB!H133</f>
        <v>63741.3</v>
      </c>
      <c r="K133" s="20">
        <f t="shared" si="18"/>
        <v>5721.8022610144435</v>
      </c>
      <c r="L133" s="57">
        <f t="shared" ref="L133:L158" si="19">K133-F133</f>
        <v>2.261014443320164E-3</v>
      </c>
    </row>
    <row r="134" spans="1:12" ht="15" customHeight="1">
      <c r="A134" s="1" t="str">
        <f>SCALARS!A135</f>
        <v>Tuesday</v>
      </c>
      <c r="B134" s="28">
        <f>SCALARS!B135</f>
        <v>46210</v>
      </c>
      <c r="C134" s="61">
        <f>SCALARS!H135</f>
        <v>1730.2438</v>
      </c>
      <c r="D134" s="61">
        <f>G134/K133</f>
        <v>1730.2240707361993</v>
      </c>
      <c r="E134" s="61">
        <f>C134-D134</f>
        <v>1.972926380062745E-2</v>
      </c>
      <c r="F134" s="141">
        <v>5721.8</v>
      </c>
      <c r="G134" s="63">
        <v>9900000</v>
      </c>
      <c r="H134" s="142">
        <v>364199179.55000001</v>
      </c>
      <c r="I134" s="142">
        <v>-71497.39</v>
      </c>
      <c r="J134" s="47">
        <f>ARKB!H134</f>
        <v>63651.13</v>
      </c>
      <c r="K134" s="20">
        <f t="shared" si="18"/>
        <v>5721.8022610124917</v>
      </c>
      <c r="L134" s="57">
        <f t="shared" si="19"/>
        <v>2.261012491544534E-3</v>
      </c>
    </row>
    <row r="135" spans="1:12" ht="15" customHeight="1">
      <c r="A135" s="1" t="str">
        <f>SCALARS!A136</f>
        <v>Wednesday</v>
      </c>
      <c r="B135" s="28">
        <f>SCALARS!B136</f>
        <v>46211</v>
      </c>
      <c r="C135" s="61">
        <f>SCALARS!H136</f>
        <v>1730.2528</v>
      </c>
      <c r="D135" s="61">
        <f t="shared" ref="D135:D158" si="20">G135/K134</f>
        <v>1730.2240707367896</v>
      </c>
      <c r="E135" s="61">
        <f t="shared" ref="E135:E156" si="21">C135-D135</f>
        <v>2.8729263210379941E-2</v>
      </c>
      <c r="F135" s="141">
        <v>5721.8</v>
      </c>
      <c r="G135" s="63">
        <v>9900000</v>
      </c>
      <c r="H135" s="142">
        <v>355557541.60000002</v>
      </c>
      <c r="I135" s="142">
        <v>-73347.87</v>
      </c>
      <c r="J135" s="47">
        <f>ARKB!H135</f>
        <v>62140.83</v>
      </c>
      <c r="K135" s="20">
        <f t="shared" si="18"/>
        <v>5721.8022610898506</v>
      </c>
      <c r="L135" s="57">
        <f t="shared" si="19"/>
        <v>2.2610898504353827E-3</v>
      </c>
    </row>
    <row r="136" spans="1:12" ht="15" customHeight="1">
      <c r="A136" s="1" t="str">
        <f>SCALARS!A137</f>
        <v>Thursday</v>
      </c>
      <c r="B136" s="28">
        <f>SCALARS!B137</f>
        <v>46212</v>
      </c>
      <c r="C136" s="61">
        <f>SCALARS!H137</f>
        <v>1730.2618</v>
      </c>
      <c r="D136" s="61">
        <f t="shared" si="20"/>
        <v>1730.2240707133969</v>
      </c>
      <c r="E136" s="61">
        <f t="shared" si="21"/>
        <v>3.7729286603052969E-2</v>
      </c>
      <c r="F136" s="141">
        <v>5721.8</v>
      </c>
      <c r="G136" s="63">
        <v>9900000</v>
      </c>
      <c r="H136" s="142">
        <v>361607889.74000001</v>
      </c>
      <c r="I136" s="176"/>
      <c r="J136" s="47">
        <f>ARKB!H136</f>
        <v>63198.25</v>
      </c>
      <c r="K136" s="20">
        <f t="shared" si="18"/>
        <v>5721.8022609803284</v>
      </c>
      <c r="L136" s="57">
        <f t="shared" si="19"/>
        <v>2.2609803281739005E-3</v>
      </c>
    </row>
    <row r="137" spans="1:12" ht="15" customHeight="1">
      <c r="A137" s="1" t="str">
        <f>SCALARS!A138</f>
        <v>Friday</v>
      </c>
      <c r="B137" s="28">
        <f>SCALARS!B138</f>
        <v>46213</v>
      </c>
      <c r="C137" s="61">
        <f>SCALARS!H138</f>
        <v>1730.2708</v>
      </c>
      <c r="D137" s="61">
        <f t="shared" si="20"/>
        <v>1730.2240707465155</v>
      </c>
      <c r="E137" s="61">
        <f t="shared" si="21"/>
        <v>4.6729253484500077E-2</v>
      </c>
      <c r="F137" s="141">
        <v>5721.8</v>
      </c>
      <c r="G137" s="63">
        <v>9900000</v>
      </c>
      <c r="H137" s="142">
        <v>365479776.11000001</v>
      </c>
      <c r="I137" s="142">
        <v>-80936.160000000003</v>
      </c>
      <c r="J137" s="47">
        <f>ARKB!H137</f>
        <v>63874.94</v>
      </c>
      <c r="K137" s="20">
        <f t="shared" si="18"/>
        <v>5721.8022609492864</v>
      </c>
      <c r="L137" s="57">
        <f t="shared" si="19"/>
        <v>2.2609492862102343E-3</v>
      </c>
    </row>
    <row r="138" spans="1:12" ht="15" customHeight="1">
      <c r="A138" s="1" t="str">
        <f>SCALARS!A139</f>
        <v>Saturday</v>
      </c>
      <c r="B138" s="28">
        <f>SCALARS!B139</f>
        <v>46214</v>
      </c>
      <c r="C138" s="61">
        <f>SCALARS!H139</f>
        <v>1730.2798</v>
      </c>
      <c r="D138" s="61"/>
      <c r="E138" s="61"/>
      <c r="F138" s="141"/>
      <c r="G138" s="63"/>
      <c r="H138" s="142"/>
      <c r="I138" s="142"/>
      <c r="J138" s="47"/>
      <c r="K138" s="20"/>
      <c r="L138" s="57"/>
    </row>
    <row r="139" spans="1:12" ht="15" customHeight="1">
      <c r="A139" s="1" t="str">
        <f>SCALARS!A140</f>
        <v>Sunday</v>
      </c>
      <c r="B139" s="28">
        <f>SCALARS!B140</f>
        <v>46215</v>
      </c>
      <c r="C139" s="61">
        <f>SCALARS!H140</f>
        <v>1730.2888</v>
      </c>
      <c r="D139" s="61"/>
      <c r="E139" s="61"/>
      <c r="F139" s="141"/>
      <c r="G139" s="63"/>
      <c r="H139" s="142"/>
      <c r="I139" s="142"/>
      <c r="J139" s="47"/>
      <c r="K139" s="20"/>
      <c r="L139" s="57"/>
    </row>
    <row r="140" spans="1:12" ht="15" customHeight="1">
      <c r="A140" s="1" t="str">
        <f>SCALARS!A141</f>
        <v>Monday</v>
      </c>
      <c r="B140" s="28">
        <f>SCALARS!B141</f>
        <v>46216</v>
      </c>
      <c r="C140" s="61">
        <f>SCALARS!H141</f>
        <v>1730.2978000000001</v>
      </c>
      <c r="D140" s="61">
        <f>G140/K137</f>
        <v>1730.2240707559024</v>
      </c>
      <c r="E140" s="61">
        <f t="shared" si="21"/>
        <v>7.3729244097648916E-2</v>
      </c>
      <c r="F140" s="141">
        <v>5720.89</v>
      </c>
      <c r="G140" s="63">
        <v>9900000</v>
      </c>
      <c r="H140" s="142">
        <v>354876675.89999998</v>
      </c>
      <c r="I140" s="142">
        <v>-25864.37</v>
      </c>
      <c r="J140" s="47">
        <f>ARKB!H140</f>
        <v>62031.75</v>
      </c>
      <c r="K140" s="20">
        <f t="shared" si="18"/>
        <v>5720.8877050865076</v>
      </c>
      <c r="L140" s="57">
        <f t="shared" si="19"/>
        <v>-2.2949134927330306E-3</v>
      </c>
    </row>
    <row r="141" spans="1:12" ht="15" customHeight="1">
      <c r="A141" s="1" t="str">
        <f>SCALARS!A142</f>
        <v>Tuesday</v>
      </c>
      <c r="B141" s="28">
        <f>SCALARS!B142</f>
        <v>46217</v>
      </c>
      <c r="C141" s="61">
        <f>SCALARS!H142</f>
        <v>1730.3068000000001</v>
      </c>
      <c r="D141" s="61">
        <f t="shared" si="20"/>
        <v>1730.5006688381236</v>
      </c>
      <c r="E141" s="61">
        <f t="shared" si="21"/>
        <v>-0.19386883812353517</v>
      </c>
      <c r="F141" s="141">
        <v>5720.89</v>
      </c>
      <c r="G141" s="63">
        <v>9900000</v>
      </c>
      <c r="H141" s="142">
        <v>369253953.20999998</v>
      </c>
      <c r="I141" s="142">
        <v>-27786.38</v>
      </c>
      <c r="J141" s="47">
        <f>ARKB!H141</f>
        <v>64544.87</v>
      </c>
      <c r="K141" s="20">
        <f t="shared" si="18"/>
        <v>5720.8877050956953</v>
      </c>
      <c r="L141" s="57">
        <f t="shared" si="19"/>
        <v>-2.2949043050175533E-3</v>
      </c>
    </row>
    <row r="142" spans="1:12" ht="15" customHeight="1">
      <c r="A142" s="1" t="str">
        <f>SCALARS!A143</f>
        <v>Wednesday</v>
      </c>
      <c r="B142" s="28">
        <f>SCALARS!B143</f>
        <v>46218</v>
      </c>
      <c r="C142" s="61">
        <f>SCALARS!H143</f>
        <v>1730.3158000000001</v>
      </c>
      <c r="D142" s="61">
        <f t="shared" si="20"/>
        <v>1730.5006688353446</v>
      </c>
      <c r="E142" s="61">
        <f t="shared" si="21"/>
        <v>-0.18486883534455956</v>
      </c>
      <c r="F142" s="141">
        <v>5720.89</v>
      </c>
      <c r="G142" s="63">
        <v>9900000</v>
      </c>
      <c r="H142" s="142">
        <v>371069019.25999999</v>
      </c>
      <c r="I142" s="142">
        <v>-29717.83</v>
      </c>
      <c r="J142" s="47">
        <f>ARKB!H142</f>
        <v>64862.14</v>
      </c>
      <c r="K142" s="20">
        <f t="shared" si="18"/>
        <v>5720.8877052160169</v>
      </c>
      <c r="L142" s="57">
        <f t="shared" si="19"/>
        <v>-2.2947839834159822E-3</v>
      </c>
    </row>
    <row r="143" spans="1:12" ht="15" customHeight="1">
      <c r="A143" s="1" t="str">
        <f>SCALARS!A144</f>
        <v>Thursday</v>
      </c>
      <c r="B143" s="28">
        <f>SCALARS!B144</f>
        <v>46219</v>
      </c>
      <c r="C143" s="61">
        <f>SCALARS!H144</f>
        <v>1730.3248000000001</v>
      </c>
      <c r="D143" s="61">
        <f t="shared" si="20"/>
        <v>1730.5006687989487</v>
      </c>
      <c r="E143" s="61">
        <f t="shared" si="21"/>
        <v>-0.1758687989486134</v>
      </c>
      <c r="F143" s="141">
        <v>5720.89</v>
      </c>
      <c r="G143" s="63">
        <v>9900000</v>
      </c>
      <c r="H143" s="142">
        <v>367197694.55000001</v>
      </c>
      <c r="I143" s="142">
        <v>-31629.119999999999</v>
      </c>
      <c r="J143" s="47">
        <f>ARKB!H143</f>
        <v>64185.440000000002</v>
      </c>
      <c r="K143" s="20">
        <f t="shared" si="18"/>
        <v>5720.8877052178814</v>
      </c>
      <c r="L143" s="57">
        <f t="shared" si="19"/>
        <v>-2.2947821189518436E-3</v>
      </c>
    </row>
    <row r="144" spans="1:12" ht="15" customHeight="1">
      <c r="A144" s="1" t="str">
        <f>SCALARS!A145</f>
        <v>Friday</v>
      </c>
      <c r="B144" s="28">
        <f>SCALARS!B145</f>
        <v>46220</v>
      </c>
      <c r="C144" s="61">
        <f>SCALARS!H145</f>
        <v>1730.3338000000001</v>
      </c>
      <c r="D144" s="61">
        <f>G144/K143</f>
        <v>1730.5006687983846</v>
      </c>
      <c r="E144" s="61">
        <f t="shared" si="21"/>
        <v>-0.16686879838448476</v>
      </c>
      <c r="F144" s="141">
        <v>5720.89</v>
      </c>
      <c r="G144" s="63">
        <v>9900000</v>
      </c>
      <c r="H144" s="142">
        <v>366655640.33999997</v>
      </c>
      <c r="I144" s="142">
        <v>-37354.47</v>
      </c>
      <c r="J144" s="47">
        <f>ARKB!H144</f>
        <v>64090.69</v>
      </c>
      <c r="K144" s="20">
        <f t="shared" si="18"/>
        <v>5720.8877036586746</v>
      </c>
      <c r="L144" s="57">
        <f t="shared" si="19"/>
        <v>-2.2963413257457432E-3</v>
      </c>
    </row>
    <row r="145" spans="1:12" ht="15" customHeight="1">
      <c r="A145" s="1" t="str">
        <f>SCALARS!A146</f>
        <v>Saturday</v>
      </c>
      <c r="B145" s="28">
        <f>SCALARS!B146</f>
        <v>46221</v>
      </c>
      <c r="C145" s="61">
        <f>SCALARS!H146</f>
        <v>1730.3427999999999</v>
      </c>
      <c r="D145" s="61"/>
      <c r="E145" s="61"/>
      <c r="F145" s="141"/>
      <c r="G145" s="63"/>
      <c r="H145" s="142"/>
      <c r="I145" s="142"/>
      <c r="J145" s="47"/>
      <c r="K145" s="20"/>
      <c r="L145" s="57"/>
    </row>
    <row r="146" spans="1:12" ht="15" customHeight="1">
      <c r="A146" s="1" t="str">
        <f>SCALARS!A147</f>
        <v>Sunday</v>
      </c>
      <c r="B146" s="28">
        <f>SCALARS!B147</f>
        <v>46222</v>
      </c>
      <c r="C146" s="61">
        <f>SCALARS!H147</f>
        <v>1730.3517999999999</v>
      </c>
      <c r="D146" s="61"/>
      <c r="E146" s="61"/>
      <c r="F146" s="141"/>
      <c r="G146" s="63"/>
      <c r="H146" s="142"/>
      <c r="I146" s="142"/>
      <c r="J146" s="47"/>
      <c r="K146" s="20"/>
      <c r="L146" s="57"/>
    </row>
    <row r="147" spans="1:12" ht="15" customHeight="1">
      <c r="A147" s="1" t="str">
        <f>SCALARS!A148</f>
        <v>Monday</v>
      </c>
      <c r="B147" s="28">
        <f>SCALARS!B148</f>
        <v>46223</v>
      </c>
      <c r="C147" s="61">
        <f>SCALARS!H148</f>
        <v>1730.3607999999999</v>
      </c>
      <c r="D147" s="61">
        <f>G147/K144</f>
        <v>1730.5006692700263</v>
      </c>
      <c r="E147" s="61">
        <f t="shared" si="21"/>
        <v>-0.1398692700263382</v>
      </c>
      <c r="F147" s="141">
        <v>5720.89</v>
      </c>
      <c r="G147" s="63">
        <v>9900000</v>
      </c>
      <c r="H147" s="142">
        <v>372361310.57999998</v>
      </c>
      <c r="I147" s="142">
        <v>-39292.6</v>
      </c>
      <c r="J147" s="47">
        <f>ARKB!H147</f>
        <v>65088.03</v>
      </c>
      <c r="K147" s="20">
        <f t="shared" si="18"/>
        <v>5720.8877051586906</v>
      </c>
      <c r="L147" s="57">
        <f t="shared" si="19"/>
        <v>-2.2948413097765297E-3</v>
      </c>
    </row>
    <row r="148" spans="1:12" ht="15" customHeight="1">
      <c r="A148" s="1" t="str">
        <f>SCALARS!A149</f>
        <v>Tuesday</v>
      </c>
      <c r="B148" s="28">
        <f>SCALARS!B149</f>
        <v>46224</v>
      </c>
      <c r="C148" s="61">
        <f>SCALARS!H149</f>
        <v>1730.3697999999999</v>
      </c>
      <c r="D148" s="61">
        <f t="shared" si="20"/>
        <v>1730.5006688162891</v>
      </c>
      <c r="E148" s="61">
        <f>C148-D148</f>
        <v>-0.130868816289194</v>
      </c>
      <c r="F148" s="141">
        <v>5720.89</v>
      </c>
      <c r="G148" s="63">
        <v>9900000</v>
      </c>
      <c r="H148" s="142">
        <v>379716369.86000001</v>
      </c>
      <c r="I148" s="142">
        <v>-41269</v>
      </c>
      <c r="J148" s="47">
        <f>ARKB!H148</f>
        <v>66373.679999999993</v>
      </c>
      <c r="K148" s="20">
        <f t="shared" si="18"/>
        <v>5720.8877051867557</v>
      </c>
      <c r="L148" s="57">
        <f t="shared" si="19"/>
        <v>-2.2948132445890224E-3</v>
      </c>
    </row>
    <row r="149" spans="1:12" ht="15" customHeight="1">
      <c r="A149" s="1" t="str">
        <f>SCALARS!A150</f>
        <v>Wednesday</v>
      </c>
      <c r="B149" s="28">
        <f>SCALARS!B150</f>
        <v>46225</v>
      </c>
      <c r="C149" s="61">
        <f>SCALARS!H150</f>
        <v>1730.3788</v>
      </c>
      <c r="D149" s="61">
        <f t="shared" si="20"/>
        <v>1730.5006688077999</v>
      </c>
      <c r="E149" s="61">
        <f t="shared" si="21"/>
        <v>-0.1218688077999559</v>
      </c>
      <c r="F149" s="141">
        <v>5720.89</v>
      </c>
      <c r="G149" s="63">
        <v>9900000</v>
      </c>
      <c r="H149" s="142">
        <v>376662331.16000003</v>
      </c>
      <c r="I149" s="142">
        <v>-43229.49</v>
      </c>
      <c r="J149" s="47">
        <f>ARKB!H149</f>
        <v>65839.839999999997</v>
      </c>
      <c r="K149" s="20">
        <f t="shared" si="18"/>
        <v>5720.8877050734027</v>
      </c>
      <c r="L149" s="57">
        <f t="shared" si="19"/>
        <v>-2.2949265976421884E-3</v>
      </c>
    </row>
    <row r="150" spans="1:12" ht="15" customHeight="1">
      <c r="A150" s="1" t="str">
        <f>SCALARS!A151</f>
        <v>Thursday</v>
      </c>
      <c r="B150" s="28">
        <f>SCALARS!B151</f>
        <v>46226</v>
      </c>
      <c r="C150" s="61">
        <f>SCALARS!H151</f>
        <v>1730.3878</v>
      </c>
      <c r="D150" s="61">
        <f t="shared" si="20"/>
        <v>1730.5006688420879</v>
      </c>
      <c r="E150" s="61">
        <f t="shared" si="21"/>
        <v>-0.11286884208789161</v>
      </c>
      <c r="F150" s="141">
        <v>5634.22</v>
      </c>
      <c r="G150" s="63">
        <v>9900000</v>
      </c>
      <c r="H150" s="142">
        <v>364922297.57999998</v>
      </c>
      <c r="I150" s="142">
        <v>-45158.080000000002</v>
      </c>
      <c r="J150" s="47">
        <f>ARKB!H150</f>
        <v>64768.94</v>
      </c>
      <c r="K150" s="20">
        <f t="shared" si="18"/>
        <v>5634.2175366773017</v>
      </c>
      <c r="L150" s="57">
        <f t="shared" si="19"/>
        <v>-2.4633226985315559E-3</v>
      </c>
    </row>
    <row r="151" spans="1:12" ht="15" customHeight="1">
      <c r="A151" s="1" t="str">
        <f>SCALARS!A152</f>
        <v>Friday</v>
      </c>
      <c r="B151" s="28">
        <f>SCALARS!B152</f>
        <v>46227</v>
      </c>
      <c r="C151" s="61">
        <f>SCALARS!H152</f>
        <v>1730.3968</v>
      </c>
      <c r="D151" s="61">
        <f>G151/K150</f>
        <v>1730.4976132941295</v>
      </c>
      <c r="E151" s="61">
        <f t="shared" si="21"/>
        <v>-0.10081329412946616</v>
      </c>
      <c r="F151" s="141">
        <v>5634.22</v>
      </c>
      <c r="G151" s="63">
        <v>9750000</v>
      </c>
      <c r="H151" s="142">
        <v>361446323.41000003</v>
      </c>
      <c r="I151" s="142">
        <v>-50801.85</v>
      </c>
      <c r="J151" s="47">
        <f>ARKB!H151</f>
        <v>64152</v>
      </c>
      <c r="K151" s="20">
        <f t="shared" si="18"/>
        <v>5634.2175366317497</v>
      </c>
      <c r="L151" s="57">
        <f t="shared" si="19"/>
        <v>-2.4633682505736942E-3</v>
      </c>
    </row>
    <row r="152" spans="1:12" ht="15" customHeight="1">
      <c r="A152" s="1" t="str">
        <f>SCALARS!A153</f>
        <v>Saturday</v>
      </c>
      <c r="B152" s="28">
        <f>SCALARS!B153</f>
        <v>46228</v>
      </c>
      <c r="C152" s="61">
        <f>SCALARS!H153</f>
        <v>1730.4058</v>
      </c>
      <c r="D152" s="61"/>
      <c r="E152" s="61"/>
      <c r="F152" s="141"/>
      <c r="G152" s="63"/>
      <c r="H152" s="142"/>
      <c r="I152" s="142"/>
      <c r="J152" s="47"/>
      <c r="K152" s="20"/>
      <c r="L152" s="57"/>
    </row>
    <row r="153" spans="1:12" ht="15" customHeight="1">
      <c r="A153" s="1" t="str">
        <f>SCALARS!A154</f>
        <v>Sunday</v>
      </c>
      <c r="B153" s="28">
        <f>SCALARS!B154</f>
        <v>46229</v>
      </c>
      <c r="C153" s="61">
        <f>SCALARS!H154</f>
        <v>1730.4148</v>
      </c>
      <c r="D153" s="61"/>
      <c r="E153" s="61"/>
      <c r="F153" s="141"/>
      <c r="G153" s="63"/>
      <c r="H153" s="142"/>
      <c r="I153" s="142"/>
      <c r="J153" s="47"/>
      <c r="K153" s="20"/>
      <c r="L153" s="57"/>
    </row>
    <row r="154" spans="1:12" ht="15" customHeight="1">
      <c r="A154" s="1" t="str">
        <f>SCALARS!A155</f>
        <v>Monday</v>
      </c>
      <c r="B154" s="28">
        <f>SCALARS!B155</f>
        <v>46230</v>
      </c>
      <c r="C154" s="61">
        <f>SCALARS!H155</f>
        <v>1730.4238</v>
      </c>
      <c r="D154" s="61">
        <f>G154/K151</f>
        <v>1730.4976133081204</v>
      </c>
      <c r="E154" s="61">
        <f t="shared" si="21"/>
        <v>-7.3813308120406873E-2</v>
      </c>
      <c r="F154" s="141">
        <v>5634.22</v>
      </c>
      <c r="G154" s="63">
        <v>9750000</v>
      </c>
      <c r="H154" s="179"/>
      <c r="I154" s="179"/>
      <c r="J154" s="47">
        <f>ARKB!H154</f>
        <v>64894.12</v>
      </c>
      <c r="K154" s="173"/>
      <c r="L154" s="180"/>
    </row>
    <row r="155" spans="1:12" ht="15" customHeight="1">
      <c r="A155" s="1" t="str">
        <f>SCALARS!A156</f>
        <v>Tuesday</v>
      </c>
      <c r="B155" s="28">
        <f>SCALARS!B156</f>
        <v>46231</v>
      </c>
      <c r="C155" s="61">
        <f>SCALARS!H156</f>
        <v>1730.4328</v>
      </c>
      <c r="D155" s="172"/>
      <c r="E155" s="172"/>
      <c r="F155" s="141">
        <v>5634.22</v>
      </c>
      <c r="G155" s="63">
        <v>9750000</v>
      </c>
      <c r="H155" s="142">
        <v>358910925.51999998</v>
      </c>
      <c r="I155" s="142">
        <v>-54572.92</v>
      </c>
      <c r="J155" s="47">
        <f>ARKB!H155</f>
        <v>63702</v>
      </c>
      <c r="K155" s="20">
        <f>H155/J155</f>
        <v>5634.21753665505</v>
      </c>
      <c r="L155" s="57">
        <f t="shared" si="19"/>
        <v>-2.4633449502289295E-3</v>
      </c>
    </row>
    <row r="156" spans="1:12" ht="15" customHeight="1">
      <c r="A156" s="1" t="str">
        <f>SCALARS!A157</f>
        <v>Wednesday</v>
      </c>
      <c r="B156" s="28">
        <f>SCALARS!B157</f>
        <v>46232</v>
      </c>
      <c r="C156" s="61">
        <f>SCALARS!H157</f>
        <v>1730.4418000000001</v>
      </c>
      <c r="D156" s="61">
        <f t="shared" si="20"/>
        <v>1730.4976133009638</v>
      </c>
      <c r="E156" s="61">
        <f t="shared" si="21"/>
        <v>-5.5813300963791335E-2</v>
      </c>
      <c r="F156" s="141">
        <v>5634.22</v>
      </c>
      <c r="G156" s="63">
        <v>9750000</v>
      </c>
      <c r="H156" s="142">
        <v>360367201.73000002</v>
      </c>
      <c r="I156" s="142">
        <v>-56448.52</v>
      </c>
      <c r="J156" s="47">
        <f>ARKB!H156</f>
        <v>63960.47</v>
      </c>
      <c r="K156" s="20">
        <f t="shared" si="18"/>
        <v>5634.2175367066566</v>
      </c>
      <c r="L156" s="57">
        <f t="shared" si="19"/>
        <v>-2.4632933436805615E-3</v>
      </c>
    </row>
    <row r="157" spans="1:12" ht="15" customHeight="1">
      <c r="A157" s="1" t="str">
        <f>SCALARS!A158</f>
        <v>Thursday</v>
      </c>
      <c r="B157" s="28">
        <f>SCALARS!B158</f>
        <v>46233</v>
      </c>
      <c r="C157" s="61">
        <f>SCALARS!H158</f>
        <v>1730.4508000000001</v>
      </c>
      <c r="D157" s="61">
        <f t="shared" si="20"/>
        <v>0</v>
      </c>
      <c r="E157" s="61"/>
      <c r="F157" s="141"/>
      <c r="G157" s="63"/>
      <c r="H157" s="142"/>
      <c r="I157" s="142"/>
      <c r="J157" s="47">
        <f>ARKB!H157</f>
        <v>0</v>
      </c>
      <c r="K157" s="20" t="e">
        <f t="shared" si="18"/>
        <v>#DIV/0!</v>
      </c>
      <c r="L157" s="57" t="e">
        <f t="shared" si="19"/>
        <v>#DIV/0!</v>
      </c>
    </row>
    <row r="158" spans="1:12" ht="15" customHeight="1">
      <c r="A158" s="1" t="str">
        <f>SCALARS!A159</f>
        <v>Friday</v>
      </c>
      <c r="B158" s="28">
        <f>SCALARS!B159</f>
        <v>46234</v>
      </c>
      <c r="C158" s="61">
        <f>SCALARS!H159</f>
        <v>1730.4598000000001</v>
      </c>
      <c r="D158" s="61" t="e">
        <f t="shared" si="20"/>
        <v>#DIV/0!</v>
      </c>
      <c r="E158" s="61"/>
      <c r="F158" s="141"/>
      <c r="G158" s="63"/>
      <c r="H158" s="142"/>
      <c r="I158" s="142"/>
      <c r="J158" s="47">
        <f>ARKB!H158</f>
        <v>0</v>
      </c>
      <c r="K158" s="20" t="e">
        <f t="shared" si="18"/>
        <v>#DIV/0!</v>
      </c>
      <c r="L158" s="57" t="e">
        <f t="shared" si="19"/>
        <v>#DIV/0!</v>
      </c>
    </row>
  </sheetData>
  <hyperlinks>
    <hyperlink ref="A1" r:id="rId1" xr:uid="{B41216C5-B942-467B-A9E5-19B0BFD65CBB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D968-0009-4497-A934-F486A36D533C}">
  <sheetPr codeName="Sheet3">
    <tabColor theme="6" tint="0.79998168889431442"/>
  </sheetPr>
  <dimension ref="A1:R158"/>
  <sheetViews>
    <sheetView zoomScale="80" zoomScaleNormal="80" workbookViewId="0">
      <pane xSplit="5" ySplit="5" topLeftCell="F85" activePane="bottomRight" state="frozen"/>
      <selection pane="topRight" activeCell="F1" sqref="F1"/>
      <selection pane="bottomLeft" activeCell="A6" sqref="A6"/>
      <selection pane="bottomRight" activeCell="N156" sqref="N156"/>
    </sheetView>
  </sheetViews>
  <sheetFormatPr defaultColWidth="10.85546875" defaultRowHeight="15" customHeight="1"/>
  <cols>
    <col min="1" max="1" width="13.7109375" style="1" customWidth="1"/>
    <col min="2" max="2" width="10.42578125" style="1" bestFit="1" customWidth="1"/>
    <col min="3" max="3" width="13.7109375" style="1" bestFit="1" customWidth="1"/>
    <col min="4" max="4" width="13.7109375" bestFit="1" customWidth="1"/>
    <col min="5" max="5" width="16.28515625" style="57" customWidth="1"/>
    <col min="6" max="6" width="15.140625" style="58" bestFit="1" customWidth="1"/>
    <col min="7" max="7" width="8.85546875" style="1"/>
    <col min="8" max="8" width="11.42578125" style="81" bestFit="1" customWidth="1"/>
    <col min="9" max="9" width="11.7109375" style="67" bestFit="1" customWidth="1"/>
    <col min="10" max="10" width="11.7109375" style="67" customWidth="1"/>
    <col min="11" max="11" width="11.42578125" style="82" bestFit="1" customWidth="1"/>
    <col min="12" max="15" width="10.85546875" style="1"/>
    <col min="16" max="16" width="15.140625" style="1" bestFit="1" customWidth="1"/>
    <col min="17" max="16384" width="10.85546875" style="1"/>
  </cols>
  <sheetData>
    <row r="1" spans="1:11" ht="15" customHeight="1">
      <c r="A1" s="5" t="s">
        <v>39</v>
      </c>
      <c r="D1" s="81"/>
      <c r="E1" s="81"/>
      <c r="F1" s="81"/>
      <c r="G1" s="81"/>
      <c r="I1" s="81"/>
      <c r="J1" s="81"/>
      <c r="K1" s="81"/>
    </row>
    <row r="2" spans="1:11" ht="15" customHeight="1">
      <c r="A2" s="5"/>
      <c r="D2" s="81"/>
      <c r="E2" s="81"/>
      <c r="F2" s="81"/>
      <c r="G2" s="81"/>
      <c r="I2" s="81"/>
      <c r="J2" s="81"/>
      <c r="K2" s="81"/>
    </row>
    <row r="3" spans="1:11" ht="15" customHeight="1">
      <c r="A3" s="5"/>
      <c r="D3" s="1"/>
    </row>
    <row r="4" spans="1:11" ht="15" customHeight="1">
      <c r="A4" s="5"/>
      <c r="D4" s="1"/>
      <c r="E4" s="80" t="s">
        <v>72</v>
      </c>
    </row>
    <row r="5" spans="1:1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22" t="s">
        <v>1</v>
      </c>
      <c r="G5" s="50"/>
      <c r="H5" s="83"/>
      <c r="I5" s="83"/>
      <c r="J5" s="83"/>
      <c r="K5" s="83"/>
    </row>
    <row r="6" spans="1:11" ht="15" customHeight="1">
      <c r="A6" s="1" t="str">
        <f>SCALARS!A7</f>
        <v>Sunday</v>
      </c>
      <c r="B6" s="28">
        <f>SCALARS!B7</f>
        <v>46082</v>
      </c>
      <c r="C6" s="61">
        <f>SCALARS!I7</f>
        <v>1147.9526000000001</v>
      </c>
      <c r="D6" s="61"/>
      <c r="E6" s="61"/>
      <c r="H6" s="67"/>
    </row>
    <row r="7" spans="1:11" ht="15" customHeight="1">
      <c r="A7" s="1" t="str">
        <f>SCALARS!A8</f>
        <v>Monday</v>
      </c>
      <c r="B7" s="28">
        <f>SCALARS!B8</f>
        <v>46083</v>
      </c>
      <c r="C7" s="61">
        <f>SCALARS!I8</f>
        <v>1147.9604999999999</v>
      </c>
      <c r="D7" s="61"/>
      <c r="E7" s="61"/>
      <c r="H7" s="67"/>
    </row>
    <row r="8" spans="1:11" ht="15" customHeight="1">
      <c r="A8" s="1" t="str">
        <f>SCALARS!A9</f>
        <v>Tuesday</v>
      </c>
      <c r="B8" s="28">
        <f>SCALARS!B9</f>
        <v>46084</v>
      </c>
      <c r="C8" s="61">
        <f>SCALARS!I9</f>
        <v>1147.9684</v>
      </c>
      <c r="D8" s="61"/>
      <c r="E8" s="61"/>
      <c r="H8" s="67"/>
    </row>
    <row r="9" spans="1:11" ht="15" customHeight="1">
      <c r="A9" s="1" t="str">
        <f>SCALARS!A10</f>
        <v>Wednesday</v>
      </c>
      <c r="B9" s="28">
        <f>SCALARS!B10</f>
        <v>46085</v>
      </c>
      <c r="C9" s="61">
        <f>SCALARS!I10</f>
        <v>1147.9763</v>
      </c>
      <c r="D9" s="61"/>
      <c r="E9" s="61"/>
      <c r="H9" s="67"/>
    </row>
    <row r="10" spans="1:11" ht="15" customHeight="1">
      <c r="A10" s="1" t="str">
        <f>SCALARS!A11</f>
        <v>Thursday</v>
      </c>
      <c r="B10" s="28">
        <f>SCALARS!B11</f>
        <v>46086</v>
      </c>
      <c r="C10" s="61">
        <f>SCALARS!I11</f>
        <v>1147.9842000000001</v>
      </c>
      <c r="D10" s="61"/>
      <c r="E10" s="61"/>
      <c r="H10" s="67"/>
    </row>
    <row r="11" spans="1:11" ht="15" customHeight="1">
      <c r="A11" s="1" t="str">
        <f>SCALARS!A12</f>
        <v>Friday</v>
      </c>
      <c r="B11" s="28">
        <f>SCALARS!B12</f>
        <v>46087</v>
      </c>
      <c r="C11" s="61">
        <f>SCALARS!I12</f>
        <v>1147.9920999999999</v>
      </c>
      <c r="D11" s="61"/>
      <c r="E11" s="61"/>
      <c r="H11" s="67"/>
    </row>
    <row r="12" spans="1:11" ht="15" customHeight="1">
      <c r="A12" s="1" t="str">
        <f>SCALARS!A13</f>
        <v>Saturday</v>
      </c>
      <c r="B12" s="28">
        <f>SCALARS!B13</f>
        <v>46088</v>
      </c>
      <c r="C12" s="61">
        <f>SCALARS!I13</f>
        <v>1148</v>
      </c>
      <c r="D12" s="61"/>
      <c r="E12" s="61"/>
      <c r="H12" s="67"/>
    </row>
    <row r="13" spans="1:11" ht="15" customHeight="1">
      <c r="A13" s="1" t="str">
        <f>SCALARS!A14</f>
        <v>Sunday</v>
      </c>
      <c r="B13" s="28">
        <f>SCALARS!B14</f>
        <v>46089</v>
      </c>
      <c r="C13" s="61">
        <f>SCALARS!I14</f>
        <v>1148.0079000000001</v>
      </c>
      <c r="D13" s="61"/>
      <c r="E13" s="61"/>
      <c r="H13" s="67"/>
    </row>
    <row r="14" spans="1:11" ht="15" customHeight="1">
      <c r="A14" s="1" t="str">
        <f>SCALARS!A15</f>
        <v>Monday</v>
      </c>
      <c r="B14" s="28">
        <f>SCALARS!B15</f>
        <v>46090</v>
      </c>
      <c r="C14" s="61">
        <f>SCALARS!I15</f>
        <v>1148.0157999999999</v>
      </c>
      <c r="D14" s="61">
        <f>F14</f>
        <v>1148.0725</v>
      </c>
      <c r="E14" s="61">
        <f>C14-D14</f>
        <v>-5.6700000000091677E-2</v>
      </c>
      <c r="F14" s="58">
        <v>1148.0725</v>
      </c>
      <c r="H14" s="67"/>
    </row>
    <row r="15" spans="1:11" ht="15" customHeight="1">
      <c r="A15" s="1" t="str">
        <f>SCALARS!A16</f>
        <v>Tuesday</v>
      </c>
      <c r="B15" s="28">
        <f>SCALARS!B16</f>
        <v>46091</v>
      </c>
      <c r="C15" s="61">
        <f>SCALARS!I16</f>
        <v>1148.0237</v>
      </c>
      <c r="D15" s="61">
        <f>F15</f>
        <v>1148.0726999999999</v>
      </c>
      <c r="E15" s="61">
        <f>C15-D15</f>
        <v>-4.8999999999978172E-2</v>
      </c>
      <c r="F15" s="58">
        <v>1148.0726999999999</v>
      </c>
      <c r="G15" s="4"/>
      <c r="H15" s="67"/>
    </row>
    <row r="16" spans="1:11" ht="15" customHeight="1">
      <c r="A16" s="1" t="str">
        <f>SCALARS!A17</f>
        <v>Wednesday</v>
      </c>
      <c r="B16" s="28">
        <f>SCALARS!B17</f>
        <v>46092</v>
      </c>
      <c r="C16" s="61">
        <f>SCALARS!I17</f>
        <v>1148.0316</v>
      </c>
      <c r="D16" s="61">
        <f>F16</f>
        <v>1148.0727999999999</v>
      </c>
      <c r="E16" s="61">
        <f>C16-D16</f>
        <v>-4.1199999999889769E-2</v>
      </c>
      <c r="F16" s="58">
        <v>1148.0727999999999</v>
      </c>
      <c r="G16" s="4"/>
      <c r="H16" s="67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SCALARS!I18</f>
        <v>1148.0395000000001</v>
      </c>
      <c r="D17" s="61">
        <f>F17</f>
        <v>1148.0730000000001</v>
      </c>
      <c r="E17" s="61">
        <f>C17-D17</f>
        <v>-3.3500000000003638E-2</v>
      </c>
      <c r="F17" s="58">
        <v>1148.0730000000001</v>
      </c>
      <c r="H17" s="67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SCALARS!I19</f>
        <v>1148.0473999999999</v>
      </c>
      <c r="D18" s="61">
        <f>F18</f>
        <v>1148.0731000000001</v>
      </c>
      <c r="E18" s="61">
        <f>C18-D18</f>
        <v>-2.5700000000142609E-2</v>
      </c>
      <c r="F18" s="58">
        <v>1148.0731000000001</v>
      </c>
      <c r="H18" s="67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SCALARS!I20</f>
        <v>1148.0553</v>
      </c>
      <c r="D19" s="61"/>
      <c r="E19" s="61"/>
      <c r="H19" s="67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SCALARS!I21</f>
        <v>1148.0632000000001</v>
      </c>
      <c r="D20" s="61"/>
      <c r="E20" s="61"/>
      <c r="H20" s="67"/>
      <c r="R20" s="57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SCALARS!I22</f>
        <v>1148.0710999999999</v>
      </c>
      <c r="D21" s="61">
        <f>F21</f>
        <v>1148.0736999999999</v>
      </c>
      <c r="E21" s="106">
        <f>C21-D21</f>
        <v>-2.6000000000294676E-3</v>
      </c>
      <c r="F21" s="58">
        <v>1148.0736999999999</v>
      </c>
      <c r="H21" s="67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SCALARS!I23</f>
        <v>1148.079</v>
      </c>
      <c r="D22" s="61">
        <f>F22</f>
        <v>1148.0739000000001</v>
      </c>
      <c r="E22" s="106">
        <f>C22-D22</f>
        <v>5.0999999998566636E-3</v>
      </c>
      <c r="F22" s="58">
        <v>1148.0739000000001</v>
      </c>
      <c r="H22" s="67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SCALARS!I24</f>
        <v>1148.0869</v>
      </c>
      <c r="D23" s="61">
        <f>F23</f>
        <v>1148.0727999999999</v>
      </c>
      <c r="E23" s="106">
        <f>C23-D23</f>
        <v>1.4100000000098589E-2</v>
      </c>
      <c r="F23" s="58">
        <v>1148.0727999999999</v>
      </c>
      <c r="H23" s="67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SCALARS!I25</f>
        <v>1148.0948000000001</v>
      </c>
      <c r="D24" s="61">
        <f>F24</f>
        <v>1148.0725</v>
      </c>
      <c r="E24" s="106">
        <f>C24-D24</f>
        <v>2.2300000000086584E-2</v>
      </c>
      <c r="F24" s="58">
        <v>1148.0725</v>
      </c>
      <c r="H24" s="67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SCALARS!I26</f>
        <v>1148.1026999999999</v>
      </c>
      <c r="D25" s="61">
        <f>F25</f>
        <v>1148.0724</v>
      </c>
      <c r="E25" s="106">
        <f>C25-D25</f>
        <v>3.0299999999897409E-2</v>
      </c>
      <c r="F25" s="58">
        <v>1148.0724</v>
      </c>
      <c r="H25" s="67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SCALARS!I27</f>
        <v>1148.1106</v>
      </c>
      <c r="D26" s="61"/>
      <c r="E26" s="61"/>
      <c r="H26" s="67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SCALARS!I28</f>
        <v>1148.1185</v>
      </c>
      <c r="D27" s="61"/>
      <c r="E27" s="61"/>
      <c r="H27" s="67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SCALARS!I29</f>
        <v>1148.1264000000001</v>
      </c>
      <c r="D28" s="61"/>
      <c r="E28" s="106"/>
      <c r="H28" s="67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SCALARS!I30</f>
        <v>1148.1342999999999</v>
      </c>
      <c r="D29" s="61">
        <f>F29</f>
        <v>1148.0723</v>
      </c>
      <c r="E29" s="106">
        <f>C29-D29</f>
        <v>6.1999999999898137E-2</v>
      </c>
      <c r="F29" s="58">
        <v>1148.0723</v>
      </c>
      <c r="H29" s="67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SCALARS!I31</f>
        <v>1148.1422</v>
      </c>
      <c r="D30" s="61">
        <f>F30</f>
        <v>1148.0735</v>
      </c>
      <c r="E30" s="106">
        <f>C30-D30</f>
        <v>6.8700000000035288E-2</v>
      </c>
      <c r="F30" s="58">
        <v>1148.0735</v>
      </c>
      <c r="H30" s="67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SCALARS!I32</f>
        <v>1148.1501000000001</v>
      </c>
      <c r="D31" s="61">
        <f>F31</f>
        <v>1148.0730000000001</v>
      </c>
      <c r="E31" s="106">
        <f>C31-D31</f>
        <v>7.7099999999973079E-2</v>
      </c>
      <c r="F31" s="58">
        <v>1148.0730000000001</v>
      </c>
      <c r="H31" s="67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SCALARS!I33</f>
        <v>1148.1579999999999</v>
      </c>
      <c r="D32" s="61">
        <f>F32</f>
        <v>1148.0730000000001</v>
      </c>
      <c r="E32" s="106">
        <f>C32-D32</f>
        <v>8.4999999999809006E-2</v>
      </c>
      <c r="F32" s="58">
        <v>1148.0730000000001</v>
      </c>
      <c r="H32" s="67"/>
    </row>
    <row r="33" spans="1:8" ht="15" customHeight="1">
      <c r="A33" s="1" t="str">
        <f>SCALARS!A34</f>
        <v>Saturday</v>
      </c>
      <c r="B33" s="28">
        <f>SCALARS!B34</f>
        <v>46109</v>
      </c>
      <c r="C33" s="61">
        <f>SCALARS!I34</f>
        <v>1148.1659</v>
      </c>
      <c r="D33" s="61"/>
      <c r="E33" s="61"/>
      <c r="H33" s="67"/>
    </row>
    <row r="34" spans="1:8" ht="15" customHeight="1">
      <c r="A34" s="1" t="str">
        <f>SCALARS!A35</f>
        <v>Sunday</v>
      </c>
      <c r="B34" s="28">
        <f>SCALARS!B35</f>
        <v>46110</v>
      </c>
      <c r="C34" s="61">
        <f>SCALARS!I35</f>
        <v>1148.1738</v>
      </c>
      <c r="D34" s="61"/>
      <c r="E34" s="61"/>
      <c r="H34" s="67"/>
    </row>
    <row r="35" spans="1:8" ht="15" customHeight="1">
      <c r="A35" s="1" t="str">
        <f>SCALARS!A36</f>
        <v>Monday</v>
      </c>
      <c r="B35" s="28">
        <f>SCALARS!B36</f>
        <v>46111</v>
      </c>
      <c r="C35" s="61">
        <f>SCALARS!I36</f>
        <v>1148.1817000000001</v>
      </c>
      <c r="D35" s="61">
        <f>F35</f>
        <v>1148.0735</v>
      </c>
      <c r="E35" s="106">
        <f>C35-D35</f>
        <v>0.10820000000012442</v>
      </c>
      <c r="F35" s="58">
        <v>1148.0735</v>
      </c>
      <c r="H35" s="67"/>
    </row>
    <row r="36" spans="1:8" ht="15" customHeight="1">
      <c r="A36" s="1" t="str">
        <f>SCALARS!A37</f>
        <v>Tuesday</v>
      </c>
      <c r="B36" s="28">
        <f>SCALARS!B37</f>
        <v>46112</v>
      </c>
      <c r="C36" s="61">
        <f>SCALARS!I37</f>
        <v>1148.1895999999999</v>
      </c>
      <c r="D36" s="61">
        <f t="shared" ref="D36:D67" si="0">F36</f>
        <v>1148.0737999999999</v>
      </c>
      <c r="E36" s="106">
        <f t="shared" ref="E36:E67" si="1">C36-D36</f>
        <v>0.11580000000003565</v>
      </c>
      <c r="F36" s="58">
        <v>1148.0737999999999</v>
      </c>
      <c r="H36" s="67"/>
    </row>
    <row r="37" spans="1:8" ht="15" customHeight="1">
      <c r="A37" s="1" t="str">
        <f>SCALARS!A38</f>
        <v>Wednesday</v>
      </c>
      <c r="B37" s="28">
        <f>SCALARS!B38</f>
        <v>46113</v>
      </c>
      <c r="C37" s="61">
        <f>SCALARS!I38</f>
        <v>1148.1975</v>
      </c>
      <c r="D37" s="61">
        <f t="shared" si="0"/>
        <v>1148.3122000000001</v>
      </c>
      <c r="E37" s="106">
        <f t="shared" si="1"/>
        <v>-0.1147000000000844</v>
      </c>
      <c r="F37" s="58">
        <v>1148.3122000000001</v>
      </c>
      <c r="H37" s="67"/>
    </row>
    <row r="38" spans="1:8" ht="15" customHeight="1">
      <c r="A38" s="1" t="str">
        <f>SCALARS!A39</f>
        <v>Thursday</v>
      </c>
      <c r="B38" s="28">
        <f>SCALARS!B39</f>
        <v>46114</v>
      </c>
      <c r="C38" s="61">
        <f>SCALARS!I39</f>
        <v>1148.2054000000001</v>
      </c>
      <c r="D38" s="61">
        <f t="shared" si="0"/>
        <v>1148.3122000000001</v>
      </c>
      <c r="E38" s="106">
        <f t="shared" si="1"/>
        <v>-0.1068000000000211</v>
      </c>
      <c r="F38" s="58">
        <v>1148.3122000000001</v>
      </c>
      <c r="H38" s="67"/>
    </row>
    <row r="39" spans="1:8" ht="15" customHeight="1">
      <c r="A39" s="1" t="str">
        <f>SCALARS!A40</f>
        <v>Friday</v>
      </c>
      <c r="B39" s="28">
        <f>SCALARS!B40</f>
        <v>46115</v>
      </c>
      <c r="C39" s="61">
        <f>SCALARS!I40</f>
        <v>1148.2132999999999</v>
      </c>
      <c r="D39" s="61"/>
      <c r="E39" s="106"/>
      <c r="H39" s="67"/>
    </row>
    <row r="40" spans="1:8" ht="15" customHeight="1">
      <c r="A40" s="1" t="str">
        <f>SCALARS!A41</f>
        <v>Saturday</v>
      </c>
      <c r="B40" s="28">
        <f>SCALARS!B41</f>
        <v>46116</v>
      </c>
      <c r="C40" s="61">
        <f>SCALARS!I41</f>
        <v>1148.2212</v>
      </c>
      <c r="D40" s="61"/>
      <c r="E40" s="106"/>
      <c r="H40" s="67"/>
    </row>
    <row r="41" spans="1:8" ht="15" customHeight="1">
      <c r="A41" s="1" t="str">
        <f>SCALARS!A42</f>
        <v>Sunday</v>
      </c>
      <c r="B41" s="28">
        <f>SCALARS!B42</f>
        <v>46117</v>
      </c>
      <c r="C41" s="61">
        <f>SCALARS!I42</f>
        <v>1148.2291</v>
      </c>
      <c r="D41" s="61"/>
      <c r="E41" s="106"/>
      <c r="H41" s="67"/>
    </row>
    <row r="42" spans="1:8" ht="15" customHeight="1">
      <c r="A42" s="1" t="str">
        <f>SCALARS!A43</f>
        <v>Monday</v>
      </c>
      <c r="B42" s="28">
        <f>SCALARS!B43</f>
        <v>46118</v>
      </c>
      <c r="C42" s="61">
        <f>SCALARS!I43</f>
        <v>1148.2370000000001</v>
      </c>
      <c r="D42" s="61">
        <f t="shared" si="0"/>
        <v>1148.3126</v>
      </c>
      <c r="E42" s="106">
        <f t="shared" si="1"/>
        <v>-7.5599999999894862E-2</v>
      </c>
      <c r="F42" s="58">
        <v>1148.3126</v>
      </c>
      <c r="H42" s="67"/>
    </row>
    <row r="43" spans="1:8" ht="15" customHeight="1">
      <c r="A43" s="1" t="str">
        <f>SCALARS!A44</f>
        <v>Tuesday</v>
      </c>
      <c r="B43" s="28">
        <f>SCALARS!B44</f>
        <v>46119</v>
      </c>
      <c r="C43" s="61">
        <f>SCALARS!I44</f>
        <v>1148.2448999999999</v>
      </c>
      <c r="D43" s="61">
        <f t="shared" si="0"/>
        <v>1148.3124</v>
      </c>
      <c r="E43" s="106">
        <f t="shared" si="1"/>
        <v>-6.7500000000109139E-2</v>
      </c>
      <c r="F43" s="58">
        <v>1148.3124</v>
      </c>
      <c r="H43" s="67"/>
    </row>
    <row r="44" spans="1:8" ht="15" customHeight="1">
      <c r="A44" s="1" t="str">
        <f>SCALARS!A45</f>
        <v>Wednesday</v>
      </c>
      <c r="B44" s="28">
        <f>SCALARS!B45</f>
        <v>46120</v>
      </c>
      <c r="C44" s="61">
        <f>SCALARS!I45</f>
        <v>1148.2528</v>
      </c>
      <c r="D44" s="61">
        <f t="shared" si="0"/>
        <v>1148.3121000000001</v>
      </c>
      <c r="E44" s="106">
        <f t="shared" si="1"/>
        <v>-5.9300000000121145E-2</v>
      </c>
      <c r="F44" s="58">
        <v>1148.3121000000001</v>
      </c>
      <c r="H44" s="67"/>
    </row>
    <row r="45" spans="1:8" ht="15" customHeight="1">
      <c r="A45" s="1" t="str">
        <f>SCALARS!A46</f>
        <v>Thursday</v>
      </c>
      <c r="B45" s="28">
        <f>SCALARS!B46</f>
        <v>46121</v>
      </c>
      <c r="C45" s="61">
        <f>SCALARS!I46</f>
        <v>1148.2607</v>
      </c>
      <c r="D45" s="61">
        <f t="shared" si="0"/>
        <v>1148.3123000000001</v>
      </c>
      <c r="E45" s="106">
        <f t="shared" si="1"/>
        <v>-5.160000000000764E-2</v>
      </c>
      <c r="F45" s="58">
        <v>1148.3123000000001</v>
      </c>
      <c r="H45" s="67"/>
    </row>
    <row r="46" spans="1:8" ht="15" customHeight="1">
      <c r="A46" s="1" t="str">
        <f>SCALARS!A47</f>
        <v>Friday</v>
      </c>
      <c r="B46" s="28">
        <f>SCALARS!B47</f>
        <v>46122</v>
      </c>
      <c r="C46" s="61">
        <f>SCALARS!I47</f>
        <v>1148.2686000000001</v>
      </c>
      <c r="D46" s="61">
        <f t="shared" si="0"/>
        <v>1148.3127999999999</v>
      </c>
      <c r="E46" s="106">
        <f t="shared" si="1"/>
        <v>-4.4199999999818829E-2</v>
      </c>
      <c r="F46" s="58">
        <v>1148.3127999999999</v>
      </c>
      <c r="H46" s="67"/>
    </row>
    <row r="47" spans="1:8" ht="15" customHeight="1">
      <c r="A47" s="1" t="str">
        <f>SCALARS!A48</f>
        <v>Saturday</v>
      </c>
      <c r="B47" s="28">
        <f>SCALARS!B48</f>
        <v>46123</v>
      </c>
      <c r="C47" s="61">
        <f>SCALARS!I48</f>
        <v>1148.2764999999999</v>
      </c>
      <c r="D47" s="61"/>
      <c r="E47" s="106"/>
      <c r="H47" s="67"/>
    </row>
    <row r="48" spans="1:8" ht="15" customHeight="1">
      <c r="A48" s="1" t="str">
        <f>SCALARS!A49</f>
        <v>Sunday</v>
      </c>
      <c r="B48" s="28">
        <f>SCALARS!B49</f>
        <v>46124</v>
      </c>
      <c r="C48" s="61">
        <f>SCALARS!I49</f>
        <v>1148.2844</v>
      </c>
      <c r="D48" s="61"/>
      <c r="E48" s="106"/>
      <c r="H48" s="67"/>
    </row>
    <row r="49" spans="1:8" ht="15" customHeight="1">
      <c r="A49" s="1" t="str">
        <f>SCALARS!A50</f>
        <v>Monday</v>
      </c>
      <c r="B49" s="28">
        <f>SCALARS!B50</f>
        <v>46125</v>
      </c>
      <c r="C49" s="61">
        <f>SCALARS!I50</f>
        <v>1148.2923000000001</v>
      </c>
      <c r="D49" s="61">
        <f t="shared" si="0"/>
        <v>1148.3113000000001</v>
      </c>
      <c r="E49" s="106">
        <f t="shared" si="1"/>
        <v>-1.9000000000005457E-2</v>
      </c>
      <c r="F49" s="58">
        <v>1148.3113000000001</v>
      </c>
      <c r="H49" s="67"/>
    </row>
    <row r="50" spans="1:8" ht="15" customHeight="1">
      <c r="A50" s="1" t="str">
        <f>SCALARS!A51</f>
        <v>Tuesday</v>
      </c>
      <c r="B50" s="28">
        <f>SCALARS!B51</f>
        <v>46126</v>
      </c>
      <c r="C50" s="61">
        <f>SCALARS!I51</f>
        <v>1148.3001999999999</v>
      </c>
      <c r="D50" s="61">
        <f t="shared" si="0"/>
        <v>1148.3116</v>
      </c>
      <c r="E50" s="106">
        <f t="shared" si="1"/>
        <v>-1.1400000000094224E-2</v>
      </c>
      <c r="F50" s="58">
        <v>1148.3116</v>
      </c>
      <c r="H50" s="67"/>
    </row>
    <row r="51" spans="1:8" ht="15" customHeight="1">
      <c r="A51" s="1" t="str">
        <f>SCALARS!A52</f>
        <v>Wednesday</v>
      </c>
      <c r="B51" s="28">
        <f>SCALARS!B52</f>
        <v>46127</v>
      </c>
      <c r="C51" s="61">
        <f>SCALARS!I52</f>
        <v>1148.3081</v>
      </c>
      <c r="D51" s="61">
        <f t="shared" si="0"/>
        <v>1148.3112000000001</v>
      </c>
      <c r="E51" s="106">
        <f t="shared" si="1"/>
        <v>-3.100000000131331E-3</v>
      </c>
      <c r="F51" s="58">
        <v>1148.3112000000001</v>
      </c>
      <c r="H51" s="67"/>
    </row>
    <row r="52" spans="1:8" ht="15" customHeight="1">
      <c r="A52" s="1" t="str">
        <f>SCALARS!A53</f>
        <v>Thursday</v>
      </c>
      <c r="B52" s="28">
        <f>SCALARS!B53</f>
        <v>46128</v>
      </c>
      <c r="C52" s="61">
        <f>SCALARS!I53</f>
        <v>1148.316</v>
      </c>
      <c r="D52" s="61">
        <f t="shared" si="0"/>
        <v>1148.3108999999999</v>
      </c>
      <c r="E52" s="106">
        <f t="shared" si="1"/>
        <v>5.1000000000840373E-3</v>
      </c>
      <c r="F52" s="58">
        <v>1148.3108999999999</v>
      </c>
      <c r="H52" s="67"/>
    </row>
    <row r="53" spans="1:8" ht="15" customHeight="1">
      <c r="A53" s="1" t="str">
        <f>SCALARS!A54</f>
        <v>Friday</v>
      </c>
      <c r="B53" s="28">
        <f>SCALARS!B54</f>
        <v>46129</v>
      </c>
      <c r="C53" s="61">
        <f>SCALARS!I54</f>
        <v>1148.3239000000001</v>
      </c>
      <c r="D53" s="61">
        <f t="shared" si="0"/>
        <v>1148.3124</v>
      </c>
      <c r="E53" s="106">
        <f t="shared" si="1"/>
        <v>1.1500000000069122E-2</v>
      </c>
      <c r="F53" s="58">
        <v>1148.3124</v>
      </c>
      <c r="H53" s="67"/>
    </row>
    <row r="54" spans="1:8" ht="15" customHeight="1">
      <c r="A54" s="1" t="str">
        <f>SCALARS!A55</f>
        <v>Saturday</v>
      </c>
      <c r="B54" s="28">
        <f>SCALARS!B55</f>
        <v>46130</v>
      </c>
      <c r="C54" s="61">
        <f>SCALARS!I55</f>
        <v>1148.3317999999999</v>
      </c>
      <c r="D54" s="61"/>
      <c r="E54" s="106"/>
      <c r="H54" s="67"/>
    </row>
    <row r="55" spans="1:8" ht="15" customHeight="1">
      <c r="A55" s="1" t="str">
        <f>SCALARS!A56</f>
        <v>Sunday</v>
      </c>
      <c r="B55" s="28">
        <f>SCALARS!B56</f>
        <v>46131</v>
      </c>
      <c r="C55" s="61">
        <f>SCALARS!I56</f>
        <v>1148.3397</v>
      </c>
      <c r="D55" s="61"/>
      <c r="E55" s="106"/>
      <c r="H55" s="67"/>
    </row>
    <row r="56" spans="1:8" ht="15" customHeight="1">
      <c r="A56" s="1" t="str">
        <f>SCALARS!A57</f>
        <v>Monday</v>
      </c>
      <c r="B56" s="28">
        <f>SCALARS!B57</f>
        <v>46132</v>
      </c>
      <c r="C56" s="61">
        <f>SCALARS!I57</f>
        <v>1148.3476000000001</v>
      </c>
      <c r="D56" s="61">
        <f t="shared" si="0"/>
        <v>1148.3124</v>
      </c>
      <c r="E56" s="106">
        <f t="shared" si="1"/>
        <v>3.520000000003165E-2</v>
      </c>
      <c r="F56" s="58">
        <v>1148.3124</v>
      </c>
      <c r="H56" s="67"/>
    </row>
    <row r="57" spans="1:8" ht="15" customHeight="1">
      <c r="A57" s="1" t="str">
        <f>SCALARS!A58</f>
        <v>Tuesday</v>
      </c>
      <c r="B57" s="28">
        <f>SCALARS!B58</f>
        <v>46133</v>
      </c>
      <c r="C57" s="61">
        <f>SCALARS!I58</f>
        <v>1148.3554999999999</v>
      </c>
      <c r="D57" s="61">
        <f t="shared" si="0"/>
        <v>1148.3123000000001</v>
      </c>
      <c r="E57" s="106">
        <f t="shared" si="1"/>
        <v>4.3199999999842476E-2</v>
      </c>
      <c r="F57" s="58">
        <v>1148.3123000000001</v>
      </c>
      <c r="H57" s="67"/>
    </row>
    <row r="58" spans="1:8" ht="15" customHeight="1">
      <c r="A58" s="1" t="str">
        <f>SCALARS!A59</f>
        <v>Wednesday</v>
      </c>
      <c r="B58" s="28">
        <f>SCALARS!B59</f>
        <v>46134</v>
      </c>
      <c r="C58" s="61">
        <f>SCALARS!I59</f>
        <v>1148.3634</v>
      </c>
      <c r="D58" s="61">
        <f t="shared" si="0"/>
        <v>1148.3128999999999</v>
      </c>
      <c r="E58" s="106">
        <f t="shared" si="1"/>
        <v>5.0500000000056389E-2</v>
      </c>
      <c r="F58" s="58">
        <v>1148.3128999999999</v>
      </c>
      <c r="H58" s="67"/>
    </row>
    <row r="59" spans="1:8" ht="15" customHeight="1">
      <c r="A59" s="1" t="str">
        <f>SCALARS!A60</f>
        <v>Thursday</v>
      </c>
      <c r="B59" s="28">
        <f>SCALARS!B60</f>
        <v>46135</v>
      </c>
      <c r="C59" s="61">
        <f>SCALARS!I60</f>
        <v>1148.3713</v>
      </c>
      <c r="D59" s="61">
        <f t="shared" si="0"/>
        <v>1148.3126999999999</v>
      </c>
      <c r="E59" s="106">
        <f t="shared" si="1"/>
        <v>5.8600000000069485E-2</v>
      </c>
      <c r="F59" s="58">
        <v>1148.3126999999999</v>
      </c>
      <c r="H59" s="67"/>
    </row>
    <row r="60" spans="1:8" ht="15" customHeight="1">
      <c r="A60" s="1" t="str">
        <f>SCALARS!A61</f>
        <v>Friday</v>
      </c>
      <c r="B60" s="28">
        <f>SCALARS!B61</f>
        <v>46136</v>
      </c>
      <c r="C60" s="61">
        <f>SCALARS!I61</f>
        <v>1148.3792000000001</v>
      </c>
      <c r="D60" s="61">
        <f t="shared" si="0"/>
        <v>1148.3126999999999</v>
      </c>
      <c r="E60" s="106">
        <f t="shared" si="1"/>
        <v>6.6500000000132786E-2</v>
      </c>
      <c r="F60" s="58">
        <v>1148.3126999999999</v>
      </c>
      <c r="H60" s="67"/>
    </row>
    <row r="61" spans="1:8" ht="15" customHeight="1">
      <c r="A61" s="1" t="str">
        <f>SCALARS!A62</f>
        <v>Saturday</v>
      </c>
      <c r="B61" s="28">
        <f>SCALARS!B62</f>
        <v>46137</v>
      </c>
      <c r="C61" s="61">
        <f>SCALARS!I62</f>
        <v>1148.3870999999999</v>
      </c>
      <c r="D61" s="61"/>
      <c r="E61" s="106"/>
      <c r="H61" s="67"/>
    </row>
    <row r="62" spans="1:8" ht="15" customHeight="1">
      <c r="A62" s="1" t="str">
        <f>SCALARS!A63</f>
        <v>Sunday</v>
      </c>
      <c r="B62" s="28">
        <f>SCALARS!B63</f>
        <v>46138</v>
      </c>
      <c r="C62" s="61">
        <f>SCALARS!I63</f>
        <v>1148.395</v>
      </c>
      <c r="D62" s="61"/>
      <c r="E62" s="106"/>
      <c r="H62" s="67"/>
    </row>
    <row r="63" spans="1:8" ht="15" customHeight="1">
      <c r="A63" s="1" t="str">
        <f>SCALARS!A64</f>
        <v>Monday</v>
      </c>
      <c r="B63" s="28">
        <f>SCALARS!B64</f>
        <v>46139</v>
      </c>
      <c r="C63" s="61">
        <f>SCALARS!I64</f>
        <v>1148.4029</v>
      </c>
      <c r="D63" s="61">
        <f t="shared" si="0"/>
        <v>1148.3105</v>
      </c>
      <c r="E63" s="106">
        <f t="shared" si="1"/>
        <v>9.2399999999997817E-2</v>
      </c>
      <c r="F63" s="58">
        <v>1148.3105</v>
      </c>
      <c r="H63" s="67"/>
    </row>
    <row r="64" spans="1:8" ht="15" customHeight="1">
      <c r="A64" s="1" t="str">
        <f>SCALARS!A65</f>
        <v>Tuesday</v>
      </c>
      <c r="B64" s="28">
        <f>SCALARS!B65</f>
        <v>46140</v>
      </c>
      <c r="C64" s="61">
        <f>SCALARS!I65</f>
        <v>1148.4108000000001</v>
      </c>
      <c r="D64" s="61">
        <f t="shared" si="0"/>
        <v>1148.3105</v>
      </c>
      <c r="E64" s="106">
        <f t="shared" si="1"/>
        <v>0.10030000000006112</v>
      </c>
      <c r="F64" s="58">
        <v>1148.3105</v>
      </c>
      <c r="H64" s="67"/>
    </row>
    <row r="65" spans="1:8" ht="15" customHeight="1">
      <c r="A65" s="1" t="str">
        <f>SCALARS!A66</f>
        <v>Wednesday</v>
      </c>
      <c r="B65" s="28">
        <f>SCALARS!B66</f>
        <v>46141</v>
      </c>
      <c r="C65" s="61">
        <f>SCALARS!I66</f>
        <v>1148.4186999999999</v>
      </c>
      <c r="D65" s="61">
        <f t="shared" si="0"/>
        <v>1148.3099</v>
      </c>
      <c r="E65" s="106">
        <f t="shared" si="1"/>
        <v>0.10879999999997381</v>
      </c>
      <c r="F65" s="58">
        <v>1148.3099</v>
      </c>
      <c r="H65" s="67"/>
    </row>
    <row r="66" spans="1:8" ht="15" customHeight="1">
      <c r="A66" s="1" t="str">
        <f>SCALARS!A67</f>
        <v>Thursday</v>
      </c>
      <c r="B66" s="28">
        <f>SCALARS!B67</f>
        <v>46142</v>
      </c>
      <c r="C66" s="61">
        <f>SCALARS!I67</f>
        <v>1148.4266</v>
      </c>
      <c r="D66" s="61">
        <f t="shared" si="0"/>
        <v>1148.3103000000001</v>
      </c>
      <c r="E66" s="106">
        <f t="shared" si="1"/>
        <v>0.11629999999991014</v>
      </c>
      <c r="F66" s="58">
        <v>1148.3103000000001</v>
      </c>
      <c r="H66" s="67"/>
    </row>
    <row r="67" spans="1:8" ht="15" customHeight="1">
      <c r="A67" s="1" t="str">
        <f>SCALARS!A68</f>
        <v>Friday</v>
      </c>
      <c r="B67" s="28">
        <f>SCALARS!B68</f>
        <v>46143</v>
      </c>
      <c r="C67" s="61">
        <f>SCALARS!I68</f>
        <v>1148.4345000000001</v>
      </c>
      <c r="D67" s="61">
        <f t="shared" si="0"/>
        <v>1148.5518</v>
      </c>
      <c r="E67" s="106">
        <f t="shared" si="1"/>
        <v>-0.1172999999998865</v>
      </c>
      <c r="F67" s="58">
        <v>1148.5518</v>
      </c>
      <c r="H67" s="67"/>
    </row>
    <row r="68" spans="1:8" ht="15" customHeight="1">
      <c r="A68" s="1" t="str">
        <f>SCALARS!A69</f>
        <v>Saturday</v>
      </c>
      <c r="B68" s="28">
        <f>SCALARS!B69</f>
        <v>46144</v>
      </c>
      <c r="C68" s="61">
        <f>SCALARS!I69</f>
        <v>1148.4423999999999</v>
      </c>
      <c r="D68" s="61"/>
      <c r="E68" s="106"/>
    </row>
    <row r="69" spans="1:8" ht="15" customHeight="1">
      <c r="A69" s="1" t="str">
        <f>SCALARS!A70</f>
        <v>Sunday</v>
      </c>
      <c r="B69" s="28">
        <f>SCALARS!B70</f>
        <v>46145</v>
      </c>
      <c r="C69" s="61">
        <f>SCALARS!I70</f>
        <v>1148.4503</v>
      </c>
      <c r="D69" s="61"/>
      <c r="E69" s="106"/>
    </row>
    <row r="70" spans="1:8" ht="15" customHeight="1">
      <c r="A70" s="1" t="str">
        <f>SCALARS!A71</f>
        <v>Monday</v>
      </c>
      <c r="B70" s="28">
        <f>SCALARS!B71</f>
        <v>46146</v>
      </c>
      <c r="C70" s="61">
        <f>SCALARS!I71</f>
        <v>1148.4582</v>
      </c>
      <c r="D70" s="61">
        <f t="shared" ref="D70:D95" si="2">F70</f>
        <v>1148.5521000000001</v>
      </c>
      <c r="E70" s="106">
        <f t="shared" ref="E70:E95" si="3">C70-D70</f>
        <v>-9.3900000000076034E-2</v>
      </c>
      <c r="F70" s="58">
        <v>1148.5521000000001</v>
      </c>
    </row>
    <row r="71" spans="1:8" ht="15" customHeight="1">
      <c r="A71" s="1" t="str">
        <f>SCALARS!A72</f>
        <v>Tuesday</v>
      </c>
      <c r="B71" s="28">
        <f>SCALARS!B72</f>
        <v>46147</v>
      </c>
      <c r="C71" s="61">
        <f>SCALARS!I72</f>
        <v>1148.4661000000001</v>
      </c>
      <c r="D71" s="61">
        <f t="shared" si="2"/>
        <v>1148.5524</v>
      </c>
      <c r="E71" s="106">
        <f t="shared" si="3"/>
        <v>-8.6299999999937427E-2</v>
      </c>
      <c r="F71" s="58">
        <v>1148.5524</v>
      </c>
    </row>
    <row r="72" spans="1:8" ht="15" customHeight="1">
      <c r="A72" s="1" t="str">
        <f>SCALARS!A73</f>
        <v>Wednesday</v>
      </c>
      <c r="B72" s="28">
        <f>SCALARS!B73</f>
        <v>46148</v>
      </c>
      <c r="C72" s="61">
        <f>SCALARS!I73</f>
        <v>1148.4739999999999</v>
      </c>
      <c r="D72" s="61">
        <f t="shared" si="2"/>
        <v>1148.5523000000001</v>
      </c>
      <c r="E72" s="106">
        <f t="shared" si="3"/>
        <v>-7.8300000000126602E-2</v>
      </c>
      <c r="F72" s="58">
        <v>1148.5523000000001</v>
      </c>
    </row>
    <row r="73" spans="1:8" ht="15" customHeight="1">
      <c r="A73" s="1" t="str">
        <f>SCALARS!A74</f>
        <v>Thursday</v>
      </c>
      <c r="B73" s="28">
        <f>SCALARS!B74</f>
        <v>46149</v>
      </c>
      <c r="C73" s="61">
        <f>SCALARS!I74</f>
        <v>1148.4819</v>
      </c>
      <c r="D73" s="61">
        <f t="shared" si="2"/>
        <v>1148.5518</v>
      </c>
      <c r="E73" s="106">
        <f t="shared" si="3"/>
        <v>-6.9899999999961437E-2</v>
      </c>
      <c r="F73" s="58">
        <v>1148.5518</v>
      </c>
    </row>
    <row r="74" spans="1:8" ht="15" customHeight="1">
      <c r="A74" s="1" t="str">
        <f>SCALARS!A75</f>
        <v>Friday</v>
      </c>
      <c r="B74" s="28">
        <f>SCALARS!B75</f>
        <v>46150</v>
      </c>
      <c r="C74" s="61">
        <f>SCALARS!I75</f>
        <v>1148.4898000000001</v>
      </c>
      <c r="D74" s="61">
        <f t="shared" si="2"/>
        <v>1148.5513000000001</v>
      </c>
      <c r="E74" s="106">
        <f t="shared" si="3"/>
        <v>-6.1500000000023647E-2</v>
      </c>
      <c r="F74" s="58">
        <v>1148.5513000000001</v>
      </c>
    </row>
    <row r="75" spans="1:8" ht="15" customHeight="1">
      <c r="A75" s="1" t="str">
        <f>SCALARS!A76</f>
        <v>Saturday</v>
      </c>
      <c r="B75" s="28">
        <f>SCALARS!B76</f>
        <v>46151</v>
      </c>
      <c r="C75" s="61">
        <f>SCALARS!I76</f>
        <v>1148.4976999999999</v>
      </c>
      <c r="D75" s="61"/>
      <c r="E75" s="106"/>
    </row>
    <row r="76" spans="1:8" ht="15" customHeight="1">
      <c r="A76" s="1" t="str">
        <f>SCALARS!A77</f>
        <v>Sunday</v>
      </c>
      <c r="B76" s="28">
        <f>SCALARS!B77</f>
        <v>46152</v>
      </c>
      <c r="C76" s="61">
        <f>SCALARS!I77</f>
        <v>1148.5056</v>
      </c>
      <c r="D76" s="61"/>
      <c r="E76" s="106"/>
    </row>
    <row r="77" spans="1:8" ht="15" customHeight="1">
      <c r="A77" s="1" t="str">
        <f>SCALARS!A78</f>
        <v>Monday</v>
      </c>
      <c r="B77" s="28">
        <f>SCALARS!B78</f>
        <v>46153</v>
      </c>
      <c r="C77" s="61">
        <f>SCALARS!I78</f>
        <v>1148.5135</v>
      </c>
      <c r="D77" s="61">
        <f t="shared" si="2"/>
        <v>1148.5513000000001</v>
      </c>
      <c r="E77" s="106">
        <f t="shared" si="3"/>
        <v>-3.7800000000061118E-2</v>
      </c>
      <c r="F77" s="58">
        <v>1148.5513000000001</v>
      </c>
    </row>
    <row r="78" spans="1:8" ht="15" customHeight="1">
      <c r="A78" s="1" t="str">
        <f>SCALARS!A79</f>
        <v>Tuesday</v>
      </c>
      <c r="B78" s="28">
        <f>SCALARS!B79</f>
        <v>46154</v>
      </c>
      <c r="C78" s="61">
        <f>SCALARS!I79</f>
        <v>1148.5214000000001</v>
      </c>
      <c r="D78" s="61">
        <f t="shared" si="2"/>
        <v>1148.5508</v>
      </c>
      <c r="E78" s="106">
        <f t="shared" si="3"/>
        <v>-2.9399999999895954E-2</v>
      </c>
      <c r="F78" s="58">
        <v>1148.5508</v>
      </c>
    </row>
    <row r="79" spans="1:8" ht="15" customHeight="1">
      <c r="A79" s="1" t="str">
        <f>SCALARS!A80</f>
        <v>Wednesday</v>
      </c>
      <c r="B79" s="28">
        <f>SCALARS!B80</f>
        <v>46155</v>
      </c>
      <c r="C79" s="61">
        <f>SCALARS!I80</f>
        <v>1148.5292999999999</v>
      </c>
      <c r="D79" s="61">
        <f t="shared" si="2"/>
        <v>1148.5498</v>
      </c>
      <c r="E79" s="106">
        <f t="shared" si="3"/>
        <v>-2.0500000000083674E-2</v>
      </c>
      <c r="F79" s="58">
        <v>1148.5498</v>
      </c>
    </row>
    <row r="80" spans="1:8" ht="15" customHeight="1">
      <c r="A80" s="1" t="str">
        <f>SCALARS!A81</f>
        <v>Thursday</v>
      </c>
      <c r="B80" s="28">
        <f>SCALARS!B81</f>
        <v>46156</v>
      </c>
      <c r="C80" s="61">
        <f>SCALARS!I81</f>
        <v>1148.5372</v>
      </c>
      <c r="D80" s="61">
        <f t="shared" si="2"/>
        <v>1148.5498</v>
      </c>
      <c r="E80" s="106">
        <f t="shared" si="3"/>
        <v>-1.2600000000020373E-2</v>
      </c>
      <c r="F80" s="58">
        <v>1148.5498</v>
      </c>
    </row>
    <row r="81" spans="1:6" ht="15" customHeight="1">
      <c r="A81" s="1" t="str">
        <f>SCALARS!A82</f>
        <v>Friday</v>
      </c>
      <c r="B81" s="28">
        <f>SCALARS!B82</f>
        <v>46157</v>
      </c>
      <c r="C81" s="61">
        <f>SCALARS!I82</f>
        <v>1148.5451</v>
      </c>
      <c r="D81" s="61">
        <f t="shared" si="2"/>
        <v>1148.5495000000001</v>
      </c>
      <c r="E81" s="106">
        <f t="shared" si="3"/>
        <v>-4.400000000032378E-3</v>
      </c>
      <c r="F81" s="58">
        <v>1148.5495000000001</v>
      </c>
    </row>
    <row r="82" spans="1:6" ht="15" customHeight="1">
      <c r="A82" s="1" t="str">
        <f>SCALARS!A83</f>
        <v>Saturday</v>
      </c>
      <c r="B82" s="28">
        <f>SCALARS!B83</f>
        <v>46158</v>
      </c>
      <c r="C82" s="61">
        <f>SCALARS!I83</f>
        <v>1148.5530000000001</v>
      </c>
      <c r="D82" s="61"/>
      <c r="E82" s="106"/>
    </row>
    <row r="83" spans="1:6" ht="15" customHeight="1">
      <c r="A83" s="1" t="str">
        <f>SCALARS!A84</f>
        <v>Sunday</v>
      </c>
      <c r="B83" s="28">
        <f>SCALARS!B84</f>
        <v>46159</v>
      </c>
      <c r="C83" s="61">
        <f>SCALARS!I84</f>
        <v>1148.5608999999999</v>
      </c>
      <c r="D83" s="61"/>
      <c r="E83" s="106"/>
    </row>
    <row r="84" spans="1:6" ht="15" customHeight="1">
      <c r="A84" s="1" t="str">
        <f>SCALARS!A85</f>
        <v>Monday</v>
      </c>
      <c r="B84" s="28">
        <f>SCALARS!B85</f>
        <v>46160</v>
      </c>
      <c r="C84" s="61">
        <f>SCALARS!I85</f>
        <v>1148.5688</v>
      </c>
      <c r="D84" s="61">
        <f t="shared" si="2"/>
        <v>1148.5488</v>
      </c>
      <c r="E84" s="106">
        <f t="shared" si="3"/>
        <v>1.999999999998181E-2</v>
      </c>
      <c r="F84" s="58">
        <v>1148.5488</v>
      </c>
    </row>
    <row r="85" spans="1:6" ht="15" customHeight="1">
      <c r="A85" s="1" t="str">
        <f>SCALARS!A86</f>
        <v>Tuesday</v>
      </c>
      <c r="B85" s="28">
        <f>SCALARS!B86</f>
        <v>46161</v>
      </c>
      <c r="C85" s="61">
        <f>SCALARS!I86</f>
        <v>1148.5767000000001</v>
      </c>
      <c r="D85" s="61">
        <f t="shared" si="2"/>
        <v>1148.5488</v>
      </c>
      <c r="E85" s="106">
        <f t="shared" si="3"/>
        <v>2.7900000000045111E-2</v>
      </c>
      <c r="F85" s="58">
        <v>1148.5488</v>
      </c>
    </row>
    <row r="86" spans="1:6" ht="15" customHeight="1">
      <c r="A86" s="1" t="str">
        <f>SCALARS!A87</f>
        <v>Wednesday</v>
      </c>
      <c r="B86" s="28">
        <f>SCALARS!B87</f>
        <v>46162</v>
      </c>
      <c r="C86" s="61">
        <f>SCALARS!I87</f>
        <v>1148.5845999999999</v>
      </c>
      <c r="D86" s="61">
        <f t="shared" si="2"/>
        <v>1148.5487000000001</v>
      </c>
      <c r="E86" s="106">
        <f t="shared" si="3"/>
        <v>3.5899999999855936E-2</v>
      </c>
      <c r="F86" s="58">
        <v>1148.5487000000001</v>
      </c>
    </row>
    <row r="87" spans="1:6" ht="15" customHeight="1">
      <c r="A87" s="1" t="str">
        <f>SCALARS!A88</f>
        <v>Thursday</v>
      </c>
      <c r="B87" s="28">
        <f>SCALARS!B88</f>
        <v>46163</v>
      </c>
      <c r="C87" s="61">
        <f>SCALARS!I88</f>
        <v>1148.5925</v>
      </c>
      <c r="D87" s="61">
        <f t="shared" si="2"/>
        <v>1148.5487000000001</v>
      </c>
      <c r="E87" s="106">
        <f t="shared" si="3"/>
        <v>4.3799999999919237E-2</v>
      </c>
      <c r="F87" s="58">
        <v>1148.5487000000001</v>
      </c>
    </row>
    <row r="88" spans="1:6" ht="15" customHeight="1">
      <c r="A88" s="1" t="str">
        <f>SCALARS!A89</f>
        <v>Friday</v>
      </c>
      <c r="B88" s="28">
        <f>SCALARS!B89</f>
        <v>46164</v>
      </c>
      <c r="C88" s="61">
        <f>SCALARS!I89</f>
        <v>1148.6004</v>
      </c>
      <c r="D88" s="61">
        <f t="shared" si="2"/>
        <v>1148.5482</v>
      </c>
      <c r="E88" s="106">
        <f t="shared" si="3"/>
        <v>5.2200000000084401E-2</v>
      </c>
      <c r="F88" s="58">
        <v>1148.5482</v>
      </c>
    </row>
    <row r="89" spans="1:6" ht="15" customHeight="1">
      <c r="A89" s="1" t="str">
        <f>SCALARS!A90</f>
        <v>Saturday</v>
      </c>
      <c r="B89" s="28">
        <f>SCALARS!B90</f>
        <v>46165</v>
      </c>
      <c r="C89" s="61">
        <f>SCALARS!I90</f>
        <v>1148.6083000000001</v>
      </c>
      <c r="D89" s="61"/>
      <c r="E89" s="106"/>
    </row>
    <row r="90" spans="1:6" ht="15" customHeight="1">
      <c r="A90" s="1" t="str">
        <f>SCALARS!A91</f>
        <v>Sunday</v>
      </c>
      <c r="B90" s="28">
        <f>SCALARS!B91</f>
        <v>46166</v>
      </c>
      <c r="C90" s="61">
        <f>SCALARS!I91</f>
        <v>1148.6161999999999</v>
      </c>
      <c r="D90" s="61"/>
      <c r="E90" s="106"/>
    </row>
    <row r="91" spans="1:6" ht="15" customHeight="1">
      <c r="A91" s="1" t="str">
        <f>SCALARS!A92</f>
        <v>Monday</v>
      </c>
      <c r="B91" s="28">
        <f>SCALARS!B92</f>
        <v>46167</v>
      </c>
      <c r="C91" s="61">
        <f>SCALARS!I92</f>
        <v>1148.6241</v>
      </c>
      <c r="D91" s="61"/>
      <c r="E91" s="106"/>
    </row>
    <row r="92" spans="1:6" ht="15" customHeight="1">
      <c r="A92" s="1" t="str">
        <f>SCALARS!A93</f>
        <v>Tuesday</v>
      </c>
      <c r="B92" s="28">
        <f>SCALARS!B93</f>
        <v>46168</v>
      </c>
      <c r="C92" s="61">
        <f>SCALARS!I93</f>
        <v>1148.6320000000001</v>
      </c>
      <c r="D92" s="61">
        <f t="shared" si="2"/>
        <v>1148.5473</v>
      </c>
      <c r="E92" s="106">
        <f t="shared" si="3"/>
        <v>8.4700000000111686E-2</v>
      </c>
      <c r="F92" s="58">
        <v>1148.5473</v>
      </c>
    </row>
    <row r="93" spans="1:6" ht="15" customHeight="1">
      <c r="A93" s="1" t="str">
        <f>SCALARS!A94</f>
        <v>Wednesday</v>
      </c>
      <c r="B93" s="28">
        <f>SCALARS!B94</f>
        <v>46169</v>
      </c>
      <c r="C93" s="61">
        <f>SCALARS!I94</f>
        <v>1148.6398999999999</v>
      </c>
      <c r="D93" s="61">
        <f t="shared" si="2"/>
        <v>1148.5463</v>
      </c>
      <c r="E93" s="106">
        <f t="shared" si="3"/>
        <v>9.3599999999923966E-2</v>
      </c>
      <c r="F93" s="58">
        <v>1148.5463</v>
      </c>
    </row>
    <row r="94" spans="1:6" ht="15" customHeight="1">
      <c r="A94" s="1" t="str">
        <f>SCALARS!A95</f>
        <v>Thursday</v>
      </c>
      <c r="B94" s="28">
        <f>SCALARS!B95</f>
        <v>46170</v>
      </c>
      <c r="C94" s="61">
        <f>SCALARS!I95</f>
        <v>1148.6478</v>
      </c>
      <c r="D94" s="61">
        <f t="shared" si="2"/>
        <v>1148.546</v>
      </c>
      <c r="E94" s="106">
        <f t="shared" si="3"/>
        <v>0.10179999999991196</v>
      </c>
      <c r="F94" s="58">
        <v>1148.546</v>
      </c>
    </row>
    <row r="95" spans="1:6" ht="15" customHeight="1">
      <c r="A95" s="1" t="str">
        <f>SCALARS!A96</f>
        <v>Friday</v>
      </c>
      <c r="B95" s="28">
        <f>SCALARS!B96</f>
        <v>46171</v>
      </c>
      <c r="C95" s="61">
        <f>SCALARS!I96</f>
        <v>1148.6557</v>
      </c>
      <c r="D95" s="61">
        <f t="shared" si="2"/>
        <v>1148.5454</v>
      </c>
      <c r="E95" s="106">
        <f t="shared" si="3"/>
        <v>0.11030000000005202</v>
      </c>
      <c r="F95" s="58">
        <v>1148.5454</v>
      </c>
    </row>
    <row r="96" spans="1:6" ht="15" customHeight="1">
      <c r="A96" s="1" t="str">
        <f>SCALARS!A97</f>
        <v>Saturday</v>
      </c>
      <c r="B96" s="28">
        <f>SCALARS!B97</f>
        <v>46172</v>
      </c>
      <c r="C96" s="61">
        <f>SCALARS!I97</f>
        <v>1148.6636000000001</v>
      </c>
      <c r="D96" s="61"/>
      <c r="E96" s="106"/>
    </row>
    <row r="97" spans="1:6" ht="15" customHeight="1">
      <c r="A97" s="1" t="str">
        <f>SCALARS!A98</f>
        <v>Sunday</v>
      </c>
      <c r="B97" s="28">
        <f>SCALARS!B98</f>
        <v>46173</v>
      </c>
      <c r="C97" s="61">
        <f>SCALARS!I98</f>
        <v>1148.6714999999999</v>
      </c>
      <c r="D97" s="61"/>
      <c r="E97" s="106"/>
    </row>
    <row r="98" spans="1:6" ht="15" customHeight="1">
      <c r="A98" s="1" t="str">
        <f>SCALARS!A99</f>
        <v>Monday</v>
      </c>
      <c r="B98" s="28">
        <f>SCALARS!B99</f>
        <v>46174</v>
      </c>
      <c r="C98" s="61">
        <f>SCALARS!I99</f>
        <v>1148.6794</v>
      </c>
      <c r="D98" s="61">
        <f t="shared" ref="D98:D102" si="4">F98</f>
        <v>1148.7910999999999</v>
      </c>
      <c r="E98" s="106">
        <f t="shared" ref="E98:E102" si="5">C98-D98</f>
        <v>-0.11169999999992797</v>
      </c>
      <c r="F98" s="58">
        <v>1148.7910999999999</v>
      </c>
    </row>
    <row r="99" spans="1:6" ht="15" customHeight="1">
      <c r="A99" s="1" t="str">
        <f>SCALARS!A100</f>
        <v>Tuesday</v>
      </c>
      <c r="B99" s="28">
        <f>SCALARS!B100</f>
        <v>46175</v>
      </c>
      <c r="C99" s="61">
        <f>SCALARS!I100</f>
        <v>1148.6873000000001</v>
      </c>
      <c r="D99" s="61">
        <f t="shared" si="4"/>
        <v>1148.7909999999999</v>
      </c>
      <c r="E99" s="106">
        <f t="shared" si="5"/>
        <v>-0.10369999999988977</v>
      </c>
      <c r="F99" s="58">
        <v>1148.7909999999999</v>
      </c>
    </row>
    <row r="100" spans="1:6" ht="15" customHeight="1">
      <c r="A100" s="1" t="str">
        <f>SCALARS!A101</f>
        <v>Wednesday</v>
      </c>
      <c r="B100" s="28">
        <f>SCALARS!B101</f>
        <v>46176</v>
      </c>
      <c r="C100" s="61">
        <f>SCALARS!I101</f>
        <v>1148.6952000000001</v>
      </c>
      <c r="D100" s="61">
        <f t="shared" si="4"/>
        <v>1148.7909</v>
      </c>
      <c r="E100" s="106">
        <f t="shared" si="5"/>
        <v>-9.569999999985157E-2</v>
      </c>
      <c r="F100" s="58">
        <v>1148.7909</v>
      </c>
    </row>
    <row r="101" spans="1:6" ht="15" customHeight="1">
      <c r="A101" s="1" t="str">
        <f>SCALARS!A102</f>
        <v>Thursday</v>
      </c>
      <c r="B101" s="28">
        <f>SCALARS!B102</f>
        <v>46177</v>
      </c>
      <c r="C101" s="61">
        <f>SCALARS!I102</f>
        <v>1148.7030999999999</v>
      </c>
      <c r="D101" s="61">
        <f t="shared" si="4"/>
        <v>1148.7908</v>
      </c>
      <c r="E101" s="106">
        <f t="shared" si="5"/>
        <v>-8.7700000000040745E-2</v>
      </c>
      <c r="F101" s="58">
        <v>1148.7908</v>
      </c>
    </row>
    <row r="102" spans="1:6" ht="15" customHeight="1">
      <c r="A102" s="1" t="str">
        <f>SCALARS!A103</f>
        <v>Friday</v>
      </c>
      <c r="B102" s="28">
        <f>SCALARS!B103</f>
        <v>46178</v>
      </c>
      <c r="C102" s="61">
        <f>SCALARS!I103</f>
        <v>1148.711</v>
      </c>
      <c r="D102" s="61">
        <f t="shared" si="4"/>
        <v>1148.7905000000001</v>
      </c>
      <c r="E102" s="106">
        <f t="shared" si="5"/>
        <v>-7.9500000000052751E-2</v>
      </c>
      <c r="F102" s="58">
        <v>1148.7905000000001</v>
      </c>
    </row>
    <row r="103" spans="1:6" ht="15" customHeight="1">
      <c r="A103" s="1" t="str">
        <f>SCALARS!A104</f>
        <v>Saturday</v>
      </c>
      <c r="B103" s="28">
        <f>SCALARS!B104</f>
        <v>46179</v>
      </c>
      <c r="C103" s="61">
        <f>SCALARS!I104</f>
        <v>1148.7189000000001</v>
      </c>
    </row>
    <row r="104" spans="1:6" ht="15" customHeight="1">
      <c r="A104" s="1" t="str">
        <f>SCALARS!A105</f>
        <v>Sunday</v>
      </c>
      <c r="B104" s="28">
        <f>SCALARS!B105</f>
        <v>46180</v>
      </c>
      <c r="C104" s="61">
        <f>SCALARS!I105</f>
        <v>1148.7267999999999</v>
      </c>
    </row>
    <row r="105" spans="1:6" ht="15" customHeight="1">
      <c r="A105" s="1" t="str">
        <f>SCALARS!A106</f>
        <v>Monday</v>
      </c>
      <c r="B105" s="28">
        <f>SCALARS!B106</f>
        <v>46181</v>
      </c>
      <c r="C105" s="61">
        <f>SCALARS!I106</f>
        <v>1148.7347</v>
      </c>
      <c r="D105" s="61">
        <f t="shared" ref="D105:D109" si="6">F105</f>
        <v>1148.7909</v>
      </c>
      <c r="E105" s="106">
        <f t="shared" ref="E105:E109" si="7">C105-D105</f>
        <v>-5.6199999999989814E-2</v>
      </c>
      <c r="F105" s="58">
        <v>1148.7909</v>
      </c>
    </row>
    <row r="106" spans="1:6" ht="15" customHeight="1">
      <c r="A106" s="1" t="str">
        <f>SCALARS!A107</f>
        <v>Tuesday</v>
      </c>
      <c r="B106" s="28">
        <f>SCALARS!B107</f>
        <v>46182</v>
      </c>
      <c r="C106" s="61">
        <f>SCALARS!I107</f>
        <v>1148.7426</v>
      </c>
      <c r="D106" s="61">
        <f t="shared" si="6"/>
        <v>1148.7907</v>
      </c>
      <c r="E106" s="106">
        <f t="shared" si="7"/>
        <v>-4.8099999999976717E-2</v>
      </c>
      <c r="F106" s="58">
        <v>1148.7907</v>
      </c>
    </row>
    <row r="107" spans="1:6" ht="15" customHeight="1">
      <c r="A107" s="1" t="str">
        <f>SCALARS!A108</f>
        <v>Wednesday</v>
      </c>
      <c r="B107" s="28">
        <f>SCALARS!B108</f>
        <v>46183</v>
      </c>
      <c r="C107" s="61">
        <f>SCALARS!I108</f>
        <v>1148.7505000000001</v>
      </c>
      <c r="D107" s="61">
        <f t="shared" si="6"/>
        <v>1148.7908</v>
      </c>
      <c r="E107" s="106">
        <f t="shared" si="7"/>
        <v>-4.0299999999888314E-2</v>
      </c>
      <c r="F107" s="58">
        <v>1148.7908</v>
      </c>
    </row>
    <row r="108" spans="1:6" ht="15" customHeight="1">
      <c r="A108" s="1" t="str">
        <f>SCALARS!A109</f>
        <v>Thursday</v>
      </c>
      <c r="B108" s="28">
        <f>SCALARS!B109</f>
        <v>46184</v>
      </c>
      <c r="C108" s="61">
        <f>SCALARS!I109</f>
        <v>1148.7583999999999</v>
      </c>
      <c r="D108" s="61">
        <f t="shared" si="6"/>
        <v>0</v>
      </c>
      <c r="E108" s="106"/>
      <c r="F108" s="157"/>
    </row>
    <row r="109" spans="1:6" ht="15" customHeight="1">
      <c r="A109" s="1" t="str">
        <f>SCALARS!A110</f>
        <v>Friday</v>
      </c>
      <c r="B109" s="28">
        <f>SCALARS!B110</f>
        <v>46185</v>
      </c>
      <c r="C109" s="61">
        <f>SCALARS!I110</f>
        <v>1148.7663</v>
      </c>
      <c r="D109" s="61">
        <f t="shared" si="6"/>
        <v>1148.7909</v>
      </c>
      <c r="E109" s="106">
        <f t="shared" si="7"/>
        <v>-2.4599999999963984E-2</v>
      </c>
      <c r="F109" s="58">
        <v>1148.7909</v>
      </c>
    </row>
    <row r="110" spans="1:6" ht="15" customHeight="1">
      <c r="A110" s="1" t="str">
        <f>SCALARS!A111</f>
        <v>Saturday</v>
      </c>
      <c r="B110" s="28">
        <f>SCALARS!B111</f>
        <v>46186</v>
      </c>
      <c r="C110" s="61">
        <f>SCALARS!I111</f>
        <v>1148.7742000000001</v>
      </c>
    </row>
    <row r="111" spans="1:6" ht="15" customHeight="1">
      <c r="A111" s="1" t="str">
        <f>SCALARS!A112</f>
        <v>Sunday</v>
      </c>
      <c r="B111" s="28">
        <f>SCALARS!B112</f>
        <v>46187</v>
      </c>
      <c r="C111" s="61">
        <f>SCALARS!I112</f>
        <v>1148.7820999999999</v>
      </c>
    </row>
    <row r="112" spans="1:6" ht="15" customHeight="1">
      <c r="A112" s="1" t="str">
        <f>SCALARS!A113</f>
        <v>Monday</v>
      </c>
      <c r="B112" s="28">
        <f>SCALARS!B113</f>
        <v>46188</v>
      </c>
      <c r="C112" s="61">
        <f>SCALARS!I113</f>
        <v>1148.79</v>
      </c>
      <c r="D112" s="61">
        <f t="shared" ref="D112:D115" si="8">F112</f>
        <v>1148.7908</v>
      </c>
      <c r="E112" s="106">
        <f t="shared" ref="E112:E115" si="9">C112-D112</f>
        <v>-8.0000000002655725E-4</v>
      </c>
      <c r="F112" s="58">
        <v>1148.7908</v>
      </c>
    </row>
    <row r="113" spans="1:6" ht="15" customHeight="1">
      <c r="A113" s="1" t="str">
        <f>SCALARS!A114</f>
        <v>Tuesday</v>
      </c>
      <c r="B113" s="28">
        <f>SCALARS!B114</f>
        <v>46189</v>
      </c>
      <c r="C113" s="61">
        <f>SCALARS!I114</f>
        <v>1148.7979</v>
      </c>
      <c r="D113" s="61">
        <f t="shared" si="8"/>
        <v>1148.7909</v>
      </c>
      <c r="E113" s="106">
        <f t="shared" si="9"/>
        <v>7.0000000000618456E-3</v>
      </c>
      <c r="F113" s="58">
        <v>1148.7909</v>
      </c>
    </row>
    <row r="114" spans="1:6" ht="15" customHeight="1">
      <c r="A114" s="1" t="str">
        <f>SCALARS!A115</f>
        <v>Wednesday</v>
      </c>
      <c r="B114" s="28">
        <f>SCALARS!B115</f>
        <v>46190</v>
      </c>
      <c r="C114" s="61">
        <f>SCALARS!I115</f>
        <v>1148.8058000000001</v>
      </c>
      <c r="D114" s="61">
        <f t="shared" si="8"/>
        <v>1148.7909999999999</v>
      </c>
      <c r="E114" s="106">
        <f t="shared" si="9"/>
        <v>1.4800000000150249E-2</v>
      </c>
      <c r="F114" s="58">
        <v>1148.7909999999999</v>
      </c>
    </row>
    <row r="115" spans="1:6" ht="15" customHeight="1">
      <c r="A115" s="1" t="str">
        <f>SCALARS!A116</f>
        <v>Thursday</v>
      </c>
      <c r="B115" s="28">
        <f>SCALARS!B116</f>
        <v>46191</v>
      </c>
      <c r="C115" s="61">
        <f>SCALARS!I116</f>
        <v>1148.8136999999999</v>
      </c>
      <c r="D115" s="61">
        <f t="shared" si="8"/>
        <v>1148.7909999999999</v>
      </c>
      <c r="E115" s="106">
        <f t="shared" si="9"/>
        <v>2.2699999999986176E-2</v>
      </c>
      <c r="F115" s="58">
        <v>1148.7909999999999</v>
      </c>
    </row>
    <row r="116" spans="1:6" ht="15" customHeight="1">
      <c r="A116" s="1" t="str">
        <f>SCALARS!A117</f>
        <v>Friday</v>
      </c>
      <c r="B116" s="28">
        <f>SCALARS!B117</f>
        <v>46192</v>
      </c>
      <c r="C116" s="61">
        <f>SCALARS!I117</f>
        <v>1148.8216</v>
      </c>
      <c r="D116" s="161" t="s">
        <v>73</v>
      </c>
      <c r="E116" s="106"/>
    </row>
    <row r="117" spans="1:6" ht="15" customHeight="1">
      <c r="A117" s="1" t="str">
        <f>SCALARS!A118</f>
        <v>Saturday</v>
      </c>
      <c r="B117" s="28">
        <f>SCALARS!B118</f>
        <v>46193</v>
      </c>
      <c r="C117" s="61">
        <f>SCALARS!I118</f>
        <v>1148.8295000000001</v>
      </c>
    </row>
    <row r="118" spans="1:6" ht="15" customHeight="1">
      <c r="A118" s="1" t="str">
        <f>SCALARS!A119</f>
        <v>Sunday</v>
      </c>
      <c r="B118" s="28">
        <f>SCALARS!B119</f>
        <v>46194</v>
      </c>
      <c r="C118" s="61">
        <f>SCALARS!I119</f>
        <v>1148.8373999999999</v>
      </c>
    </row>
    <row r="119" spans="1:6" ht="15" customHeight="1">
      <c r="A119" s="1" t="str">
        <f>SCALARS!A120</f>
        <v>Monday</v>
      </c>
      <c r="B119" s="28">
        <f>SCALARS!B120</f>
        <v>46195</v>
      </c>
      <c r="C119" s="61">
        <f>SCALARS!I120</f>
        <v>1148.8453</v>
      </c>
      <c r="D119" s="61">
        <f t="shared" ref="D119:D123" si="10">F119</f>
        <v>1148.7918999999999</v>
      </c>
      <c r="E119" s="106">
        <f t="shared" ref="E119:E123" si="11">C119-D119</f>
        <v>5.340000000001055E-2</v>
      </c>
      <c r="F119" s="58">
        <v>1148.7918999999999</v>
      </c>
    </row>
    <row r="120" spans="1:6" ht="15" customHeight="1">
      <c r="A120" s="1" t="str">
        <f>SCALARS!A121</f>
        <v>Tuesday</v>
      </c>
      <c r="B120" s="28">
        <f>SCALARS!B121</f>
        <v>46196</v>
      </c>
      <c r="C120" s="61">
        <f>SCALARS!I121</f>
        <v>1148.8532</v>
      </c>
      <c r="D120" s="61">
        <f t="shared" si="10"/>
        <v>1148.7918999999999</v>
      </c>
      <c r="E120" s="106">
        <f t="shared" si="11"/>
        <v>6.1300000000073851E-2</v>
      </c>
      <c r="F120" s="58">
        <v>1148.7918999999999</v>
      </c>
    </row>
    <row r="121" spans="1:6" ht="15" customHeight="1">
      <c r="A121" s="1" t="str">
        <f>SCALARS!A122</f>
        <v>Wednesday</v>
      </c>
      <c r="B121" s="28">
        <f>SCALARS!B122</f>
        <v>46197</v>
      </c>
      <c r="C121" s="61">
        <f>SCALARS!I122</f>
        <v>1148.8611000000001</v>
      </c>
      <c r="D121" s="61">
        <f t="shared" si="10"/>
        <v>1148.7900999999999</v>
      </c>
      <c r="E121" s="106">
        <f t="shared" si="11"/>
        <v>7.1000000000140062E-2</v>
      </c>
      <c r="F121" s="58">
        <v>1148.7900999999999</v>
      </c>
    </row>
    <row r="122" spans="1:6" ht="15" customHeight="1">
      <c r="A122" s="1" t="str">
        <f>SCALARS!A123</f>
        <v>Thursday</v>
      </c>
      <c r="B122" s="28">
        <f>SCALARS!B123</f>
        <v>46198</v>
      </c>
      <c r="C122" s="61">
        <f>SCALARS!I123</f>
        <v>1148.8689999999999</v>
      </c>
      <c r="D122" s="61">
        <f t="shared" si="10"/>
        <v>1148.7846</v>
      </c>
      <c r="E122" s="106">
        <f t="shared" si="11"/>
        <v>8.4399999999959618E-2</v>
      </c>
      <c r="F122" s="58">
        <v>1148.7846</v>
      </c>
    </row>
    <row r="123" spans="1:6" ht="15" customHeight="1">
      <c r="A123" s="1" t="str">
        <f>SCALARS!A124</f>
        <v>Friday</v>
      </c>
      <c r="B123" s="28">
        <f>SCALARS!B124</f>
        <v>46199</v>
      </c>
      <c r="C123" s="61">
        <f>SCALARS!I124</f>
        <v>1148.8769</v>
      </c>
      <c r="D123" s="61">
        <f t="shared" si="10"/>
        <v>1148.7846</v>
      </c>
      <c r="E123" s="106">
        <f t="shared" si="11"/>
        <v>9.2300000000022919E-2</v>
      </c>
      <c r="F123" s="58">
        <v>1148.7846</v>
      </c>
    </row>
    <row r="124" spans="1:6" ht="15" customHeight="1">
      <c r="A124" s="1" t="str">
        <f>SCALARS!A125</f>
        <v>Saturday</v>
      </c>
      <c r="B124" s="28">
        <f>SCALARS!B125</f>
        <v>46200</v>
      </c>
      <c r="C124" s="61">
        <f>SCALARS!I125</f>
        <v>1148.8848</v>
      </c>
    </row>
    <row r="125" spans="1:6" ht="15" customHeight="1">
      <c r="A125" s="1" t="str">
        <f>SCALARS!A126</f>
        <v>Sunday</v>
      </c>
      <c r="B125" s="28">
        <f>SCALARS!B126</f>
        <v>46201</v>
      </c>
      <c r="C125" s="61">
        <f>SCALARS!I126</f>
        <v>1148.8927000000001</v>
      </c>
    </row>
    <row r="126" spans="1:6" ht="15" customHeight="1">
      <c r="A126" s="1" t="str">
        <f>SCALARS!A127</f>
        <v>Monday</v>
      </c>
      <c r="B126" s="28">
        <f>SCALARS!B127</f>
        <v>46202</v>
      </c>
      <c r="C126" s="61">
        <f>SCALARS!I127</f>
        <v>1148.9005999999999</v>
      </c>
      <c r="D126" s="61">
        <f t="shared" ref="D126:D127" si="12">F126</f>
        <v>1148.7845</v>
      </c>
      <c r="E126" s="106">
        <f t="shared" ref="E126:E127" si="13">C126-D126</f>
        <v>0.11609999999996035</v>
      </c>
      <c r="F126" s="58">
        <v>1148.7845</v>
      </c>
    </row>
    <row r="127" spans="1:6" ht="15" customHeight="1">
      <c r="A127" s="1" t="str">
        <f>SCALARS!A128</f>
        <v>Tuesday</v>
      </c>
      <c r="B127" s="28">
        <f>SCALARS!B128</f>
        <v>46203</v>
      </c>
      <c r="C127" s="61">
        <f>SCALARS!I128</f>
        <v>1148.9085</v>
      </c>
      <c r="D127" s="61">
        <f t="shared" si="12"/>
        <v>1148.7843</v>
      </c>
      <c r="E127" s="106">
        <f t="shared" si="13"/>
        <v>0.12419999999997344</v>
      </c>
      <c r="F127" s="58">
        <v>1148.7843</v>
      </c>
    </row>
    <row r="128" spans="1:6" ht="15" customHeight="1">
      <c r="A128" s="1" t="str">
        <f>SCALARS!A129</f>
        <v>Wednesday</v>
      </c>
      <c r="B128" s="28">
        <f>SCALARS!B129</f>
        <v>46204</v>
      </c>
      <c r="C128" s="61">
        <f>SCALARS!I129</f>
        <v>1148.9164000000001</v>
      </c>
      <c r="D128" s="61">
        <f t="shared" ref="D128:D158" si="14">F128</f>
        <v>1149.0309999999999</v>
      </c>
      <c r="E128" s="106">
        <f t="shared" ref="E128:E134" si="15">C128-D128</f>
        <v>-0.11459999999988213</v>
      </c>
      <c r="F128" s="58">
        <v>1149.0309999999999</v>
      </c>
    </row>
    <row r="129" spans="1:6" ht="15" customHeight="1">
      <c r="A129" s="1" t="str">
        <f>SCALARS!A130</f>
        <v>Thursday</v>
      </c>
      <c r="B129" s="28">
        <f>SCALARS!B130</f>
        <v>46205</v>
      </c>
      <c r="C129" s="61">
        <f>SCALARS!I130</f>
        <v>1148.9242999999999</v>
      </c>
      <c r="D129" s="61">
        <f t="shared" si="14"/>
        <v>1149.0313000000001</v>
      </c>
      <c r="E129" s="106">
        <f t="shared" si="15"/>
        <v>-0.10700000000019827</v>
      </c>
      <c r="F129" s="58">
        <v>1149.0313000000001</v>
      </c>
    </row>
    <row r="130" spans="1:6" ht="15" customHeight="1">
      <c r="A130" s="1" t="str">
        <f>SCALARS!A131</f>
        <v>Friday</v>
      </c>
      <c r="B130" s="28">
        <f>SCALARS!B131</f>
        <v>46206</v>
      </c>
      <c r="C130" s="61">
        <f>SCALARS!I131</f>
        <v>1148.9322</v>
      </c>
      <c r="D130" s="161" t="s">
        <v>73</v>
      </c>
      <c r="E130" s="106"/>
    </row>
    <row r="131" spans="1:6" ht="15" customHeight="1">
      <c r="A131" s="1" t="str">
        <f>SCALARS!A132</f>
        <v>Saturday</v>
      </c>
      <c r="B131" s="28">
        <f>SCALARS!B132</f>
        <v>46207</v>
      </c>
      <c r="C131" s="61">
        <f>SCALARS!I132</f>
        <v>1148.9401</v>
      </c>
      <c r="D131" s="61"/>
      <c r="E131" s="106"/>
    </row>
    <row r="132" spans="1:6" ht="15" customHeight="1">
      <c r="A132" s="1" t="str">
        <f>SCALARS!A133</f>
        <v>Sunday</v>
      </c>
      <c r="B132" s="28">
        <f>SCALARS!B133</f>
        <v>46208</v>
      </c>
      <c r="C132" s="61">
        <f>SCALARS!I133</f>
        <v>1148.9480000000001</v>
      </c>
      <c r="D132" s="61"/>
      <c r="E132" s="106"/>
    </row>
    <row r="133" spans="1:6" ht="15" customHeight="1">
      <c r="A133" s="1" t="str">
        <f>SCALARS!A134</f>
        <v>Monday</v>
      </c>
      <c r="B133" s="28">
        <f>SCALARS!B134</f>
        <v>46209</v>
      </c>
      <c r="C133" s="61">
        <f>SCALARS!I134</f>
        <v>1148.9558999999999</v>
      </c>
      <c r="D133" s="61">
        <f t="shared" si="14"/>
        <v>1149.0313000000001</v>
      </c>
      <c r="E133" s="106">
        <f t="shared" si="15"/>
        <v>-7.540000000017244E-2</v>
      </c>
      <c r="F133" s="58">
        <v>1149.0313000000001</v>
      </c>
    </row>
    <row r="134" spans="1:6" ht="15" customHeight="1">
      <c r="A134" s="1" t="str">
        <f>SCALARS!A135</f>
        <v>Tuesday</v>
      </c>
      <c r="B134" s="28">
        <f>SCALARS!B135</f>
        <v>46210</v>
      </c>
      <c r="C134" s="61">
        <f>SCALARS!I135</f>
        <v>1148.9638</v>
      </c>
      <c r="D134" s="61">
        <f t="shared" si="14"/>
        <v>1149.0311999999999</v>
      </c>
      <c r="E134" s="106">
        <f t="shared" si="15"/>
        <v>-6.7399999999906868E-2</v>
      </c>
      <c r="F134" s="58">
        <v>1149.0311999999999</v>
      </c>
    </row>
    <row r="135" spans="1:6" ht="15" customHeight="1">
      <c r="A135" s="1" t="str">
        <f>SCALARS!A136</f>
        <v>Wednesday</v>
      </c>
      <c r="B135" s="28">
        <f>SCALARS!B136</f>
        <v>46211</v>
      </c>
      <c r="C135" s="61">
        <f>SCALARS!I136</f>
        <v>1148.9717000000001</v>
      </c>
      <c r="D135" s="61">
        <f t="shared" si="14"/>
        <v>1149.0310999999999</v>
      </c>
      <c r="E135" s="106">
        <f>C135-D135</f>
        <v>-5.9399999999868669E-2</v>
      </c>
      <c r="F135" s="58">
        <v>1149.0310999999999</v>
      </c>
    </row>
    <row r="136" spans="1:6" ht="15" customHeight="1">
      <c r="A136" s="1" t="str">
        <f>SCALARS!A137</f>
        <v>Thursday</v>
      </c>
      <c r="B136" s="28">
        <f>SCALARS!B137</f>
        <v>46212</v>
      </c>
      <c r="C136" s="61">
        <f>SCALARS!I137</f>
        <v>1148.9795999999999</v>
      </c>
      <c r="D136" s="61">
        <f t="shared" si="14"/>
        <v>1149.0308</v>
      </c>
      <c r="E136" s="106">
        <f>C136-D136</f>
        <v>-5.1200000000108048E-2</v>
      </c>
      <c r="F136" s="58">
        <v>1149.0308</v>
      </c>
    </row>
    <row r="137" spans="1:6" ht="15" customHeight="1">
      <c r="A137" s="1" t="str">
        <f>SCALARS!A138</f>
        <v>Friday</v>
      </c>
      <c r="B137" s="28">
        <f>SCALARS!B138</f>
        <v>46213</v>
      </c>
      <c r="C137" s="61">
        <f>SCALARS!I138</f>
        <v>1148.9875</v>
      </c>
      <c r="D137" s="61">
        <f t="shared" si="14"/>
        <v>1149.0308</v>
      </c>
      <c r="E137" s="106">
        <f>C137-D137</f>
        <v>-4.3300000000044747E-2</v>
      </c>
      <c r="F137" s="58">
        <v>1149.0308</v>
      </c>
    </row>
    <row r="138" spans="1:6" ht="15" customHeight="1">
      <c r="A138" s="1" t="str">
        <f>SCALARS!A139</f>
        <v>Saturday</v>
      </c>
      <c r="B138" s="28">
        <f>SCALARS!B139</f>
        <v>46214</v>
      </c>
      <c r="C138" s="61">
        <f>SCALARS!I139</f>
        <v>1148.9954</v>
      </c>
      <c r="D138" s="61"/>
      <c r="E138" s="106"/>
    </row>
    <row r="139" spans="1:6" ht="15" customHeight="1">
      <c r="A139" s="1" t="str">
        <f>SCALARS!A140</f>
        <v>Sunday</v>
      </c>
      <c r="B139" s="28">
        <f>SCALARS!B140</f>
        <v>46215</v>
      </c>
      <c r="C139" s="61">
        <f>SCALARS!I140</f>
        <v>1149.0033000000001</v>
      </c>
      <c r="D139" s="61"/>
      <c r="E139" s="106"/>
    </row>
    <row r="140" spans="1:6" ht="15" customHeight="1">
      <c r="A140" s="1" t="str">
        <f>SCALARS!A141</f>
        <v>Monday</v>
      </c>
      <c r="B140" s="28">
        <f>SCALARS!B141</f>
        <v>46216</v>
      </c>
      <c r="C140" s="61">
        <f>SCALARS!I141</f>
        <v>1149.0111999999999</v>
      </c>
      <c r="D140" s="61">
        <f t="shared" si="14"/>
        <v>1149.0288</v>
      </c>
      <c r="E140" s="106">
        <f t="shared" ref="E140:E144" si="16">C140-D140</f>
        <v>-1.7600000000129512E-2</v>
      </c>
      <c r="F140" s="58">
        <v>1149.0288</v>
      </c>
    </row>
    <row r="141" spans="1:6" ht="15" customHeight="1">
      <c r="A141" s="1" t="str">
        <f>SCALARS!A142</f>
        <v>Tuesday</v>
      </c>
      <c r="B141" s="28">
        <f>SCALARS!B142</f>
        <v>46217</v>
      </c>
      <c r="C141" s="61">
        <f>SCALARS!I142</f>
        <v>1149.0191</v>
      </c>
      <c r="D141" s="61">
        <f t="shared" si="14"/>
        <v>1149.0289</v>
      </c>
      <c r="E141" s="106">
        <f t="shared" si="16"/>
        <v>-9.8000000000411092E-3</v>
      </c>
      <c r="F141" s="58">
        <v>1149.0289</v>
      </c>
    </row>
    <row r="142" spans="1:6" ht="15" customHeight="1">
      <c r="A142" s="1" t="str">
        <f>SCALARS!A143</f>
        <v>Wednesday</v>
      </c>
      <c r="B142" s="28">
        <f>SCALARS!B143</f>
        <v>46218</v>
      </c>
      <c r="C142" s="61">
        <f>SCALARS!I143</f>
        <v>1149.027</v>
      </c>
      <c r="D142" s="61">
        <f t="shared" si="14"/>
        <v>1149.0291</v>
      </c>
      <c r="E142" s="106">
        <f t="shared" si="16"/>
        <v>-2.0999999999276042E-3</v>
      </c>
      <c r="F142" s="58">
        <v>1149.0291</v>
      </c>
    </row>
    <row r="143" spans="1:6" ht="15" customHeight="1">
      <c r="A143" s="1" t="str">
        <f>SCALARS!A144</f>
        <v>Thursday</v>
      </c>
      <c r="B143" s="28">
        <f>SCALARS!B144</f>
        <v>46219</v>
      </c>
      <c r="C143" s="61">
        <f>SCALARS!I144</f>
        <v>1149.0349000000001</v>
      </c>
      <c r="D143" s="61">
        <f t="shared" si="14"/>
        <v>1149.0295000000001</v>
      </c>
      <c r="E143" s="106">
        <f t="shared" si="16"/>
        <v>5.4000000000087311E-3</v>
      </c>
      <c r="F143" s="58">
        <v>1149.0295000000001</v>
      </c>
    </row>
    <row r="144" spans="1:6" ht="15" customHeight="1">
      <c r="A144" s="1" t="str">
        <f>SCALARS!A145</f>
        <v>Friday</v>
      </c>
      <c r="B144" s="28">
        <f>SCALARS!B145</f>
        <v>46220</v>
      </c>
      <c r="C144" s="61">
        <f>SCALARS!I145</f>
        <v>1149.0427999999999</v>
      </c>
      <c r="D144" s="61">
        <f t="shared" si="14"/>
        <v>1149.0293999999999</v>
      </c>
      <c r="E144" s="106">
        <f t="shared" si="16"/>
        <v>1.340000000004693E-2</v>
      </c>
      <c r="F144" s="58">
        <v>1149.0293999999999</v>
      </c>
    </row>
    <row r="145" spans="1:6" ht="15" customHeight="1">
      <c r="A145" s="1" t="str">
        <f>SCALARS!A146</f>
        <v>Saturday</v>
      </c>
      <c r="B145" s="28">
        <f>SCALARS!B146</f>
        <v>46221</v>
      </c>
      <c r="C145" s="61">
        <f>SCALARS!I146</f>
        <v>1149.0507</v>
      </c>
      <c r="D145" s="61"/>
      <c r="E145" s="106"/>
    </row>
    <row r="146" spans="1:6" ht="15" customHeight="1">
      <c r="A146" s="1" t="str">
        <f>SCALARS!A147</f>
        <v>Sunday</v>
      </c>
      <c r="B146" s="28">
        <f>SCALARS!B147</f>
        <v>46222</v>
      </c>
      <c r="C146" s="61">
        <f>SCALARS!I147</f>
        <v>1149.0586000000001</v>
      </c>
      <c r="D146" s="61"/>
      <c r="E146" s="106"/>
    </row>
    <row r="147" spans="1:6" ht="15" customHeight="1">
      <c r="A147" s="1" t="str">
        <f>SCALARS!A148</f>
        <v>Monday</v>
      </c>
      <c r="B147" s="28">
        <f>SCALARS!B148</f>
        <v>46223</v>
      </c>
      <c r="C147" s="61">
        <f>SCALARS!I148</f>
        <v>1149.0664999999999</v>
      </c>
      <c r="D147" s="61">
        <f t="shared" si="14"/>
        <v>1149.0297</v>
      </c>
      <c r="E147" s="106">
        <f t="shared" ref="E147" si="17">C147-D147</f>
        <v>3.6799999999857391E-2</v>
      </c>
      <c r="F147" s="58">
        <v>1149.0297</v>
      </c>
    </row>
    <row r="148" spans="1:6" ht="15" customHeight="1">
      <c r="A148" s="1" t="str">
        <f>SCALARS!A149</f>
        <v>Tuesday</v>
      </c>
      <c r="B148" s="28">
        <f>SCALARS!B149</f>
        <v>46224</v>
      </c>
      <c r="C148" s="61">
        <f>SCALARS!I149</f>
        <v>1149.0744</v>
      </c>
      <c r="D148" s="61">
        <f t="shared" si="14"/>
        <v>1149.03</v>
      </c>
      <c r="E148" s="106">
        <f>C148-D148</f>
        <v>4.4399999999995998E-2</v>
      </c>
      <c r="F148" s="58">
        <v>1149.03</v>
      </c>
    </row>
    <row r="149" spans="1:6" ht="15" customHeight="1">
      <c r="A149" s="1" t="str">
        <f>SCALARS!A150</f>
        <v>Wednesday</v>
      </c>
      <c r="B149" s="28">
        <f>SCALARS!B150</f>
        <v>46225</v>
      </c>
      <c r="C149" s="61">
        <f>SCALARS!I150</f>
        <v>1149.0823</v>
      </c>
      <c r="D149" s="61">
        <f t="shared" si="14"/>
        <v>1149.0302999999999</v>
      </c>
      <c r="E149" s="106">
        <f>C149-D149</f>
        <v>5.2000000000134605E-2</v>
      </c>
      <c r="F149" s="58">
        <v>1149.0302999999999</v>
      </c>
    </row>
    <row r="150" spans="1:6" ht="15" customHeight="1">
      <c r="A150" s="1" t="str">
        <f>SCALARS!A151</f>
        <v>Thursday</v>
      </c>
      <c r="B150" s="28">
        <f>SCALARS!B151</f>
        <v>46226</v>
      </c>
      <c r="C150" s="61">
        <f>SCALARS!I151</f>
        <v>1149.0902000000001</v>
      </c>
      <c r="D150" s="61">
        <f t="shared" si="14"/>
        <v>1149.0301999999999</v>
      </c>
      <c r="E150" s="106">
        <f>C150-D150</f>
        <v>6.0000000000172804E-2</v>
      </c>
      <c r="F150" s="58">
        <v>1149.0301999999999</v>
      </c>
    </row>
    <row r="151" spans="1:6" ht="15" customHeight="1">
      <c r="A151" s="1" t="str">
        <f>SCALARS!A152</f>
        <v>Friday</v>
      </c>
      <c r="B151" s="28">
        <f>SCALARS!B152</f>
        <v>46227</v>
      </c>
      <c r="C151" s="61">
        <f>SCALARS!I152</f>
        <v>1149.0980999999999</v>
      </c>
      <c r="D151" s="61">
        <f t="shared" si="14"/>
        <v>1149.0298</v>
      </c>
      <c r="E151" s="106">
        <f>C151-D151</f>
        <v>6.8299999999908323E-2</v>
      </c>
      <c r="F151" s="58">
        <v>1149.0298</v>
      </c>
    </row>
    <row r="152" spans="1:6" ht="15" customHeight="1">
      <c r="A152" s="1" t="str">
        <f>SCALARS!A153</f>
        <v>Saturday</v>
      </c>
      <c r="B152" s="28">
        <f>SCALARS!B153</f>
        <v>46228</v>
      </c>
      <c r="C152" s="61">
        <f>SCALARS!I153</f>
        <v>1149.106</v>
      </c>
      <c r="D152" s="61"/>
      <c r="E152" s="106"/>
    </row>
    <row r="153" spans="1:6" ht="15" customHeight="1">
      <c r="A153" s="1" t="str">
        <f>SCALARS!A154</f>
        <v>Sunday</v>
      </c>
      <c r="B153" s="28">
        <f>SCALARS!B154</f>
        <v>46229</v>
      </c>
      <c r="C153" s="61">
        <f>SCALARS!I154</f>
        <v>1149.1139000000001</v>
      </c>
      <c r="D153" s="61"/>
      <c r="E153" s="106"/>
    </row>
    <row r="154" spans="1:6" ht="15" customHeight="1">
      <c r="A154" s="1" t="str">
        <f>SCALARS!A155</f>
        <v>Monday</v>
      </c>
      <c r="B154" s="28">
        <f>SCALARS!B155</f>
        <v>46230</v>
      </c>
      <c r="C154" s="61">
        <f>SCALARS!I155</f>
        <v>1149.1217999999999</v>
      </c>
      <c r="D154" s="61">
        <f t="shared" si="14"/>
        <v>1149.0297</v>
      </c>
      <c r="E154" s="106">
        <f t="shared" ref="E154:E156" si="18">C154-D154</f>
        <v>9.209999999984575E-2</v>
      </c>
      <c r="F154" s="58">
        <v>1149.0297</v>
      </c>
    </row>
    <row r="155" spans="1:6" ht="15" customHeight="1">
      <c r="A155" s="1" t="str">
        <f>SCALARS!A156</f>
        <v>Tuesday</v>
      </c>
      <c r="B155" s="28">
        <f>SCALARS!B156</f>
        <v>46231</v>
      </c>
      <c r="C155" s="61">
        <f>SCALARS!I156</f>
        <v>1149.1297</v>
      </c>
      <c r="D155" s="61">
        <f t="shared" si="14"/>
        <v>1149.0297</v>
      </c>
      <c r="E155" s="106">
        <f t="shared" si="18"/>
        <v>9.9999999999909051E-2</v>
      </c>
      <c r="F155" s="58">
        <v>1149.0297</v>
      </c>
    </row>
    <row r="156" spans="1:6" ht="15" customHeight="1">
      <c r="A156" s="1" t="str">
        <f>SCALARS!A157</f>
        <v>Wednesday</v>
      </c>
      <c r="B156" s="28">
        <f>SCALARS!B157</f>
        <v>46232</v>
      </c>
      <c r="C156" s="61">
        <f>SCALARS!I157</f>
        <v>1149.1376</v>
      </c>
      <c r="D156" s="61">
        <f t="shared" si="14"/>
        <v>1149.0289</v>
      </c>
      <c r="E156" s="106">
        <f t="shared" si="18"/>
        <v>0.10869999999999891</v>
      </c>
      <c r="F156" s="58">
        <v>1149.0289</v>
      </c>
    </row>
    <row r="157" spans="1:6" ht="15" customHeight="1">
      <c r="A157" s="1" t="str">
        <f>SCALARS!A158</f>
        <v>Thursday</v>
      </c>
      <c r="B157" s="28">
        <f>SCALARS!B158</f>
        <v>46233</v>
      </c>
      <c r="C157" s="61">
        <f>SCALARS!I158</f>
        <v>1149.1455000000001</v>
      </c>
      <c r="D157" s="61">
        <f t="shared" si="14"/>
        <v>0</v>
      </c>
      <c r="E157" s="106"/>
    </row>
    <row r="158" spans="1:6" ht="15" customHeight="1">
      <c r="A158" s="1" t="str">
        <f>SCALARS!A159</f>
        <v>Friday</v>
      </c>
      <c r="B158" s="28">
        <f>SCALARS!B159</f>
        <v>46234</v>
      </c>
      <c r="C158" s="61">
        <f>SCALARS!I159</f>
        <v>1149.1533999999999</v>
      </c>
      <c r="D158" s="61">
        <f t="shared" si="14"/>
        <v>0</v>
      </c>
      <c r="E158" s="106"/>
    </row>
  </sheetData>
  <hyperlinks>
    <hyperlink ref="A1" r:id="rId1" xr:uid="{5A6DA45F-5632-42B9-AEC2-81C132380C89}"/>
  </hyperlinks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43D7-1479-454E-A08C-A6FA2F01D2E9}">
  <sheetPr codeName="Sheet2">
    <tabColor theme="6" tint="0.79998168889431442"/>
  </sheetPr>
  <dimension ref="A1:R158"/>
  <sheetViews>
    <sheetView zoomScale="80" zoomScaleNormal="80" workbookViewId="0">
      <pane xSplit="5" ySplit="5" topLeftCell="F91" activePane="bottomRight" state="frozen"/>
      <selection pane="topRight" activeCell="F1" sqref="F1"/>
      <selection pane="bottomLeft" activeCell="A6" sqref="A6"/>
      <selection pane="bottomRight" activeCell="G162" sqref="G162"/>
    </sheetView>
  </sheetViews>
  <sheetFormatPr defaultColWidth="9.140625" defaultRowHeight="15" customHeight="1"/>
  <cols>
    <col min="1" max="1" width="13.5703125" style="25" customWidth="1"/>
    <col min="2" max="2" width="14.7109375" style="25" bestFit="1" customWidth="1"/>
    <col min="3" max="3" width="13.7109375" style="25" bestFit="1" customWidth="1"/>
    <col min="4" max="4" width="21" style="25" bestFit="1" customWidth="1"/>
    <col min="5" max="5" width="12.28515625" style="25" bestFit="1" customWidth="1"/>
    <col min="6" max="6" width="17" style="25" bestFit="1" customWidth="1"/>
    <col min="7" max="7" width="21" style="73" customWidth="1"/>
    <col min="8" max="8" width="8.85546875" style="1"/>
    <col min="9" max="9" width="13.7109375" style="3" bestFit="1" customWidth="1"/>
    <col min="10" max="10" width="11.7109375" style="67" bestFit="1" customWidth="1"/>
    <col min="11" max="11" width="11.7109375" style="67" customWidth="1"/>
    <col min="12" max="12" width="11.42578125" style="82" bestFit="1" customWidth="1"/>
    <col min="13" max="13" width="10.85546875" style="1"/>
    <col min="14" max="14" width="12.140625" style="25" bestFit="1" customWidth="1"/>
    <col min="15" max="15" width="13.5703125" style="25" bestFit="1" customWidth="1"/>
    <col min="16" max="17" width="9.140625" style="25"/>
    <col min="18" max="18" width="8.85546875" style="26" customWidth="1"/>
    <col min="19" max="16384" width="9.140625" style="25"/>
  </cols>
  <sheetData>
    <row r="1" spans="1:18" s="5" customFormat="1" ht="15" customHeight="1">
      <c r="A1" s="5" t="s">
        <v>3</v>
      </c>
      <c r="I1" s="3"/>
    </row>
    <row r="2" spans="1:18" ht="15" customHeight="1">
      <c r="A2" s="24"/>
      <c r="C2" s="84"/>
      <c r="D2" s="84"/>
      <c r="E2" s="84"/>
      <c r="F2" s="84"/>
      <c r="G2" s="84"/>
      <c r="H2" s="84"/>
      <c r="J2" s="81"/>
      <c r="K2" s="81"/>
      <c r="L2" s="81"/>
      <c r="R2" s="25"/>
    </row>
    <row r="3" spans="1:18" ht="15" customHeight="1">
      <c r="A3" s="24"/>
      <c r="C3" s="1"/>
      <c r="D3" s="1"/>
      <c r="E3" s="1"/>
      <c r="F3" s="1"/>
      <c r="G3" s="1"/>
      <c r="R3" s="25"/>
    </row>
    <row r="4" spans="1:18" ht="15" customHeight="1">
      <c r="A4" s="24"/>
      <c r="R4" s="25"/>
    </row>
    <row r="5" spans="1:18" ht="30">
      <c r="A5" s="27" t="s">
        <v>42</v>
      </c>
      <c r="B5" s="30" t="s">
        <v>30</v>
      </c>
      <c r="C5" s="44" t="s">
        <v>55</v>
      </c>
      <c r="D5" s="44" t="s">
        <v>68</v>
      </c>
      <c r="E5" s="51" t="s">
        <v>67</v>
      </c>
      <c r="F5" s="22" t="s">
        <v>9</v>
      </c>
      <c r="G5" s="74" t="s">
        <v>64</v>
      </c>
      <c r="H5" s="50"/>
      <c r="J5" s="83"/>
      <c r="K5" s="83"/>
      <c r="L5" s="83"/>
      <c r="R5" s="25"/>
    </row>
    <row r="6" spans="1:18" ht="15" customHeight="1">
      <c r="A6" s="1" t="str">
        <f>SCALARS!A7</f>
        <v>Sunday</v>
      </c>
      <c r="B6" s="28">
        <f>SCALARS!B7</f>
        <v>46082</v>
      </c>
      <c r="C6" s="61">
        <f>SCALARS!L7</f>
        <v>1763.6799000000001</v>
      </c>
      <c r="D6" s="101"/>
      <c r="E6" s="23"/>
      <c r="F6" s="1"/>
      <c r="G6" s="75"/>
      <c r="R6" s="25"/>
    </row>
    <row r="7" spans="1:18" ht="15" customHeight="1">
      <c r="A7" s="1" t="str">
        <f>SCALARS!A8</f>
        <v>Monday</v>
      </c>
      <c r="B7" s="28">
        <f>SCALARS!B8</f>
        <v>46083</v>
      </c>
      <c r="C7" s="61">
        <f>SCALARS!L8</f>
        <v>1763.692</v>
      </c>
      <c r="D7" s="101"/>
      <c r="E7" s="109"/>
      <c r="F7" s="1"/>
      <c r="G7" s="75"/>
      <c r="R7" s="25"/>
    </row>
    <row r="8" spans="1:18" ht="15" customHeight="1">
      <c r="A8" s="1" t="str">
        <f>SCALARS!A9</f>
        <v>Tuesday</v>
      </c>
      <c r="B8" s="28">
        <f>SCALARS!B9</f>
        <v>46084</v>
      </c>
      <c r="C8" s="61">
        <f>SCALARS!L9</f>
        <v>1763.7040999999999</v>
      </c>
      <c r="D8" s="101"/>
      <c r="E8" s="109"/>
      <c r="F8" s="1"/>
      <c r="G8" s="75"/>
      <c r="R8" s="25"/>
    </row>
    <row r="9" spans="1:18" ht="15" customHeight="1">
      <c r="A9" s="1" t="str">
        <f>SCALARS!A10</f>
        <v>Wednesday</v>
      </c>
      <c r="B9" s="28">
        <f>SCALARS!B10</f>
        <v>46085</v>
      </c>
      <c r="C9" s="61">
        <f>SCALARS!L10</f>
        <v>1763.7162000000001</v>
      </c>
      <c r="D9" s="101"/>
      <c r="E9" s="109"/>
      <c r="F9" s="1"/>
      <c r="G9" s="75"/>
      <c r="R9" s="25"/>
    </row>
    <row r="10" spans="1:18" ht="15" customHeight="1">
      <c r="A10" s="1" t="str">
        <f>SCALARS!A11</f>
        <v>Thursday</v>
      </c>
      <c r="B10" s="28">
        <f>SCALARS!B11</f>
        <v>46086</v>
      </c>
      <c r="C10" s="61">
        <f>SCALARS!L11</f>
        <v>1763.7283</v>
      </c>
      <c r="D10" s="101"/>
      <c r="E10" s="109"/>
      <c r="F10" s="1"/>
      <c r="G10" s="75"/>
      <c r="R10" s="25"/>
    </row>
    <row r="11" spans="1:18" ht="15" customHeight="1">
      <c r="A11" s="1" t="str">
        <f>SCALARS!A12</f>
        <v>Friday</v>
      </c>
      <c r="B11" s="28">
        <f>SCALARS!B12</f>
        <v>46087</v>
      </c>
      <c r="C11" s="61">
        <f>SCALARS!L12</f>
        <v>1763.7403999999999</v>
      </c>
      <c r="D11" s="61"/>
      <c r="E11" s="103"/>
      <c r="F11" s="53"/>
      <c r="G11" s="76"/>
      <c r="R11" s="25"/>
    </row>
    <row r="12" spans="1:18" ht="15" customHeight="1">
      <c r="A12" s="1" t="str">
        <f>SCALARS!A13</f>
        <v>Saturday</v>
      </c>
      <c r="B12" s="28">
        <f>SCALARS!B13</f>
        <v>46088</v>
      </c>
      <c r="C12" s="61">
        <f>SCALARS!L13</f>
        <v>1763.7525000000001</v>
      </c>
      <c r="D12" s="101"/>
      <c r="E12" s="109"/>
      <c r="F12" s="1"/>
      <c r="G12" s="75"/>
      <c r="R12" s="25"/>
    </row>
    <row r="13" spans="1:18" ht="15" customHeight="1">
      <c r="A13" s="1" t="str">
        <f>SCALARS!A14</f>
        <v>Sunday</v>
      </c>
      <c r="B13" s="28">
        <f>SCALARS!B14</f>
        <v>46089</v>
      </c>
      <c r="C13" s="61">
        <f>SCALARS!L14</f>
        <v>1763.7646</v>
      </c>
      <c r="D13" s="101"/>
      <c r="E13" s="109"/>
      <c r="F13" s="1"/>
      <c r="G13" s="75"/>
      <c r="R13" s="25"/>
    </row>
    <row r="14" spans="1:18" ht="15" customHeight="1">
      <c r="A14" s="1" t="str">
        <f>SCALARS!A15</f>
        <v>Monday</v>
      </c>
      <c r="B14" s="28">
        <f>SCALARS!B15</f>
        <v>46090</v>
      </c>
      <c r="C14" s="61">
        <f>SCALARS!L15</f>
        <v>1763.7766999999999</v>
      </c>
      <c r="D14" s="61"/>
      <c r="E14" s="103"/>
      <c r="F14" s="9"/>
      <c r="G14" s="75"/>
      <c r="R14" s="25"/>
    </row>
    <row r="15" spans="1:18" ht="15" customHeight="1">
      <c r="A15" s="1" t="str">
        <f>SCALARS!A16</f>
        <v>Tuesday</v>
      </c>
      <c r="B15" s="28">
        <f>SCALARS!B16</f>
        <v>46091</v>
      </c>
      <c r="C15" s="61">
        <f>SCALARS!L16</f>
        <v>1763.7888</v>
      </c>
      <c r="D15" s="61"/>
      <c r="E15" s="103"/>
      <c r="F15" s="9"/>
      <c r="G15" s="75"/>
      <c r="H15" s="4"/>
      <c r="R15" s="25"/>
    </row>
    <row r="16" spans="1:18" ht="15" customHeight="1">
      <c r="A16" s="1" t="str">
        <f>SCALARS!A17</f>
        <v>Wednesday</v>
      </c>
      <c r="B16" s="28">
        <f>SCALARS!B17</f>
        <v>46092</v>
      </c>
      <c r="C16" s="61">
        <f>SCALARS!L17</f>
        <v>1763.8009</v>
      </c>
      <c r="D16" s="61"/>
      <c r="E16" s="103"/>
      <c r="F16" s="9"/>
      <c r="G16" s="75"/>
      <c r="H16" s="4"/>
      <c r="R16" s="25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SCALARS!L18</f>
        <v>1763.8130000000001</v>
      </c>
      <c r="D17" s="61"/>
      <c r="E17" s="103"/>
      <c r="F17" s="9">
        <v>1375000000</v>
      </c>
      <c r="G17" s="75">
        <v>780161.8419</v>
      </c>
      <c r="R17" s="25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SCALARS!L19</f>
        <v>1763.8251</v>
      </c>
      <c r="D18" s="61">
        <f>F18/G17</f>
        <v>1763.941692724308</v>
      </c>
      <c r="E18" s="103">
        <f>C18-D18</f>
        <v>-0.11659272430802048</v>
      </c>
      <c r="F18" s="9">
        <v>1376160000</v>
      </c>
      <c r="G18" s="75">
        <v>782179.82940000005</v>
      </c>
      <c r="R18" s="25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SCALARS!L20</f>
        <v>1763.8371999999999</v>
      </c>
      <c r="D19" s="61"/>
      <c r="E19" s="103"/>
      <c r="F19" s="9"/>
      <c r="G19" s="75"/>
      <c r="R19" s="25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SCALARS!L21</f>
        <v>1763.8493000000001</v>
      </c>
      <c r="D20" s="61"/>
      <c r="E20" s="103"/>
      <c r="F20" s="9"/>
      <c r="G20" s="75"/>
      <c r="R20" s="25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SCALARS!L22</f>
        <v>1763.8614</v>
      </c>
      <c r="D21" s="61">
        <f>F21/G18</f>
        <v>1763.9421884074475</v>
      </c>
      <c r="E21" s="103">
        <f t="shared" ref="E21" si="0">C21-D21</f>
        <v>-8.07884074474714E-2</v>
      </c>
      <c r="F21" s="9">
        <v>1379720000</v>
      </c>
      <c r="G21" s="75">
        <v>784061.76470000006</v>
      </c>
      <c r="R21" s="25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SCALARS!L23</f>
        <v>1763.8734999999999</v>
      </c>
      <c r="D22" s="61">
        <f>F22/G21</f>
        <v>1763.9426665948731</v>
      </c>
      <c r="E22" s="103">
        <f t="shared" ref="E22" si="1">C22-D22</f>
        <v>-6.9166594873195208E-2</v>
      </c>
      <c r="F22" s="9">
        <v>1383040000</v>
      </c>
      <c r="G22" s="75">
        <v>786329.16940000001</v>
      </c>
      <c r="R22" s="25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SCALARS!L24</f>
        <v>1763.8856000000001</v>
      </c>
      <c r="D23" s="61">
        <f>F23/G22</f>
        <v>1763.9432110325577</v>
      </c>
      <c r="E23" s="103">
        <f t="shared" ref="E23" si="2">C23-D23</f>
        <v>-5.761103255758826E-2</v>
      </c>
      <c r="F23" s="9">
        <v>1387040000</v>
      </c>
      <c r="G23" s="75">
        <v>785853.01150000002</v>
      </c>
      <c r="R23" s="25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SCALARS!L25</f>
        <v>1763.8977</v>
      </c>
      <c r="D24" s="61">
        <f>F24/G23</f>
        <v>1763.9431034998331</v>
      </c>
      <c r="E24" s="103">
        <f t="shared" ref="E24" si="3">C24-D24</f>
        <v>-4.540349983312808E-2</v>
      </c>
      <c r="F24" s="9">
        <v>1386200000</v>
      </c>
      <c r="G24" s="75">
        <v>785308.84569999995</v>
      </c>
      <c r="R24" s="25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SCALARS!L26</f>
        <v>1763.9097999999999</v>
      </c>
      <c r="D25" s="61">
        <f>F25/G24</f>
        <v>1763.9429475230729</v>
      </c>
      <c r="E25" s="103">
        <f t="shared" ref="E25" si="4">C25-D25</f>
        <v>-3.3147523073012053E-2</v>
      </c>
      <c r="F25" s="9">
        <v>1385240000</v>
      </c>
      <c r="G25" s="75">
        <v>784651.29969999997</v>
      </c>
      <c r="R25" s="25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SCALARS!L27</f>
        <v>1763.9219000000001</v>
      </c>
      <c r="D26" s="23"/>
      <c r="E26" s="109"/>
      <c r="F26" s="1"/>
      <c r="G26" s="75"/>
      <c r="R26" s="25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SCALARS!L28</f>
        <v>1763.934</v>
      </c>
      <c r="D27" s="23"/>
      <c r="E27" s="23"/>
      <c r="F27" s="1"/>
      <c r="G27" s="75"/>
      <c r="R27" s="25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SCALARS!L29</f>
        <v>1763.9460999999999</v>
      </c>
      <c r="D28" s="61"/>
      <c r="E28" s="103"/>
      <c r="F28" s="9"/>
      <c r="G28" s="75"/>
      <c r="R28" s="25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SCALARS!L30</f>
        <v>1763.9582</v>
      </c>
      <c r="D29" s="61"/>
      <c r="E29" s="103"/>
      <c r="F29" s="9">
        <v>1388080000</v>
      </c>
      <c r="G29" s="75">
        <v>786850.58</v>
      </c>
      <c r="R29" s="25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SCALARS!L31</f>
        <v>1763.9703</v>
      </c>
      <c r="D30" s="61">
        <f>F30/G29</f>
        <v>1763.9435431311497</v>
      </c>
      <c r="E30" s="103">
        <f t="shared" ref="E30" si="5">C30-D30</f>
        <v>2.6756868850270621E-2</v>
      </c>
      <c r="F30" s="9">
        <v>1387960000</v>
      </c>
      <c r="G30" s="75">
        <v>785852.95790000004</v>
      </c>
      <c r="R30" s="25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SCALARS!L32</f>
        <v>1763.9824000000001</v>
      </c>
      <c r="D31" s="61">
        <f t="shared" ref="D31" si="6">F31/G30</f>
        <v>1763.9432238115903</v>
      </c>
      <c r="E31" s="103">
        <f t="shared" ref="E31" si="7">C31-D31</f>
        <v>3.9176188409783208E-2</v>
      </c>
      <c r="F31" s="9">
        <v>1386200000</v>
      </c>
      <c r="G31" s="75">
        <v>785240.80359999998</v>
      </c>
      <c r="R31" s="25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SCALARS!L33</f>
        <v>1763.9945</v>
      </c>
      <c r="D32" s="61">
        <f t="shared" ref="D32" si="8">F32/G31</f>
        <v>1763.9429760269784</v>
      </c>
      <c r="E32" s="103">
        <f t="shared" ref="E32" si="9">C32-D32</f>
        <v>5.1523973021630809E-2</v>
      </c>
      <c r="F32" s="9">
        <v>1385120000</v>
      </c>
      <c r="G32" s="75">
        <v>782180.0612</v>
      </c>
      <c r="R32" s="25"/>
    </row>
    <row r="33" spans="1:7" ht="15" customHeight="1">
      <c r="A33" s="1" t="str">
        <f>SCALARS!A34</f>
        <v>Saturday</v>
      </c>
      <c r="B33" s="28">
        <f>SCALARS!B34</f>
        <v>46109</v>
      </c>
      <c r="C33" s="61">
        <f>SCALARS!L34</f>
        <v>1764.0065999999999</v>
      </c>
      <c r="D33" s="61"/>
      <c r="E33" s="103"/>
      <c r="F33" s="9"/>
      <c r="G33" s="75"/>
    </row>
    <row r="34" spans="1:7" ht="15" customHeight="1">
      <c r="A34" s="1" t="str">
        <f>SCALARS!A35</f>
        <v>Sunday</v>
      </c>
      <c r="B34" s="28">
        <f>SCALARS!B35</f>
        <v>46110</v>
      </c>
      <c r="C34" s="61">
        <f>SCALARS!L35</f>
        <v>1764.0187000000001</v>
      </c>
      <c r="D34" s="61"/>
      <c r="E34" s="103"/>
      <c r="F34" s="9"/>
      <c r="G34" s="75"/>
    </row>
    <row r="35" spans="1:7" ht="15" customHeight="1">
      <c r="A35" s="1" t="str">
        <f>SCALARS!A36</f>
        <v>Monday</v>
      </c>
      <c r="B35" s="28">
        <f>SCALARS!B36</f>
        <v>46111</v>
      </c>
      <c r="C35" s="61">
        <f>SCALARS!L36</f>
        <v>1764.0308</v>
      </c>
      <c r="D35" s="61">
        <f>F35/G32</f>
        <v>1763.9416656610629</v>
      </c>
      <c r="E35" s="103">
        <f t="shared" ref="E35" si="10">C35-D35</f>
        <v>8.9134338937128632E-2</v>
      </c>
      <c r="F35" s="9">
        <v>1379720000</v>
      </c>
      <c r="G35" s="75">
        <v>782293.41929999995</v>
      </c>
    </row>
    <row r="36" spans="1:7" ht="15" customHeight="1">
      <c r="A36" s="1" t="str">
        <f>SCALARS!A37</f>
        <v>Tuesday</v>
      </c>
      <c r="B36" s="28">
        <f>SCALARS!B37</f>
        <v>46112</v>
      </c>
      <c r="C36" s="61">
        <f>SCALARS!L37</f>
        <v>1764.0428999999999</v>
      </c>
      <c r="D36" s="61">
        <f t="shared" ref="D36" si="11">F36/G35</f>
        <v>1763.9417205308455</v>
      </c>
      <c r="E36" s="103">
        <f t="shared" ref="E36" si="12">C36-D36</f>
        <v>0.10117946915443099</v>
      </c>
      <c r="F36" s="9">
        <v>1379920000</v>
      </c>
      <c r="G36" s="75">
        <v>783744.40049999999</v>
      </c>
    </row>
    <row r="37" spans="1:7" ht="15" customHeight="1">
      <c r="A37" s="1" t="str">
        <f>SCALARS!A38</f>
        <v>Wednesday</v>
      </c>
      <c r="B37" s="28">
        <f>SCALARS!B38</f>
        <v>46113</v>
      </c>
      <c r="C37" s="61">
        <f>SCALARS!L38</f>
        <v>1764.0550000000001</v>
      </c>
      <c r="D37" s="61">
        <f t="shared" ref="D37:D67" si="13">F37/G36</f>
        <v>1763.9424270438535</v>
      </c>
      <c r="E37" s="103">
        <f t="shared" ref="E37:E66" si="14">C37-D37</f>
        <v>0.1125729561465505</v>
      </c>
      <c r="F37" s="9">
        <v>1382480000</v>
      </c>
      <c r="G37" s="75">
        <v>782474.772</v>
      </c>
    </row>
    <row r="38" spans="1:7" ht="15" customHeight="1">
      <c r="A38" s="1" t="str">
        <f>SCALARS!A39</f>
        <v>Thursday</v>
      </c>
      <c r="B38" s="28">
        <f>SCALARS!B39</f>
        <v>46114</v>
      </c>
      <c r="C38" s="61">
        <f>SCALARS!L39</f>
        <v>1764.0671</v>
      </c>
      <c r="D38" s="61">
        <f t="shared" si="13"/>
        <v>1763.9418539617786</v>
      </c>
      <c r="E38" s="103">
        <f t="shared" si="14"/>
        <v>0.1252460382213485</v>
      </c>
      <c r="F38" s="9">
        <v>1380240000</v>
      </c>
      <c r="G38" s="75">
        <v>782429.4</v>
      </c>
    </row>
    <row r="39" spans="1:7" ht="15" customHeight="1">
      <c r="A39" s="1" t="str">
        <f>SCALARS!A40</f>
        <v>Friday</v>
      </c>
      <c r="B39" s="28">
        <f>SCALARS!B40</f>
        <v>46115</v>
      </c>
      <c r="C39" s="61">
        <f>SCALARS!L40</f>
        <v>1764.0791999999999</v>
      </c>
      <c r="D39" s="61"/>
      <c r="E39" s="103"/>
      <c r="F39" s="9"/>
      <c r="G39" s="75"/>
    </row>
    <row r="40" spans="1:7" ht="15" customHeight="1">
      <c r="A40" s="1" t="str">
        <f>SCALARS!A41</f>
        <v>Saturday</v>
      </c>
      <c r="B40" s="28">
        <f>SCALARS!B41</f>
        <v>46116</v>
      </c>
      <c r="C40" s="61">
        <f>SCALARS!L41</f>
        <v>1764.0913</v>
      </c>
      <c r="D40" s="61"/>
      <c r="E40" s="103"/>
      <c r="F40" s="9"/>
      <c r="G40" s="75"/>
    </row>
    <row r="41" spans="1:7" ht="15" customHeight="1">
      <c r="A41" s="1" t="str">
        <f>SCALARS!A42</f>
        <v>Sunday</v>
      </c>
      <c r="B41" s="28">
        <f>SCALARS!B42</f>
        <v>46117</v>
      </c>
      <c r="C41" s="61">
        <f>SCALARS!L42</f>
        <v>1764.1034</v>
      </c>
      <c r="D41" s="61"/>
      <c r="E41" s="103"/>
      <c r="F41" s="9"/>
      <c r="G41" s="75"/>
    </row>
    <row r="42" spans="1:7" ht="15" customHeight="1">
      <c r="A42" s="1" t="str">
        <f>SCALARS!A43</f>
        <v>Monday</v>
      </c>
      <c r="B42" s="28">
        <f>SCALARS!B43</f>
        <v>46118</v>
      </c>
      <c r="C42" s="61">
        <f>SCALARS!L43</f>
        <v>1764.1155000000001</v>
      </c>
      <c r="D42" s="61">
        <f>F42/G38</f>
        <v>1763.9418968663499</v>
      </c>
      <c r="E42" s="103">
        <f t="shared" si="14"/>
        <v>0.17360313365020374</v>
      </c>
      <c r="F42" s="9">
        <v>1380160000</v>
      </c>
      <c r="G42" s="75">
        <v>785036.53189999994</v>
      </c>
    </row>
    <row r="43" spans="1:7" ht="15" customHeight="1">
      <c r="A43" s="1" t="str">
        <f>SCALARS!A44</f>
        <v>Tuesday</v>
      </c>
      <c r="B43" s="28">
        <f>SCALARS!B44</f>
        <v>46119</v>
      </c>
      <c r="C43" s="61">
        <f>SCALARS!L44</f>
        <v>1764.1276</v>
      </c>
      <c r="D43" s="61">
        <f t="shared" si="13"/>
        <v>1763.9433882758394</v>
      </c>
      <c r="E43" s="128">
        <f t="shared" si="14"/>
        <v>0.18421172416060472</v>
      </c>
      <c r="F43" s="9">
        <v>1384760000</v>
      </c>
      <c r="G43" s="75">
        <v>784619.87809999997</v>
      </c>
    </row>
    <row r="44" spans="1:7" ht="15" customHeight="1">
      <c r="A44" s="1" t="str">
        <f>SCALARS!A45</f>
        <v>Wednesday</v>
      </c>
      <c r="B44" s="28">
        <f>SCALARS!B45</f>
        <v>46120</v>
      </c>
      <c r="C44" s="61">
        <f>SCALARS!L45</f>
        <v>1764.1396999999999</v>
      </c>
      <c r="D44" s="61">
        <f t="shared" si="13"/>
        <v>1764.3193075253289</v>
      </c>
      <c r="E44" s="128">
        <f t="shared" si="14"/>
        <v>-0.1796075253289473</v>
      </c>
      <c r="F44" s="92">
        <v>1384320000</v>
      </c>
      <c r="G44" s="75">
        <v>785186.63950000005</v>
      </c>
    </row>
    <row r="45" spans="1:7" ht="15" customHeight="1">
      <c r="A45" s="1" t="str">
        <f>SCALARS!A46</f>
        <v>Thursday</v>
      </c>
      <c r="B45" s="28">
        <f>SCALARS!B46</f>
        <v>46121</v>
      </c>
      <c r="C45" s="61">
        <f>SCALARS!L46</f>
        <v>1764.1518000000001</v>
      </c>
      <c r="D45" s="61">
        <f t="shared" si="13"/>
        <v>1764.3193736487412</v>
      </c>
      <c r="E45" s="103">
        <f t="shared" si="14"/>
        <v>-0.1675736487411541</v>
      </c>
      <c r="F45" s="9">
        <v>1385320000</v>
      </c>
      <c r="G45" s="75">
        <v>788927.18350000004</v>
      </c>
    </row>
    <row r="46" spans="1:7" ht="15" customHeight="1">
      <c r="A46" s="1" t="str">
        <f>SCALARS!A47</f>
        <v>Friday</v>
      </c>
      <c r="B46" s="28">
        <f>SCALARS!B47</f>
        <v>46122</v>
      </c>
      <c r="C46" s="61">
        <f>SCALARS!L47</f>
        <v>1764.1639</v>
      </c>
      <c r="D46" s="61">
        <f t="shared" si="13"/>
        <v>1764.3199893618571</v>
      </c>
      <c r="E46" s="103">
        <f t="shared" si="14"/>
        <v>-0.15608936185708444</v>
      </c>
      <c r="F46" s="9">
        <v>1391920000</v>
      </c>
      <c r="G46" s="75">
        <v>790808.79209999996</v>
      </c>
    </row>
    <row r="47" spans="1:7" ht="15" customHeight="1">
      <c r="A47" s="1" t="str">
        <f>SCALARS!A48</f>
        <v>Saturday</v>
      </c>
      <c r="B47" s="28">
        <f>SCALARS!B48</f>
        <v>46123</v>
      </c>
      <c r="C47" s="61">
        <f>SCALARS!L48</f>
        <v>1764.1759999999999</v>
      </c>
      <c r="D47" s="61"/>
      <c r="E47" s="103"/>
      <c r="F47" s="9"/>
      <c r="G47" s="75"/>
    </row>
    <row r="48" spans="1:7" ht="15" customHeight="1">
      <c r="A48" s="1" t="str">
        <f>SCALARS!A49</f>
        <v>Sunday</v>
      </c>
      <c r="B48" s="28">
        <f>SCALARS!B49</f>
        <v>46124</v>
      </c>
      <c r="C48" s="61">
        <f>SCALARS!L49</f>
        <v>1764.1881000000001</v>
      </c>
      <c r="D48" s="61"/>
      <c r="E48" s="103"/>
      <c r="F48" s="9"/>
      <c r="G48" s="75"/>
    </row>
    <row r="49" spans="1:7" ht="15" customHeight="1">
      <c r="A49" s="1" t="str">
        <f>SCALARS!A50</f>
        <v>Monday</v>
      </c>
      <c r="B49" s="28">
        <f>SCALARS!B50</f>
        <v>46125</v>
      </c>
      <c r="C49" s="61">
        <f>SCALARS!L50</f>
        <v>1764.2002</v>
      </c>
      <c r="D49" s="61">
        <f>F49/G46</f>
        <v>1764.3202932720658</v>
      </c>
      <c r="E49" s="103">
        <f>C49-D49</f>
        <v>-0.12009327206578746</v>
      </c>
      <c r="F49" s="9">
        <v>1395240000</v>
      </c>
      <c r="G49" s="75">
        <v>791284.82949999999</v>
      </c>
    </row>
    <row r="50" spans="1:7" ht="15" customHeight="1">
      <c r="A50" s="1" t="str">
        <f>SCALARS!A51</f>
        <v>Tuesday</v>
      </c>
      <c r="B50" s="28">
        <f>SCALARS!B51</f>
        <v>46126</v>
      </c>
      <c r="C50" s="61">
        <f>SCALARS!L51</f>
        <v>1764.2122999999999</v>
      </c>
      <c r="D50" s="61">
        <f t="shared" si="13"/>
        <v>1764.3204418340235</v>
      </c>
      <c r="E50" s="103">
        <f t="shared" si="14"/>
        <v>-0.10814183402362687</v>
      </c>
      <c r="F50" s="9">
        <v>1396080000</v>
      </c>
      <c r="G50" s="75">
        <v>794163.84680000006</v>
      </c>
    </row>
    <row r="51" spans="1:7" ht="15" customHeight="1">
      <c r="A51" s="1" t="str">
        <f>SCALARS!A52</f>
        <v>Wednesday</v>
      </c>
      <c r="B51" s="28">
        <f>SCALARS!B52</f>
        <v>46127</v>
      </c>
      <c r="C51" s="61">
        <f>SCALARS!L52</f>
        <v>1764.2244000000001</v>
      </c>
      <c r="D51" s="61">
        <f t="shared" si="13"/>
        <v>1764.3210600001842</v>
      </c>
      <c r="E51" s="103">
        <f t="shared" si="14"/>
        <v>-9.6660000184101591E-2</v>
      </c>
      <c r="F51" s="9">
        <v>1401160000</v>
      </c>
      <c r="G51" s="75">
        <v>798062.91009999998</v>
      </c>
    </row>
    <row r="52" spans="1:7" ht="15" customHeight="1">
      <c r="A52" s="1" t="str">
        <f>SCALARS!A53</f>
        <v>Thursday</v>
      </c>
      <c r="B52" s="28">
        <f>SCALARS!B53</f>
        <v>46128</v>
      </c>
      <c r="C52" s="61">
        <f>SCALARS!L53</f>
        <v>1764.2365</v>
      </c>
      <c r="D52" s="61">
        <f t="shared" si="13"/>
        <v>1764.322063060878</v>
      </c>
      <c r="E52" s="103">
        <f t="shared" si="14"/>
        <v>-8.5563060878030228E-2</v>
      </c>
      <c r="F52" s="9">
        <v>1408040000</v>
      </c>
      <c r="G52" s="75">
        <v>799151.03689999995</v>
      </c>
    </row>
    <row r="53" spans="1:7" ht="15" customHeight="1">
      <c r="A53" s="1" t="str">
        <f>SCALARS!A54</f>
        <v>Friday</v>
      </c>
      <c r="B53" s="28">
        <f>SCALARS!B54</f>
        <v>46129</v>
      </c>
      <c r="C53" s="61">
        <f>SCALARS!L54</f>
        <v>1764.2485999999999</v>
      </c>
      <c r="D53" s="61">
        <f t="shared" si="13"/>
        <v>1764.3223056675233</v>
      </c>
      <c r="E53" s="103">
        <f t="shared" si="14"/>
        <v>-7.370566752342711E-2</v>
      </c>
      <c r="F53" s="9">
        <v>1409960000</v>
      </c>
      <c r="G53" s="75">
        <v>799151.03689999995</v>
      </c>
    </row>
    <row r="54" spans="1:7" ht="15" customHeight="1">
      <c r="A54" s="1" t="str">
        <f>SCALARS!A55</f>
        <v>Saturday</v>
      </c>
      <c r="B54" s="28">
        <f>SCALARS!B55</f>
        <v>46130</v>
      </c>
      <c r="C54" s="61">
        <f>SCALARS!L55</f>
        <v>1764.2607</v>
      </c>
      <c r="D54" s="61"/>
      <c r="E54" s="103"/>
      <c r="F54" s="9"/>
      <c r="G54" s="75"/>
    </row>
    <row r="55" spans="1:7" ht="15" customHeight="1">
      <c r="A55" s="1" t="str">
        <f>SCALARS!A56</f>
        <v>Sunday</v>
      </c>
      <c r="B55" s="28">
        <f>SCALARS!B56</f>
        <v>46131</v>
      </c>
      <c r="C55" s="61">
        <f>SCALARS!L56</f>
        <v>1764.2728</v>
      </c>
      <c r="D55" s="61"/>
      <c r="E55" s="103"/>
      <c r="F55" s="9"/>
      <c r="G55" s="75"/>
    </row>
    <row r="56" spans="1:7" ht="15" customHeight="1">
      <c r="A56" s="1" t="str">
        <f>SCALARS!A57</f>
        <v>Monday</v>
      </c>
      <c r="B56" s="28">
        <f>SCALARS!B57</f>
        <v>46132</v>
      </c>
      <c r="C56" s="61">
        <f>SCALARS!L57</f>
        <v>1764.2849000000001</v>
      </c>
      <c r="D56" s="61">
        <f>F56/G53</f>
        <v>1772.430910550446</v>
      </c>
      <c r="E56" s="103"/>
      <c r="F56" s="9">
        <v>1416440000</v>
      </c>
      <c r="G56" s="75">
        <v>806178.38100000005</v>
      </c>
    </row>
    <row r="57" spans="1:7" ht="15" customHeight="1">
      <c r="A57" s="1" t="str">
        <f>SCALARS!A58</f>
        <v>Tuesday</v>
      </c>
      <c r="B57" s="28">
        <f>SCALARS!B58</f>
        <v>46133</v>
      </c>
      <c r="C57" s="61">
        <f>SCALARS!L58</f>
        <v>1764.297</v>
      </c>
      <c r="D57" s="61">
        <f t="shared" si="13"/>
        <v>1764.3241663658553</v>
      </c>
      <c r="E57" s="103">
        <f t="shared" si="14"/>
        <v>-2.7166365855237018E-2</v>
      </c>
      <c r="F57" s="9">
        <v>1422360000</v>
      </c>
      <c r="G57" s="75">
        <v>806699.75730000006</v>
      </c>
    </row>
    <row r="58" spans="1:7" ht="15" customHeight="1">
      <c r="A58" s="1" t="str">
        <f>SCALARS!A59</f>
        <v>Wednesday</v>
      </c>
      <c r="B58" s="28">
        <f>SCALARS!B59</f>
        <v>46134</v>
      </c>
      <c r="C58" s="61">
        <f>SCALARS!L59</f>
        <v>1764.3090999999999</v>
      </c>
      <c r="D58" s="61">
        <f t="shared" si="13"/>
        <v>1764.3243190795986</v>
      </c>
      <c r="E58" s="103">
        <f t="shared" si="14"/>
        <v>-1.5219079598637109E-2</v>
      </c>
      <c r="F58" s="9">
        <v>1423280000</v>
      </c>
      <c r="G58" s="75">
        <v>809828.01289999997</v>
      </c>
    </row>
    <row r="59" spans="1:7" ht="15" customHeight="1">
      <c r="A59" s="1" t="str">
        <f>SCALARS!A60</f>
        <v>Thursday</v>
      </c>
      <c r="B59" s="28">
        <f>SCALARS!B60</f>
        <v>46135</v>
      </c>
      <c r="C59" s="61">
        <f>SCALARS!L60</f>
        <v>1764.3212000000001</v>
      </c>
      <c r="D59" s="61">
        <f t="shared" si="13"/>
        <v>1764.3252360256802</v>
      </c>
      <c r="E59" s="103">
        <f t="shared" si="14"/>
        <v>-4.0360256800795469E-3</v>
      </c>
      <c r="F59" s="9">
        <v>1428800000</v>
      </c>
      <c r="G59" s="75">
        <v>811981.49380000005</v>
      </c>
    </row>
    <row r="60" spans="1:7" ht="15" customHeight="1">
      <c r="A60" s="1" t="str">
        <f>SCALARS!A61</f>
        <v>Friday</v>
      </c>
      <c r="B60" s="28">
        <f>SCALARS!B61</f>
        <v>46136</v>
      </c>
      <c r="C60" s="61">
        <f>SCALARS!L61</f>
        <v>1764.3333</v>
      </c>
      <c r="D60" s="61">
        <f t="shared" si="13"/>
        <v>1764.3259248379682</v>
      </c>
      <c r="E60" s="103">
        <f t="shared" si="14"/>
        <v>7.3751620318489586E-3</v>
      </c>
      <c r="F60" s="9">
        <v>1432600000</v>
      </c>
      <c r="G60" s="75">
        <v>812276.17980000004</v>
      </c>
    </row>
    <row r="61" spans="1:7" ht="15" customHeight="1">
      <c r="A61" s="1" t="str">
        <f>SCALARS!A62</f>
        <v>Saturday</v>
      </c>
      <c r="B61" s="28">
        <f>SCALARS!B62</f>
        <v>46137</v>
      </c>
      <c r="C61" s="61">
        <f>SCALARS!L62</f>
        <v>1764.3453999999999</v>
      </c>
      <c r="D61" s="61"/>
      <c r="E61" s="103"/>
      <c r="F61" s="9"/>
      <c r="G61" s="75"/>
    </row>
    <row r="62" spans="1:7" ht="15" customHeight="1">
      <c r="A62" s="1" t="str">
        <f>SCALARS!A63</f>
        <v>Sunday</v>
      </c>
      <c r="B62" s="28">
        <f>SCALARS!B63</f>
        <v>46138</v>
      </c>
      <c r="C62" s="61">
        <f>SCALARS!L63</f>
        <v>1764.3575000000001</v>
      </c>
      <c r="D62" s="61"/>
      <c r="E62" s="103"/>
      <c r="F62" s="9"/>
      <c r="G62" s="75"/>
    </row>
    <row r="63" spans="1:7" ht="15" customHeight="1">
      <c r="A63" s="1" t="str">
        <f>SCALARS!A64</f>
        <v>Monday</v>
      </c>
      <c r="B63" s="28">
        <f>SCALARS!B64</f>
        <v>46139</v>
      </c>
      <c r="C63" s="61">
        <f>SCALARS!L64</f>
        <v>1764.3696</v>
      </c>
      <c r="D63" s="61">
        <f>F63/G60</f>
        <v>1764.3260206803861</v>
      </c>
      <c r="E63" s="103">
        <f t="shared" si="14"/>
        <v>4.357931961385475E-2</v>
      </c>
      <c r="F63" s="9">
        <v>1433120000</v>
      </c>
      <c r="G63" s="75">
        <v>812276.17460000003</v>
      </c>
    </row>
    <row r="64" spans="1:7" ht="15" customHeight="1">
      <c r="A64" s="1" t="str">
        <f>SCALARS!A65</f>
        <v>Tuesday</v>
      </c>
      <c r="B64" s="28">
        <f>SCALARS!B65</f>
        <v>46140</v>
      </c>
      <c r="C64" s="61">
        <f>SCALARS!L65</f>
        <v>1764.3816999999999</v>
      </c>
      <c r="D64" s="61">
        <f t="shared" si="13"/>
        <v>1764.3260319751842</v>
      </c>
      <c r="E64" s="103">
        <f t="shared" si="14"/>
        <v>5.5668024815759054E-2</v>
      </c>
      <c r="F64" s="9">
        <v>1433120000</v>
      </c>
      <c r="G64" s="75">
        <v>810802.78960000002</v>
      </c>
    </row>
    <row r="65" spans="1:7" ht="15" customHeight="1">
      <c r="A65" s="1" t="str">
        <f>SCALARS!A66</f>
        <v>Wednesday</v>
      </c>
      <c r="B65" s="28">
        <f>SCALARS!B66</f>
        <v>46141</v>
      </c>
      <c r="C65" s="61">
        <f>SCALARS!L66</f>
        <v>1764.3938000000001</v>
      </c>
      <c r="D65" s="61">
        <f t="shared" si="13"/>
        <v>1764.3254541659016</v>
      </c>
      <c r="E65" s="103">
        <f t="shared" si="14"/>
        <v>6.8345834098408886E-2</v>
      </c>
      <c r="F65" s="9">
        <v>1430520000</v>
      </c>
      <c r="G65" s="75">
        <v>810077.42989999999</v>
      </c>
    </row>
    <row r="66" spans="1:7" ht="15" customHeight="1">
      <c r="A66" s="1" t="str">
        <f>SCALARS!A67</f>
        <v>Thursday</v>
      </c>
      <c r="B66" s="28">
        <f>SCALARS!B67</f>
        <v>46142</v>
      </c>
      <c r="C66" s="61">
        <f>SCALARS!L67</f>
        <v>1764.4059</v>
      </c>
      <c r="D66" s="61">
        <f t="shared" si="13"/>
        <v>1764.3251709610433</v>
      </c>
      <c r="E66" s="103">
        <f t="shared" si="14"/>
        <v>8.0729038956633303E-2</v>
      </c>
      <c r="F66" s="9">
        <v>1429240000</v>
      </c>
      <c r="G66" s="75">
        <v>810326.76359999995</v>
      </c>
    </row>
    <row r="67" spans="1:7" ht="15" customHeight="1">
      <c r="A67" s="1" t="str">
        <f>SCALARS!A68</f>
        <v>Friday</v>
      </c>
      <c r="B67" s="28">
        <f>SCALARS!B68</f>
        <v>46143</v>
      </c>
      <c r="C67" s="61">
        <f>SCALARS!L68</f>
        <v>1764.4179999999999</v>
      </c>
      <c r="D67" s="61">
        <f t="shared" si="13"/>
        <v>1764.325287305616</v>
      </c>
      <c r="E67" s="103">
        <f>C67-D67</f>
        <v>9.2712694383862981E-2</v>
      </c>
      <c r="F67" s="9">
        <v>1429680000</v>
      </c>
      <c r="G67" s="75">
        <v>813953.5037</v>
      </c>
    </row>
    <row r="68" spans="1:7" ht="15" customHeight="1">
      <c r="A68" s="1" t="str">
        <f>SCALARS!A69</f>
        <v>Saturday</v>
      </c>
      <c r="B68" s="28">
        <f>SCALARS!B69</f>
        <v>46144</v>
      </c>
      <c r="C68" s="61">
        <f>SCALARS!L69</f>
        <v>1764.4301</v>
      </c>
      <c r="D68" s="61"/>
      <c r="E68" s="103"/>
      <c r="F68" s="9"/>
      <c r="G68" s="75"/>
    </row>
    <row r="69" spans="1:7" ht="15" customHeight="1">
      <c r="A69" s="1" t="str">
        <f>SCALARS!A70</f>
        <v>Sunday</v>
      </c>
      <c r="B69" s="28">
        <f>SCALARS!B70</f>
        <v>46145</v>
      </c>
      <c r="C69" s="61">
        <f>SCALARS!L70</f>
        <v>1764.4422</v>
      </c>
      <c r="D69" s="61"/>
      <c r="E69" s="103"/>
      <c r="F69" s="9"/>
      <c r="G69" s="75"/>
    </row>
    <row r="70" spans="1:7" ht="15" customHeight="1">
      <c r="A70" s="1" t="str">
        <f>SCALARS!A71</f>
        <v>Monday</v>
      </c>
      <c r="B70" s="28">
        <f>SCALARS!B71</f>
        <v>46146</v>
      </c>
      <c r="C70" s="61">
        <f>SCALARS!L71</f>
        <v>1764.4543000000001</v>
      </c>
      <c r="D70" s="61">
        <f>F70/G67</f>
        <v>1764.3268239180625</v>
      </c>
      <c r="E70" s="103">
        <f t="shared" ref="E70" si="15">C70-D70</f>
        <v>0.12747608193762971</v>
      </c>
      <c r="F70" s="9">
        <v>1436080000</v>
      </c>
      <c r="G70" s="75">
        <v>818146.83770000003</v>
      </c>
    </row>
    <row r="71" spans="1:7" ht="15" customHeight="1">
      <c r="A71" s="1" t="str">
        <f>SCALARS!A72</f>
        <v>Tuesday</v>
      </c>
      <c r="B71" s="28">
        <f>SCALARS!B72</f>
        <v>46147</v>
      </c>
      <c r="C71" s="61">
        <f>SCALARS!L72</f>
        <v>1764.4664</v>
      </c>
      <c r="D71" s="61">
        <f t="shared" ref="D71:D95" si="16">F71/G70</f>
        <v>1764.3287653081397</v>
      </c>
      <c r="E71" s="103">
        <f t="shared" ref="E71:E95" si="17">C71-D71</f>
        <v>0.13763469186028487</v>
      </c>
      <c r="F71" s="9">
        <v>1443480000</v>
      </c>
      <c r="G71" s="75">
        <v>821229.48959999997</v>
      </c>
    </row>
    <row r="72" spans="1:7" ht="15" customHeight="1">
      <c r="A72" s="1" t="str">
        <f>SCALARS!A73</f>
        <v>Wednesday</v>
      </c>
      <c r="B72" s="28">
        <f>SCALARS!B73</f>
        <v>46148</v>
      </c>
      <c r="C72" s="61">
        <f>SCALARS!L73</f>
        <v>1764.4784999999999</v>
      </c>
      <c r="D72" s="61">
        <f t="shared" si="16"/>
        <v>1764.3302126251363</v>
      </c>
      <c r="E72" s="128">
        <f t="shared" si="17"/>
        <v>0.14828737486368482</v>
      </c>
      <c r="F72" s="9">
        <v>1448920000</v>
      </c>
      <c r="G72" s="75">
        <v>822736.64899999998</v>
      </c>
    </row>
    <row r="73" spans="1:7" ht="15" customHeight="1">
      <c r="A73" s="1" t="str">
        <f>SCALARS!A74</f>
        <v>Thursday</v>
      </c>
      <c r="B73" s="28">
        <f>SCALARS!B74</f>
        <v>46149</v>
      </c>
      <c r="C73" s="61">
        <f>SCALARS!L74</f>
        <v>1764.4906000000001</v>
      </c>
      <c r="D73" s="61">
        <f t="shared" si="16"/>
        <v>1764.6472923804322</v>
      </c>
      <c r="E73" s="128">
        <f t="shared" si="17"/>
        <v>-0.15669238043210498</v>
      </c>
      <c r="F73" s="9">
        <v>1451840000</v>
      </c>
      <c r="G73" s="123">
        <v>821512.66570000001</v>
      </c>
    </row>
    <row r="74" spans="1:7" ht="15" customHeight="1">
      <c r="A74" s="1" t="str">
        <f>SCALARS!A75</f>
        <v>Friday</v>
      </c>
      <c r="B74" s="28">
        <f>SCALARS!B75</f>
        <v>46150</v>
      </c>
      <c r="C74" s="61">
        <f>SCALARS!L75</f>
        <v>1764.5027</v>
      </c>
      <c r="D74" s="61">
        <f t="shared" si="16"/>
        <v>1764.6471692128409</v>
      </c>
      <c r="E74" s="103">
        <f t="shared" si="17"/>
        <v>-0.1444692128409315</v>
      </c>
      <c r="F74" s="9">
        <v>1449680000</v>
      </c>
      <c r="G74" s="123">
        <v>821512.66570000001</v>
      </c>
    </row>
    <row r="75" spans="1:7" ht="15" customHeight="1">
      <c r="A75" s="1" t="str">
        <f>SCALARS!A76</f>
        <v>Saturday</v>
      </c>
      <c r="B75" s="28">
        <f>SCALARS!B76</f>
        <v>46151</v>
      </c>
      <c r="C75" s="61">
        <f>SCALARS!L76</f>
        <v>1764.5147999999999</v>
      </c>
      <c r="D75" s="61"/>
      <c r="E75" s="103"/>
      <c r="F75" s="9"/>
      <c r="G75" s="75"/>
    </row>
    <row r="76" spans="1:7" ht="15" customHeight="1">
      <c r="A76" s="1" t="str">
        <f>SCALARS!A77</f>
        <v>Sunday</v>
      </c>
      <c r="B76" s="28">
        <f>SCALARS!B77</f>
        <v>46152</v>
      </c>
      <c r="C76" s="61">
        <f>SCALARS!L77</f>
        <v>1764.5269000000001</v>
      </c>
      <c r="D76" s="61"/>
      <c r="E76" s="103"/>
      <c r="F76" s="9"/>
      <c r="G76" s="75"/>
    </row>
    <row r="77" spans="1:7" ht="15" customHeight="1">
      <c r="A77" s="1" t="str">
        <f>SCALARS!A78</f>
        <v>Monday</v>
      </c>
      <c r="B77" s="28">
        <f>SCALARS!B78</f>
        <v>46153</v>
      </c>
      <c r="C77" s="61">
        <f>SCALARS!L78</f>
        <v>1764.539</v>
      </c>
      <c r="D77" s="61">
        <f>F77/G74</f>
        <v>1763.9168092013022</v>
      </c>
      <c r="E77" s="124"/>
      <c r="F77" s="9">
        <v>1449080000</v>
      </c>
      <c r="G77" s="75">
        <v>821082.00959999999</v>
      </c>
    </row>
    <row r="78" spans="1:7" ht="15" customHeight="1">
      <c r="A78" s="1" t="str">
        <f>SCALARS!A79</f>
        <v>Tuesday</v>
      </c>
      <c r="B78" s="28">
        <f>SCALARS!B79</f>
        <v>46154</v>
      </c>
      <c r="C78" s="61">
        <f>SCALARS!L79</f>
        <v>1764.5510999999999</v>
      </c>
      <c r="D78" s="61">
        <f t="shared" si="16"/>
        <v>1764.6471157075514</v>
      </c>
      <c r="E78" s="103">
        <f t="shared" si="17"/>
        <v>-9.6015707551487139E-2</v>
      </c>
      <c r="F78" s="9">
        <v>1448920000</v>
      </c>
      <c r="G78" s="75">
        <v>820674.0209</v>
      </c>
    </row>
    <row r="79" spans="1:7" ht="15" customHeight="1">
      <c r="A79" s="1" t="str">
        <f>SCALARS!A80</f>
        <v>Wednesday</v>
      </c>
      <c r="B79" s="28">
        <f>SCALARS!B80</f>
        <v>46155</v>
      </c>
      <c r="C79" s="61">
        <f>SCALARS!L80</f>
        <v>1764.5632000000001</v>
      </c>
      <c r="D79" s="61">
        <f t="shared" si="16"/>
        <v>1764.6470621938508</v>
      </c>
      <c r="E79" s="103">
        <f t="shared" si="17"/>
        <v>-8.38621938507913E-2</v>
      </c>
      <c r="F79" s="9">
        <v>1448200000</v>
      </c>
      <c r="G79" s="75">
        <v>817092.85699999996</v>
      </c>
    </row>
    <row r="80" spans="1:7" ht="15" customHeight="1">
      <c r="A80" s="1" t="str">
        <f>SCALARS!A81</f>
        <v>Thursday</v>
      </c>
      <c r="B80" s="28">
        <f>SCALARS!B81</f>
        <v>46156</v>
      </c>
      <c r="C80" s="61">
        <f>SCALARS!L81</f>
        <v>1764.5753</v>
      </c>
      <c r="D80" s="61">
        <f t="shared" si="16"/>
        <v>1764.6464384647045</v>
      </c>
      <c r="E80" s="103">
        <f t="shared" si="17"/>
        <v>-7.1138464704517901E-2</v>
      </c>
      <c r="F80" s="9">
        <v>1441880000</v>
      </c>
      <c r="G80" s="75">
        <v>818860.75069999998</v>
      </c>
    </row>
    <row r="81" spans="1:9" ht="15" customHeight="1">
      <c r="A81" s="1" t="str">
        <f>SCALARS!A82</f>
        <v>Friday</v>
      </c>
      <c r="B81" s="28">
        <f>SCALARS!B82</f>
        <v>46157</v>
      </c>
      <c r="C81" s="61">
        <f>SCALARS!L82</f>
        <v>1764.5873999999999</v>
      </c>
      <c r="D81" s="61">
        <f t="shared" si="16"/>
        <v>1764.6467958865378</v>
      </c>
      <c r="E81" s="103">
        <f t="shared" si="17"/>
        <v>-5.9395886537913611E-2</v>
      </c>
      <c r="F81" s="9">
        <v>1445000000</v>
      </c>
      <c r="G81" s="75">
        <v>818860.75069999998</v>
      </c>
    </row>
    <row r="82" spans="1:9" ht="15" customHeight="1">
      <c r="A82" s="1" t="str">
        <f>SCALARS!A83</f>
        <v>Saturday</v>
      </c>
      <c r="B82" s="28">
        <f>SCALARS!B83</f>
        <v>46158</v>
      </c>
      <c r="C82" s="61">
        <f>SCALARS!L83</f>
        <v>1764.5995</v>
      </c>
      <c r="D82" s="61"/>
      <c r="E82" s="103"/>
      <c r="F82" s="9"/>
      <c r="G82" s="75"/>
    </row>
    <row r="83" spans="1:9" ht="15" customHeight="1">
      <c r="A83" s="1" t="str">
        <f>SCALARS!A84</f>
        <v>Sunday</v>
      </c>
      <c r="B83" s="28">
        <f>SCALARS!B84</f>
        <v>46159</v>
      </c>
      <c r="C83" s="61">
        <f>SCALARS!L84</f>
        <v>1764.6116</v>
      </c>
      <c r="D83" s="61"/>
      <c r="E83" s="103"/>
      <c r="F83" s="9"/>
      <c r="G83" s="75"/>
    </row>
    <row r="84" spans="1:9" ht="15" customHeight="1">
      <c r="A84" s="1" t="str">
        <f>SCALARS!A85</f>
        <v>Monday</v>
      </c>
      <c r="B84" s="28">
        <f>SCALARS!B85</f>
        <v>46160</v>
      </c>
      <c r="C84" s="61">
        <f>SCALARS!L85</f>
        <v>1764.6237000000001</v>
      </c>
      <c r="D84" s="61">
        <f>F84/G81</f>
        <v>1760.9343209664721</v>
      </c>
      <c r="E84" s="124"/>
      <c r="F84" s="9">
        <v>1441960000</v>
      </c>
      <c r="G84" s="75">
        <v>811290.74659999995</v>
      </c>
      <c r="I84" s="3">
        <v>7221.63</v>
      </c>
    </row>
    <row r="85" spans="1:9" ht="15" customHeight="1">
      <c r="A85" s="1" t="str">
        <f>SCALARS!A86</f>
        <v>Tuesday</v>
      </c>
      <c r="B85" s="28">
        <f>SCALARS!B86</f>
        <v>46161</v>
      </c>
      <c r="C85" s="61">
        <f>SCALARS!L86</f>
        <v>1764.6358</v>
      </c>
      <c r="D85" s="61">
        <f t="shared" si="16"/>
        <v>1764.6448033578497</v>
      </c>
      <c r="E85" s="103">
        <f t="shared" si="17"/>
        <v>-9.0033578496786504E-3</v>
      </c>
      <c r="F85" s="9">
        <v>1431640000</v>
      </c>
      <c r="G85" s="75">
        <v>807052.44389999995</v>
      </c>
      <c r="I85" s="3">
        <f>764.47+12215.18</f>
        <v>12979.65</v>
      </c>
    </row>
    <row r="86" spans="1:9" ht="15" customHeight="1">
      <c r="A86" s="1" t="str">
        <f>SCALARS!A87</f>
        <v>Wednesday</v>
      </c>
      <c r="B86" s="28">
        <f>SCALARS!B87</f>
        <v>46162</v>
      </c>
      <c r="C86" s="61">
        <f>SCALARS!L87</f>
        <v>1764.6478999999999</v>
      </c>
      <c r="D86" s="61">
        <f t="shared" si="16"/>
        <v>1764.6436867446801</v>
      </c>
      <c r="E86" s="103">
        <f t="shared" si="17"/>
        <v>4.2132553198825917E-3</v>
      </c>
      <c r="F86" s="9">
        <v>1424160000</v>
      </c>
      <c r="G86" s="75">
        <v>806259.18180000002</v>
      </c>
      <c r="I86" s="3">
        <f>773.92+13257.95</f>
        <v>14031.87</v>
      </c>
    </row>
    <row r="87" spans="1:9" ht="15" customHeight="1">
      <c r="A87" s="1" t="str">
        <f>SCALARS!A88</f>
        <v>Thursday</v>
      </c>
      <c r="B87" s="28">
        <f>SCALARS!B88</f>
        <v>46163</v>
      </c>
      <c r="C87" s="61">
        <f>SCALARS!L88</f>
        <v>1764.66</v>
      </c>
      <c r="D87" s="61">
        <f t="shared" si="16"/>
        <v>1764.6434696391818</v>
      </c>
      <c r="E87" s="103">
        <f t="shared" si="17"/>
        <v>1.6530360818251211E-2</v>
      </c>
      <c r="F87" s="9">
        <v>1422760000</v>
      </c>
      <c r="G87" s="75">
        <v>804921.97219999996</v>
      </c>
      <c r="I87" s="3">
        <v>15448.45</v>
      </c>
    </row>
    <row r="88" spans="1:9" ht="15" customHeight="1">
      <c r="A88" s="1" t="str">
        <f>SCALARS!A89</f>
        <v>Friday</v>
      </c>
      <c r="B88" s="28">
        <f>SCALARS!B89</f>
        <v>46164</v>
      </c>
      <c r="C88" s="61">
        <f>SCALARS!L89</f>
        <v>1764.6721</v>
      </c>
      <c r="D88" s="61">
        <f t="shared" si="16"/>
        <v>1764.6430946813207</v>
      </c>
      <c r="E88" s="103">
        <f t="shared" si="17"/>
        <v>2.9005318679310221E-2</v>
      </c>
      <c r="F88" s="9">
        <v>1420400000</v>
      </c>
      <c r="G88" s="75">
        <v>804015.41760000004</v>
      </c>
      <c r="I88" s="3">
        <v>15448.45</v>
      </c>
    </row>
    <row r="89" spans="1:9" ht="15" customHeight="1">
      <c r="A89" s="1" t="str">
        <f>SCALARS!A90</f>
        <v>Saturday</v>
      </c>
      <c r="B89" s="28">
        <f>SCALARS!B90</f>
        <v>46165</v>
      </c>
      <c r="C89" s="61">
        <f>SCALARS!L90</f>
        <v>1764.6841999999999</v>
      </c>
      <c r="D89" s="61"/>
      <c r="E89" s="103"/>
      <c r="F89" s="9"/>
      <c r="G89" s="75"/>
    </row>
    <row r="90" spans="1:9" ht="15" customHeight="1">
      <c r="A90" s="1" t="str">
        <f>SCALARS!A91</f>
        <v>Sunday</v>
      </c>
      <c r="B90" s="28">
        <f>SCALARS!B91</f>
        <v>46166</v>
      </c>
      <c r="C90" s="61">
        <f>SCALARS!L91</f>
        <v>1764.6963000000001</v>
      </c>
      <c r="D90" s="61"/>
      <c r="E90" s="103"/>
      <c r="F90" s="9"/>
      <c r="G90" s="75"/>
    </row>
    <row r="91" spans="1:9" ht="15" customHeight="1">
      <c r="A91" s="1" t="str">
        <f>SCALARS!A92</f>
        <v>Monday</v>
      </c>
      <c r="B91" s="28">
        <f>SCALARS!B92</f>
        <v>46167</v>
      </c>
      <c r="C91" s="61">
        <f>SCALARS!L92</f>
        <v>1764.7084</v>
      </c>
      <c r="D91" s="61"/>
      <c r="E91" s="103"/>
      <c r="F91" s="9"/>
      <c r="G91" s="75"/>
    </row>
    <row r="92" spans="1:9" ht="15" customHeight="1">
      <c r="A92" s="1" t="str">
        <f>SCALARS!A93</f>
        <v>Tuesday</v>
      </c>
      <c r="B92" s="28">
        <f>SCALARS!B93</f>
        <v>46168</v>
      </c>
      <c r="C92" s="61">
        <f>SCALARS!L93</f>
        <v>1764.7204999999999</v>
      </c>
      <c r="D92" s="61">
        <f>F92/G88</f>
        <v>1764.6427779148098</v>
      </c>
      <c r="E92" s="103">
        <f t="shared" si="17"/>
        <v>7.7722085190089274E-2</v>
      </c>
      <c r="F92" s="9">
        <v>1418800000</v>
      </c>
      <c r="G92" s="75">
        <v>801477.13549999997</v>
      </c>
      <c r="I92" s="3">
        <v>15448.45</v>
      </c>
    </row>
    <row r="93" spans="1:9" ht="15" customHeight="1">
      <c r="A93" s="1" t="str">
        <f>SCALARS!A94</f>
        <v>Wednesday</v>
      </c>
      <c r="B93" s="28">
        <f>SCALARS!B94</f>
        <v>46169</v>
      </c>
      <c r="C93" s="61">
        <f>SCALARS!L94</f>
        <v>1764.7326</v>
      </c>
      <c r="D93" s="61">
        <f t="shared" si="16"/>
        <v>1764.6417313173622</v>
      </c>
      <c r="E93" s="103">
        <f t="shared" si="17"/>
        <v>9.0868682637847087E-2</v>
      </c>
      <c r="F93" s="9">
        <v>1414320000</v>
      </c>
      <c r="G93" s="75">
        <v>794428.81129999994</v>
      </c>
      <c r="I93" s="3">
        <v>24743.51</v>
      </c>
    </row>
    <row r="94" spans="1:9" ht="15" customHeight="1">
      <c r="A94" s="1" t="str">
        <f>SCALARS!A95</f>
        <v>Thursday</v>
      </c>
      <c r="B94" s="28">
        <f>SCALARS!B95</f>
        <v>46170</v>
      </c>
      <c r="C94" s="61">
        <f>SCALARS!L95</f>
        <v>1764.7447</v>
      </c>
      <c r="D94" s="61">
        <f t="shared" si="16"/>
        <v>1764.6389205169555</v>
      </c>
      <c r="E94" s="103">
        <f t="shared" si="17"/>
        <v>0.10577948304444362</v>
      </c>
      <c r="F94" s="9">
        <v>1401880000</v>
      </c>
      <c r="G94" s="75">
        <v>792003.89480000001</v>
      </c>
      <c r="I94" s="3">
        <v>24743.51</v>
      </c>
    </row>
    <row r="95" spans="1:9" ht="15" customHeight="1">
      <c r="A95" s="1" t="str">
        <f>SCALARS!A96</f>
        <v>Friday</v>
      </c>
      <c r="B95" s="28">
        <f>SCALARS!B96</f>
        <v>46171</v>
      </c>
      <c r="C95" s="61">
        <f>SCALARS!L96</f>
        <v>1764.7568000000001</v>
      </c>
      <c r="D95" s="61">
        <f t="shared" si="16"/>
        <v>1764.6377867282174</v>
      </c>
      <c r="E95" s="103">
        <f t="shared" si="17"/>
        <v>0.11901327178270549</v>
      </c>
      <c r="F95" s="9">
        <v>1397600000</v>
      </c>
      <c r="G95" s="75">
        <v>791074.70510000002</v>
      </c>
      <c r="I95" s="3">
        <v>26390.55</v>
      </c>
    </row>
    <row r="96" spans="1:9" ht="15" customHeight="1">
      <c r="A96" s="1" t="str">
        <f>SCALARS!A97</f>
        <v>Saturday</v>
      </c>
      <c r="B96" s="28">
        <f>SCALARS!B97</f>
        <v>46172</v>
      </c>
      <c r="C96" s="61">
        <f>SCALARS!L97</f>
        <v>1764.7689</v>
      </c>
      <c r="D96" s="61"/>
      <c r="E96" s="103"/>
      <c r="F96" s="9"/>
      <c r="G96" s="75"/>
    </row>
    <row r="97" spans="1:9" ht="15" customHeight="1">
      <c r="A97" s="1" t="str">
        <f>SCALARS!A98</f>
        <v>Sunday</v>
      </c>
      <c r="B97" s="28">
        <f>SCALARS!B98</f>
        <v>46173</v>
      </c>
      <c r="C97" s="61">
        <f>SCALARS!L98</f>
        <v>1764.7809999999999</v>
      </c>
      <c r="D97" s="61"/>
      <c r="E97" s="103"/>
      <c r="F97" s="9"/>
      <c r="G97" s="75"/>
    </row>
    <row r="98" spans="1:9" ht="15" customHeight="1">
      <c r="A98" s="1" t="str">
        <f>SCALARS!A99</f>
        <v>Monday</v>
      </c>
      <c r="B98" s="28">
        <f>SCALARS!B99</f>
        <v>46174</v>
      </c>
      <c r="C98" s="61">
        <f>SCALARS!L99</f>
        <v>1764.7931000000001</v>
      </c>
      <c r="D98" s="61">
        <f>F98/G95</f>
        <v>1764.6373863307085</v>
      </c>
      <c r="E98" s="103">
        <f t="shared" ref="E98:E101" si="18">C98-D98</f>
        <v>0.15571366929157193</v>
      </c>
      <c r="F98" s="9">
        <v>1395960000</v>
      </c>
      <c r="G98" s="75">
        <v>784910.53379999998</v>
      </c>
      <c r="I98" s="3">
        <v>34040.11</v>
      </c>
    </row>
    <row r="99" spans="1:9" ht="15" customHeight="1">
      <c r="A99" s="1" t="str">
        <f>SCALARS!A100</f>
        <v>Tuesday</v>
      </c>
      <c r="B99" s="28">
        <f>SCALARS!B100</f>
        <v>46175</v>
      </c>
      <c r="C99" s="61">
        <f>SCALARS!L100</f>
        <v>1764.8052</v>
      </c>
      <c r="D99" s="61">
        <f t="shared" ref="D99:D102" si="19">F99/G98</f>
        <v>1764.6342358209795</v>
      </c>
      <c r="E99" s="103">
        <f t="shared" si="18"/>
        <v>0.17096417902052963</v>
      </c>
      <c r="F99" s="9">
        <v>1385080000</v>
      </c>
      <c r="G99" s="75">
        <v>779109.02300000004</v>
      </c>
      <c r="I99" s="3">
        <f>45831.8-1344.18</f>
        <v>44487.62</v>
      </c>
    </row>
    <row r="100" spans="1:9" ht="15" customHeight="1">
      <c r="A100" s="1" t="str">
        <f>SCALARS!A101</f>
        <v>Wednesday</v>
      </c>
      <c r="B100" s="28">
        <f>SCALARS!B101</f>
        <v>46176</v>
      </c>
      <c r="C100" s="61">
        <f>SCALARS!L101</f>
        <v>1764.8172999999999</v>
      </c>
      <c r="D100" s="61">
        <f t="shared" si="19"/>
        <v>1764.6310842430071</v>
      </c>
      <c r="E100" s="103">
        <f t="shared" si="18"/>
        <v>0.18621575699285131</v>
      </c>
      <c r="F100" s="9">
        <v>1374840000</v>
      </c>
      <c r="G100" s="75">
        <v>773896.82660000003</v>
      </c>
      <c r="I100" s="3">
        <f>54017.55-1319.78</f>
        <v>52697.770000000004</v>
      </c>
    </row>
    <row r="101" spans="1:9" ht="15" customHeight="1">
      <c r="A101" s="1" t="str">
        <f>SCALARS!A102</f>
        <v>Thursday</v>
      </c>
      <c r="B101" s="28">
        <f>SCALARS!B102</f>
        <v>46177</v>
      </c>
      <c r="C101" s="61">
        <f>SCALARS!L102</f>
        <v>1764.8294000000001</v>
      </c>
      <c r="D101" s="61">
        <f t="shared" si="19"/>
        <v>1764.6279879447693</v>
      </c>
      <c r="E101" s="103">
        <f t="shared" si="18"/>
        <v>0.20141205523077588</v>
      </c>
      <c r="F101" s="9">
        <v>1365640000</v>
      </c>
      <c r="G101" s="75">
        <v>774434.1372</v>
      </c>
      <c r="I101" s="3">
        <v>11989.46</v>
      </c>
    </row>
    <row r="102" spans="1:9" ht="15" customHeight="1">
      <c r="A102" s="1" t="str">
        <f>SCALARS!A103</f>
        <v>Friday</v>
      </c>
      <c r="B102" s="28">
        <f>SCALARS!B103</f>
        <v>46178</v>
      </c>
      <c r="C102" s="61">
        <f>SCALARS!L103</f>
        <v>1764.8415</v>
      </c>
      <c r="D102" s="61">
        <f t="shared" si="19"/>
        <v>1765.1081406900564</v>
      </c>
      <c r="E102" s="103">
        <f>C102-D102</f>
        <v>-0.26664069005641977</v>
      </c>
      <c r="F102" s="9">
        <v>1366960000</v>
      </c>
      <c r="G102" s="75">
        <v>770853.68359999999</v>
      </c>
      <c r="I102" s="3">
        <v>16617.18</v>
      </c>
    </row>
    <row r="103" spans="1:9" ht="15" customHeight="1">
      <c r="A103" s="1" t="str">
        <f>SCALARS!A104</f>
        <v>Saturday</v>
      </c>
      <c r="B103" s="28">
        <f>SCALARS!B104</f>
        <v>46179</v>
      </c>
      <c r="C103" s="61">
        <f>SCALARS!L104</f>
        <v>1764.8535999999999</v>
      </c>
      <c r="D103" s="61"/>
      <c r="E103" s="103"/>
      <c r="F103" s="9"/>
      <c r="G103" s="75"/>
    </row>
    <row r="104" spans="1:9" ht="15" customHeight="1">
      <c r="A104" s="1" t="str">
        <f>SCALARS!A105</f>
        <v>Sunday</v>
      </c>
      <c r="B104" s="28">
        <f>SCALARS!B105</f>
        <v>46180</v>
      </c>
      <c r="C104" s="61">
        <f>SCALARS!L105</f>
        <v>1764.8657000000001</v>
      </c>
      <c r="D104" s="61"/>
      <c r="E104" s="103"/>
      <c r="F104" s="9"/>
      <c r="G104" s="75"/>
    </row>
    <row r="105" spans="1:9" ht="15" customHeight="1">
      <c r="A105" s="1" t="str">
        <f>SCALARS!A106</f>
        <v>Monday</v>
      </c>
      <c r="B105" s="28">
        <f>SCALARS!B106</f>
        <v>46181</v>
      </c>
      <c r="C105" s="61">
        <f>SCALARS!L106</f>
        <v>1764.8778</v>
      </c>
      <c r="D105" s="61">
        <f>F105/G102</f>
        <v>1765.1079951328911</v>
      </c>
      <c r="E105" s="103">
        <f t="shared" ref="E105:E107" si="20">C105-D105</f>
        <v>-0.23019513289114002</v>
      </c>
      <c r="F105" s="9">
        <v>1360640000</v>
      </c>
      <c r="G105" s="75">
        <v>767182.64839999995</v>
      </c>
      <c r="I105" s="3">
        <v>21653.86</v>
      </c>
    </row>
    <row r="106" spans="1:9" ht="15" customHeight="1">
      <c r="A106" s="1" t="str">
        <f>SCALARS!A107</f>
        <v>Tuesday</v>
      </c>
      <c r="B106" s="28">
        <f>SCALARS!B107</f>
        <v>46182</v>
      </c>
      <c r="C106" s="61">
        <f>SCALARS!L107</f>
        <v>1764.8898999999999</v>
      </c>
      <c r="D106" s="61">
        <f t="shared" ref="D106:D109" si="21">F106/G105</f>
        <v>1765.1077000036073</v>
      </c>
      <c r="E106" s="103">
        <f t="shared" si="20"/>
        <v>-0.21780000360740814</v>
      </c>
      <c r="F106" s="9">
        <v>1354160000</v>
      </c>
      <c r="G106" s="75">
        <v>766185.60710000002</v>
      </c>
      <c r="I106" s="3">
        <v>21653.86</v>
      </c>
    </row>
    <row r="107" spans="1:9" ht="15" customHeight="1">
      <c r="A107" s="1" t="str">
        <f>SCALARS!A108</f>
        <v>Wednesday</v>
      </c>
      <c r="B107" s="28">
        <f>SCALARS!B108</f>
        <v>46183</v>
      </c>
      <c r="C107" s="61">
        <f>SCALARS!L108</f>
        <v>1764.902</v>
      </c>
      <c r="D107" s="61">
        <f t="shared" si="21"/>
        <v>1765.10755026946</v>
      </c>
      <c r="E107" s="103">
        <f t="shared" si="20"/>
        <v>-0.20555026945999089</v>
      </c>
      <c r="F107" s="9">
        <v>1352400000</v>
      </c>
      <c r="G107" s="75">
        <v>763783.60450000002</v>
      </c>
      <c r="I107" s="3">
        <v>25129.29</v>
      </c>
    </row>
    <row r="108" spans="1:9" ht="15" customHeight="1">
      <c r="A108" s="1" t="str">
        <f>SCALARS!A109</f>
        <v>Thursday</v>
      </c>
      <c r="B108" s="28">
        <f>SCALARS!B109</f>
        <v>46184</v>
      </c>
      <c r="C108" s="61">
        <f>SCALARS!L109</f>
        <v>1764.9141</v>
      </c>
      <c r="D108" s="61">
        <f t="shared" si="21"/>
        <v>0</v>
      </c>
      <c r="E108" s="124"/>
      <c r="F108" s="156"/>
      <c r="G108" s="75">
        <v>764259.45959999994</v>
      </c>
      <c r="I108" s="3">
        <v>25129.29</v>
      </c>
    </row>
    <row r="109" spans="1:9" ht="15" customHeight="1">
      <c r="A109" s="1" t="str">
        <f>SCALARS!A110</f>
        <v>Friday</v>
      </c>
      <c r="B109" s="28">
        <f>SCALARS!B110</f>
        <v>46185</v>
      </c>
      <c r="C109" s="61">
        <f>SCALARS!L110</f>
        <v>1764.9262000000001</v>
      </c>
      <c r="D109" s="61">
        <f t="shared" si="21"/>
        <v>1765.1073638081537</v>
      </c>
      <c r="E109" s="103">
        <f>C109-D109</f>
        <v>-0.18116380815354205</v>
      </c>
      <c r="F109" s="9">
        <v>1349000000</v>
      </c>
      <c r="G109" s="75">
        <v>765165.82880000002</v>
      </c>
      <c r="I109" s="3">
        <v>26102.57</v>
      </c>
    </row>
    <row r="110" spans="1:9" ht="15" customHeight="1">
      <c r="A110" s="1" t="str">
        <f>SCALARS!A111</f>
        <v>Saturday</v>
      </c>
      <c r="B110" s="28">
        <f>SCALARS!B111</f>
        <v>46186</v>
      </c>
      <c r="C110" s="61">
        <f>SCALARS!L111</f>
        <v>1764.9383</v>
      </c>
      <c r="D110" s="61"/>
      <c r="E110" s="103"/>
      <c r="F110" s="9"/>
      <c r="G110" s="75"/>
    </row>
    <row r="111" spans="1:9" ht="15" customHeight="1">
      <c r="A111" s="1" t="str">
        <f>SCALARS!A112</f>
        <v>Sunday</v>
      </c>
      <c r="B111" s="28">
        <f>SCALARS!B112</f>
        <v>46187</v>
      </c>
      <c r="C111" s="61">
        <f>SCALARS!L112</f>
        <v>1764.9503999999999</v>
      </c>
      <c r="D111" s="61"/>
      <c r="E111" s="103"/>
      <c r="F111" s="9"/>
      <c r="G111" s="75"/>
    </row>
    <row r="112" spans="1:9" ht="15" customHeight="1">
      <c r="A112" s="1" t="str">
        <f>SCALARS!A113</f>
        <v>Monday</v>
      </c>
      <c r="B112" s="28">
        <f>SCALARS!B113</f>
        <v>46188</v>
      </c>
      <c r="C112" s="61">
        <f>SCALARS!L113</f>
        <v>1764.9625000000001</v>
      </c>
      <c r="D112" s="61">
        <f>F112/G109</f>
        <v>1765.1075742863859</v>
      </c>
      <c r="E112" s="103">
        <f t="shared" ref="E112:E115" si="22">C112-D112</f>
        <v>-0.14507428638580677</v>
      </c>
      <c r="F112" s="9">
        <v>1350600000</v>
      </c>
      <c r="G112" s="75">
        <v>766162.82590000005</v>
      </c>
      <c r="I112" s="3">
        <v>26774.15</v>
      </c>
    </row>
    <row r="113" spans="1:9" ht="15" customHeight="1">
      <c r="A113" s="1" t="str">
        <f>SCALARS!A114</f>
        <v>Tuesday</v>
      </c>
      <c r="B113" s="28">
        <f>SCALARS!B114</f>
        <v>46189</v>
      </c>
      <c r="C113" s="61">
        <f>SCALARS!L114</f>
        <v>1764.9746</v>
      </c>
      <c r="D113" s="61">
        <f t="shared" ref="D113:D114" si="23">F113/G112</f>
        <v>1765.1078260177958</v>
      </c>
      <c r="E113" s="103">
        <f t="shared" si="22"/>
        <v>-0.13322601779577781</v>
      </c>
      <c r="F113" s="9">
        <v>1352360000</v>
      </c>
      <c r="G113" s="75">
        <v>766412.07559999998</v>
      </c>
      <c r="I113" s="3">
        <v>26774.15</v>
      </c>
    </row>
    <row r="114" spans="1:9" ht="15" customHeight="1">
      <c r="A114" s="1" t="str">
        <f>SCALARS!A115</f>
        <v>Wednesday</v>
      </c>
      <c r="B114" s="28">
        <f>SCALARS!B115</f>
        <v>46190</v>
      </c>
      <c r="C114" s="61">
        <f>SCALARS!L115</f>
        <v>1764.9866999999999</v>
      </c>
      <c r="D114" s="61">
        <f t="shared" si="23"/>
        <v>1765.1078878695059</v>
      </c>
      <c r="E114" s="103">
        <f t="shared" si="22"/>
        <v>-0.12118786950600224</v>
      </c>
      <c r="F114" s="9">
        <v>1352800000</v>
      </c>
      <c r="G114" s="75">
        <v>765936.23939999996</v>
      </c>
      <c r="I114" s="3">
        <v>26774.15</v>
      </c>
    </row>
    <row r="115" spans="1:9" ht="15" customHeight="1">
      <c r="A115" s="1" t="str">
        <f>SCALARS!A116</f>
        <v>Thursday</v>
      </c>
      <c r="B115" s="28">
        <f>SCALARS!B116</f>
        <v>46191</v>
      </c>
      <c r="C115" s="61">
        <f>SCALARS!L116</f>
        <v>1764.9988000000001</v>
      </c>
      <c r="D115" s="61">
        <f>F115/G114</f>
        <v>1765.1077602217447</v>
      </c>
      <c r="E115" s="103">
        <f t="shared" si="22"/>
        <v>-0.10896022174460995</v>
      </c>
      <c r="F115" s="9">
        <v>1351960000</v>
      </c>
      <c r="G115" s="75">
        <v>764395.42420000001</v>
      </c>
      <c r="I115" s="3">
        <v>28567.14</v>
      </c>
    </row>
    <row r="116" spans="1:9" ht="15" customHeight="1">
      <c r="A116" s="1" t="str">
        <f>SCALARS!A117</f>
        <v>Friday</v>
      </c>
      <c r="B116" s="28">
        <f>SCALARS!B117</f>
        <v>46192</v>
      </c>
      <c r="C116" s="61">
        <f>SCALARS!L117</f>
        <v>1765.0109</v>
      </c>
      <c r="D116" s="161" t="s">
        <v>73</v>
      </c>
      <c r="E116" s="103"/>
      <c r="F116" s="9"/>
      <c r="G116" s="75"/>
    </row>
    <row r="117" spans="1:9" ht="15" customHeight="1">
      <c r="A117" s="1" t="str">
        <f>SCALARS!A118</f>
        <v>Saturday</v>
      </c>
      <c r="B117" s="28">
        <f>SCALARS!B118</f>
        <v>46193</v>
      </c>
      <c r="C117" s="61">
        <f>SCALARS!L118</f>
        <v>1765.0229999999999</v>
      </c>
      <c r="D117" s="61"/>
      <c r="E117" s="103"/>
      <c r="F117" s="9"/>
      <c r="G117" s="75"/>
    </row>
    <row r="118" spans="1:9" ht="15" customHeight="1">
      <c r="A118" s="1" t="str">
        <f>SCALARS!A119</f>
        <v>Sunday</v>
      </c>
      <c r="B118" s="28">
        <f>SCALARS!B119</f>
        <v>46194</v>
      </c>
      <c r="C118" s="61">
        <f>SCALARS!L119</f>
        <v>1765.0351000000001</v>
      </c>
      <c r="D118" s="61"/>
      <c r="E118" s="103"/>
      <c r="F118" s="9"/>
      <c r="G118" s="75"/>
    </row>
    <row r="119" spans="1:9" ht="15" customHeight="1">
      <c r="A119" s="1" t="str">
        <f>SCALARS!A120</f>
        <v>Monday</v>
      </c>
      <c r="B119" s="28">
        <f>SCALARS!B120</f>
        <v>46195</v>
      </c>
      <c r="C119" s="61">
        <f>SCALARS!L120</f>
        <v>1765.0472</v>
      </c>
      <c r="D119" s="61">
        <f>F119/G115</f>
        <v>1765.1073741213011</v>
      </c>
      <c r="E119" s="103">
        <f t="shared" ref="E119:E122" si="24">C119-D119</f>
        <v>-6.0174121301088235E-2</v>
      </c>
      <c r="F119" s="9">
        <v>1349240000</v>
      </c>
      <c r="G119" s="75">
        <v>761721.72349999996</v>
      </c>
      <c r="I119" s="3">
        <v>31527.48</v>
      </c>
    </row>
    <row r="120" spans="1:9" ht="15" customHeight="1">
      <c r="A120" s="1" t="str">
        <f>SCALARS!A121</f>
        <v>Tuesday</v>
      </c>
      <c r="B120" s="28">
        <f>SCALARS!B121</f>
        <v>46196</v>
      </c>
      <c r="C120" s="61">
        <f>SCALARS!L121</f>
        <v>1765.0592999999999</v>
      </c>
      <c r="D120" s="61">
        <f t="shared" ref="D120:D123" si="25">F120/G119</f>
        <v>1765.1065455007993</v>
      </c>
      <c r="E120" s="103">
        <f t="shared" si="24"/>
        <v>-4.7245500799363072E-2</v>
      </c>
      <c r="F120" s="9">
        <v>1344520000</v>
      </c>
      <c r="G120" s="75">
        <v>758798.82380000001</v>
      </c>
      <c r="I120" s="3">
        <v>34098.75</v>
      </c>
    </row>
    <row r="121" spans="1:9" ht="15" customHeight="1">
      <c r="A121" s="1" t="str">
        <f>SCALARS!A122</f>
        <v>Wednesday</v>
      </c>
      <c r="B121" s="28">
        <f>SCALARS!B122</f>
        <v>46197</v>
      </c>
      <c r="C121" s="61">
        <f>SCALARS!L122</f>
        <v>1765.0714</v>
      </c>
      <c r="D121" s="61">
        <f t="shared" si="25"/>
        <v>1765.105529938224</v>
      </c>
      <c r="E121" s="103">
        <f t="shared" si="24"/>
        <v>-3.4129938223941281E-2</v>
      </c>
      <c r="F121" s="9">
        <v>1339360000</v>
      </c>
      <c r="G121" s="75">
        <v>754788.44759999996</v>
      </c>
      <c r="I121" s="3">
        <v>34098.75</v>
      </c>
    </row>
    <row r="122" spans="1:9" ht="15" customHeight="1">
      <c r="A122" s="1" t="str">
        <f>SCALARS!A123</f>
        <v>Thursday</v>
      </c>
      <c r="B122" s="28">
        <f>SCALARS!B123</f>
        <v>46198</v>
      </c>
      <c r="C122" s="61">
        <f>SCALARS!L123</f>
        <v>1765.0835</v>
      </c>
      <c r="D122" s="61">
        <f t="shared" si="25"/>
        <v>1765.1038568969218</v>
      </c>
      <c r="E122" s="103">
        <f t="shared" si="24"/>
        <v>-2.0356896921839507E-2</v>
      </c>
      <c r="F122" s="9">
        <v>1332280000</v>
      </c>
      <c r="G122" s="75">
        <v>750302.30130000005</v>
      </c>
      <c r="I122" s="3">
        <v>34098.75</v>
      </c>
    </row>
    <row r="123" spans="1:9" ht="15" customHeight="1">
      <c r="A123" s="1" t="str">
        <f>SCALARS!A124</f>
        <v>Friday</v>
      </c>
      <c r="B123" s="28">
        <f>SCALARS!B124</f>
        <v>46199</v>
      </c>
      <c r="C123" s="61">
        <f>SCALARS!L124</f>
        <v>1765.0956000000001</v>
      </c>
      <c r="D123" s="61">
        <f t="shared" si="25"/>
        <v>1765.1018765441177</v>
      </c>
      <c r="E123" s="103">
        <f>C123-D123</f>
        <v>-6.2765441175542946E-3</v>
      </c>
      <c r="F123" s="9">
        <v>1324360000</v>
      </c>
      <c r="G123" s="75">
        <v>742870.64679999999</v>
      </c>
      <c r="I123" s="3">
        <v>39798.67</v>
      </c>
    </row>
    <row r="124" spans="1:9" ht="15" customHeight="1">
      <c r="A124" s="1" t="str">
        <f>SCALARS!A125</f>
        <v>Saturday</v>
      </c>
      <c r="B124" s="28">
        <f>SCALARS!B125</f>
        <v>46200</v>
      </c>
      <c r="C124" s="61">
        <f>SCALARS!L125</f>
        <v>1765.1077</v>
      </c>
      <c r="D124" s="61"/>
      <c r="E124" s="103"/>
      <c r="F124" s="9"/>
      <c r="G124" s="75"/>
    </row>
    <row r="125" spans="1:9" ht="15" customHeight="1">
      <c r="A125" s="1" t="str">
        <f>SCALARS!A126</f>
        <v>Sunday</v>
      </c>
      <c r="B125" s="28">
        <f>SCALARS!B126</f>
        <v>46201</v>
      </c>
      <c r="C125" s="61">
        <f>SCALARS!L126</f>
        <v>1765.1197999999999</v>
      </c>
      <c r="D125" s="61"/>
      <c r="E125" s="103"/>
      <c r="F125" s="9"/>
      <c r="G125" s="75"/>
    </row>
    <row r="126" spans="1:9" ht="15" customHeight="1">
      <c r="A126" s="1" t="str">
        <f>SCALARS!A127</f>
        <v>Monday</v>
      </c>
      <c r="B126" s="28">
        <f>SCALARS!B127</f>
        <v>46202</v>
      </c>
      <c r="C126" s="61">
        <f>SCALARS!L127</f>
        <v>1765.1319000000001</v>
      </c>
      <c r="D126" s="61">
        <f>F126/G123</f>
        <v>1765.0986825880332</v>
      </c>
      <c r="E126" s="103">
        <f t="shared" ref="E126:E127" si="26">C126-D126</f>
        <v>3.3217411966916188E-2</v>
      </c>
      <c r="F126" s="9">
        <v>1311240000</v>
      </c>
      <c r="G126" s="75">
        <v>737886.08700000006</v>
      </c>
      <c r="I126" s="3">
        <v>44187.14</v>
      </c>
    </row>
    <row r="127" spans="1:9" ht="15" customHeight="1">
      <c r="A127" s="1" t="str">
        <f>SCALARS!A128</f>
        <v>Tuesday</v>
      </c>
      <c r="B127" s="28">
        <f>SCALARS!B128</f>
        <v>46203</v>
      </c>
      <c r="C127" s="61">
        <f>SCALARS!L128</f>
        <v>1765.144</v>
      </c>
      <c r="D127" s="61">
        <f t="shared" ref="D127" si="27">F127/G126</f>
        <v>1765.0962973096414</v>
      </c>
      <c r="E127" s="103">
        <f t="shared" si="26"/>
        <v>4.7702690358619293E-2</v>
      </c>
      <c r="F127" s="9">
        <v>1302440000</v>
      </c>
      <c r="G127" s="75">
        <v>734261.02650000004</v>
      </c>
      <c r="I127" s="3">
        <v>45765.91</v>
      </c>
    </row>
    <row r="128" spans="1:9" ht="15" customHeight="1">
      <c r="A128" s="1" t="str">
        <f>SCALARS!A129</f>
        <v>Wednesday</v>
      </c>
      <c r="B128" s="28">
        <f>SCALARS!B129</f>
        <v>46204</v>
      </c>
      <c r="C128" s="61">
        <f>SCALARS!L129</f>
        <v>1765.1560999999999</v>
      </c>
      <c r="D128" s="61">
        <f t="shared" ref="D128:D158" si="28">F128/G127</f>
        <v>1765.0943645719972</v>
      </c>
      <c r="E128" s="103">
        <f t="shared" ref="E128:E137" si="29">C128-D128</f>
        <v>6.1735428002748449E-2</v>
      </c>
      <c r="F128" s="9">
        <v>1296040000</v>
      </c>
      <c r="G128" s="75">
        <v>730613.27800000005</v>
      </c>
      <c r="I128" s="3">
        <f>49455.69+601.07</f>
        <v>50056.76</v>
      </c>
    </row>
    <row r="129" spans="1:9" ht="15" customHeight="1">
      <c r="A129" s="1" t="str">
        <f>SCALARS!A130</f>
        <v>Thursday</v>
      </c>
      <c r="B129" s="28">
        <f>SCALARS!B130</f>
        <v>46205</v>
      </c>
      <c r="C129" s="61">
        <f>SCALARS!L130</f>
        <v>1765.1682000000001</v>
      </c>
      <c r="D129" s="61">
        <f t="shared" si="28"/>
        <v>1765.0924761868343</v>
      </c>
      <c r="E129" s="103">
        <f t="shared" si="29"/>
        <v>7.5723813165723186E-2</v>
      </c>
      <c r="F129" s="9">
        <v>1289600000</v>
      </c>
      <c r="G129" s="75">
        <v>729956.19739999995</v>
      </c>
      <c r="I129" s="3">
        <v>52212.19</v>
      </c>
    </row>
    <row r="130" spans="1:9" ht="15" customHeight="1">
      <c r="A130" s="1" t="str">
        <f>SCALARS!A131</f>
        <v>Friday</v>
      </c>
      <c r="B130" s="28">
        <f>SCALARS!B131</f>
        <v>46206</v>
      </c>
      <c r="C130" s="61">
        <f>SCALARS!L131</f>
        <v>1765.1803</v>
      </c>
      <c r="D130" s="161" t="s">
        <v>73</v>
      </c>
      <c r="E130" s="103"/>
      <c r="F130" s="9"/>
      <c r="G130" s="75"/>
    </row>
    <row r="131" spans="1:9" ht="15" customHeight="1">
      <c r="A131" s="1" t="str">
        <f>SCALARS!A132</f>
        <v>Saturday</v>
      </c>
      <c r="B131" s="28">
        <f>SCALARS!B132</f>
        <v>46207</v>
      </c>
      <c r="C131" s="61">
        <f>SCALARS!L132</f>
        <v>1765.1923999999999</v>
      </c>
      <c r="D131" s="61"/>
      <c r="E131" s="103"/>
      <c r="F131" s="9"/>
      <c r="G131" s="75"/>
    </row>
    <row r="132" spans="1:9" ht="15" customHeight="1">
      <c r="A132" s="1" t="str">
        <f>SCALARS!A133</f>
        <v>Sunday</v>
      </c>
      <c r="B132" s="28">
        <f>SCALARS!B133</f>
        <v>46208</v>
      </c>
      <c r="C132" s="61">
        <f>SCALARS!L133</f>
        <v>1765.2045000000001</v>
      </c>
      <c r="D132" s="61"/>
      <c r="E132" s="103"/>
      <c r="F132" s="9"/>
      <c r="G132" s="75"/>
    </row>
    <row r="133" spans="1:9" ht="15" customHeight="1">
      <c r="A133" s="1" t="str">
        <f>SCALARS!A134</f>
        <v>Monday</v>
      </c>
      <c r="B133" s="28">
        <f>SCALARS!B134</f>
        <v>46209</v>
      </c>
      <c r="C133" s="61">
        <f>SCALARS!L134</f>
        <v>1765.2166</v>
      </c>
      <c r="D133" s="61">
        <f>F133/G129</f>
        <v>1765.0922131892844</v>
      </c>
      <c r="E133" s="103">
        <f t="shared" si="29"/>
        <v>0.12438681071557767</v>
      </c>
      <c r="F133" s="9">
        <v>1288440000</v>
      </c>
      <c r="G133" s="75">
        <v>733241.3162</v>
      </c>
      <c r="I133" s="3">
        <v>52212.19</v>
      </c>
    </row>
    <row r="134" spans="1:9" ht="15" customHeight="1">
      <c r="A134" s="1" t="str">
        <f>SCALARS!A135</f>
        <v>Tuesday</v>
      </c>
      <c r="B134" s="28">
        <f>SCALARS!B135</f>
        <v>46210</v>
      </c>
      <c r="C134" s="61">
        <f>SCALARS!L135</f>
        <v>1765.2286999999999</v>
      </c>
      <c r="D134" s="61">
        <f t="shared" si="28"/>
        <v>1765.0942076032459</v>
      </c>
      <c r="E134" s="103">
        <f t="shared" si="29"/>
        <v>0.13449239675401259</v>
      </c>
      <c r="F134" s="9">
        <v>1294240000</v>
      </c>
      <c r="G134" s="75">
        <v>733946.60380000004</v>
      </c>
      <c r="I134" s="3">
        <v>421.97</v>
      </c>
    </row>
    <row r="135" spans="1:9" ht="15" customHeight="1">
      <c r="A135" s="1" t="str">
        <f>SCALARS!A136</f>
        <v>Wednesday</v>
      </c>
      <c r="B135" s="28">
        <f>SCALARS!B136</f>
        <v>46211</v>
      </c>
      <c r="C135" s="61">
        <f>SCALARS!L136</f>
        <v>1765.2408</v>
      </c>
      <c r="D135" s="61">
        <f t="shared" si="28"/>
        <v>1765.4690317949801</v>
      </c>
      <c r="E135" s="103">
        <f t="shared" si="29"/>
        <v>-0.2282317949800472</v>
      </c>
      <c r="F135" s="9">
        <v>1295760000</v>
      </c>
      <c r="G135" s="75">
        <v>732995.06680000003</v>
      </c>
      <c r="I135" s="3">
        <v>421.97</v>
      </c>
    </row>
    <row r="136" spans="1:9" ht="15" customHeight="1">
      <c r="A136" s="1" t="str">
        <f>SCALARS!A137</f>
        <v>Thursday</v>
      </c>
      <c r="B136" s="28">
        <f>SCALARS!B137</f>
        <v>46212</v>
      </c>
      <c r="C136" s="61">
        <f>SCALARS!L137</f>
        <v>1765.2529</v>
      </c>
      <c r="D136" s="61">
        <f t="shared" si="28"/>
        <v>1765.4689077915632</v>
      </c>
      <c r="E136" s="103">
        <f t="shared" si="29"/>
        <v>-0.21600779156324279</v>
      </c>
      <c r="F136" s="9">
        <v>1294080000</v>
      </c>
      <c r="G136" s="75">
        <v>732995.06680000003</v>
      </c>
      <c r="I136" s="3">
        <v>421.97</v>
      </c>
    </row>
    <row r="137" spans="1:9" ht="15" customHeight="1">
      <c r="A137" s="1" t="str">
        <f>SCALARS!A138</f>
        <v>Friday</v>
      </c>
      <c r="B137" s="28">
        <f>SCALARS!B138</f>
        <v>46213</v>
      </c>
      <c r="C137" s="61">
        <f>SCALARS!L138</f>
        <v>1765.2650000000001</v>
      </c>
      <c r="D137" s="61">
        <f t="shared" si="28"/>
        <v>1765.4689077915632</v>
      </c>
      <c r="E137" s="103">
        <f t="shared" si="29"/>
        <v>-0.20390779156309691</v>
      </c>
      <c r="F137" s="9">
        <v>1294080000</v>
      </c>
      <c r="G137" s="75">
        <v>734354.38899999997</v>
      </c>
      <c r="I137" s="144">
        <v>421.97</v>
      </c>
    </row>
    <row r="138" spans="1:9" ht="15" customHeight="1">
      <c r="A138" s="1" t="str">
        <f>SCALARS!A139</f>
        <v>Saturday</v>
      </c>
      <c r="B138" s="28">
        <f>SCALARS!B139</f>
        <v>46214</v>
      </c>
      <c r="C138" s="61">
        <f>SCALARS!L139</f>
        <v>1765.2771</v>
      </c>
      <c r="D138" s="61"/>
      <c r="E138" s="103"/>
      <c r="F138" s="9"/>
      <c r="G138" s="75"/>
      <c r="I138" s="144"/>
    </row>
    <row r="139" spans="1:9" ht="15" customHeight="1">
      <c r="A139" s="1" t="str">
        <f>SCALARS!A140</f>
        <v>Sunday</v>
      </c>
      <c r="B139" s="28">
        <f>SCALARS!B140</f>
        <v>46215</v>
      </c>
      <c r="C139" s="61">
        <f>SCALARS!L140</f>
        <v>1765.2891999999999</v>
      </c>
      <c r="D139" s="61"/>
      <c r="E139" s="103"/>
      <c r="F139" s="9"/>
      <c r="G139" s="75"/>
      <c r="I139" s="144"/>
    </row>
    <row r="140" spans="1:9" ht="15" customHeight="1">
      <c r="A140" s="1" t="str">
        <f>SCALARS!A141</f>
        <v>Monday</v>
      </c>
      <c r="B140" s="28">
        <f>SCALARS!B141</f>
        <v>46216</v>
      </c>
      <c r="C140" s="61">
        <f>SCALARS!L141</f>
        <v>1765.3013000000001</v>
      </c>
      <c r="D140" s="61">
        <f>F140/G137</f>
        <v>1765.4691241996513</v>
      </c>
      <c r="E140" s="103">
        <f>C140-D140</f>
        <v>-0.16782419965124973</v>
      </c>
      <c r="F140" s="9">
        <v>1296480000</v>
      </c>
      <c r="G140" s="75">
        <v>731363.94909999997</v>
      </c>
      <c r="I140" s="144">
        <v>421.97</v>
      </c>
    </row>
    <row r="141" spans="1:9" ht="15" customHeight="1">
      <c r="A141" s="1" t="str">
        <f>SCALARS!A142</f>
        <v>Tuesday</v>
      </c>
      <c r="B141" s="28">
        <f>SCALARS!B142</f>
        <v>46217</v>
      </c>
      <c r="C141" s="61">
        <f>SCALARS!L142</f>
        <v>1765.3134</v>
      </c>
      <c r="D141" s="61">
        <f t="shared" si="28"/>
        <v>1765.4684806229807</v>
      </c>
      <c r="E141" s="103">
        <f>C141-D141</f>
        <v>-0.15508062298067671</v>
      </c>
      <c r="F141" s="9">
        <v>1291200000</v>
      </c>
      <c r="G141" s="75">
        <v>733516.15300000005</v>
      </c>
      <c r="I141" s="3">
        <v>421.97</v>
      </c>
    </row>
    <row r="142" spans="1:9" ht="15" customHeight="1">
      <c r="A142" s="1" t="str">
        <f>SCALARS!A143</f>
        <v>Wednesday</v>
      </c>
      <c r="B142" s="28">
        <f>SCALARS!B143</f>
        <v>46218</v>
      </c>
      <c r="C142" s="61">
        <f>SCALARS!L143</f>
        <v>1765.3254999999999</v>
      </c>
      <c r="D142" s="61">
        <f t="shared" si="28"/>
        <v>1765.4689602997739</v>
      </c>
      <c r="E142" s="103">
        <f>C142-D142</f>
        <v>-0.14346029977400576</v>
      </c>
      <c r="F142" s="9">
        <v>1295000000</v>
      </c>
      <c r="G142" s="75">
        <v>734762.15099999995</v>
      </c>
      <c r="I142" s="3">
        <v>867.15</v>
      </c>
    </row>
    <row r="143" spans="1:9" ht="15" customHeight="1">
      <c r="A143" s="1" t="str">
        <f>SCALARS!A144</f>
        <v>Thursday</v>
      </c>
      <c r="B143" s="28">
        <f>SCALARS!B144</f>
        <v>46219</v>
      </c>
      <c r="C143" s="61">
        <f>SCALARS!L144</f>
        <v>1765.3376000000001</v>
      </c>
      <c r="D143" s="61">
        <f t="shared" si="28"/>
        <v>1765.4692722461696</v>
      </c>
      <c r="E143" s="103">
        <f>C143-D143</f>
        <v>-0.1316722461695008</v>
      </c>
      <c r="F143" s="9">
        <v>1297200000</v>
      </c>
      <c r="G143" s="75">
        <v>735283.19799999997</v>
      </c>
      <c r="I143" s="3">
        <v>1213.6300000000001</v>
      </c>
    </row>
    <row r="144" spans="1:9" ht="15" customHeight="1">
      <c r="A144" s="1" t="str">
        <f>SCALARS!A145</f>
        <v>Friday</v>
      </c>
      <c r="B144" s="28">
        <f>SCALARS!B145</f>
        <v>46220</v>
      </c>
      <c r="C144" s="61">
        <f>SCALARS!L145</f>
        <v>1765.3497</v>
      </c>
      <c r="D144" s="61">
        <f t="shared" si="28"/>
        <v>1765.4694184920027</v>
      </c>
      <c r="E144" s="103">
        <f>C144-D144</f>
        <v>-0.1197184920026757</v>
      </c>
      <c r="F144" s="9">
        <v>1298120000</v>
      </c>
      <c r="G144" s="75">
        <v>737412.70169999998</v>
      </c>
      <c r="I144" s="3">
        <v>1213.6300000000001</v>
      </c>
    </row>
    <row r="145" spans="1:9" ht="15" customHeight="1">
      <c r="A145" s="1" t="str">
        <f>SCALARS!A146</f>
        <v>Saturday</v>
      </c>
      <c r="B145" s="28">
        <f>SCALARS!B146</f>
        <v>46221</v>
      </c>
      <c r="C145" s="61">
        <f>SCALARS!L146</f>
        <v>1765.3617999999999</v>
      </c>
      <c r="D145" s="61"/>
      <c r="E145" s="103"/>
      <c r="F145" s="9"/>
      <c r="G145" s="75"/>
    </row>
    <row r="146" spans="1:9" ht="15" customHeight="1">
      <c r="A146" s="1" t="str">
        <f>SCALARS!A147</f>
        <v>Sunday</v>
      </c>
      <c r="B146" s="28">
        <f>SCALARS!B147</f>
        <v>46222</v>
      </c>
      <c r="C146" s="61">
        <f>SCALARS!L147</f>
        <v>1765.3739</v>
      </c>
      <c r="D146" s="61"/>
      <c r="E146" s="103"/>
      <c r="F146" s="9"/>
      <c r="G146" s="75"/>
    </row>
    <row r="147" spans="1:9" ht="15" customHeight="1">
      <c r="A147" s="1" t="str">
        <f>SCALARS!A148</f>
        <v>Monday</v>
      </c>
      <c r="B147" s="28">
        <f>SCALARS!B148</f>
        <v>46223</v>
      </c>
      <c r="C147" s="61">
        <f>SCALARS!L148</f>
        <v>1765.386</v>
      </c>
      <c r="D147" s="61">
        <f>F147/G144</f>
        <v>1765.4699966500455</v>
      </c>
      <c r="E147" s="103">
        <f>C147-D147</f>
        <v>-8.3996650045492061E-2</v>
      </c>
      <c r="F147" s="9">
        <v>1301880000</v>
      </c>
      <c r="G147" s="75">
        <v>739202.35800000001</v>
      </c>
      <c r="I147" s="3">
        <v>1213.6300000000001</v>
      </c>
    </row>
    <row r="148" spans="1:9" ht="15" customHeight="1">
      <c r="A148" s="1" t="str">
        <f>SCALARS!A149</f>
        <v>Tuesday</v>
      </c>
      <c r="B148" s="28">
        <f>SCALARS!B149</f>
        <v>46224</v>
      </c>
      <c r="C148" s="61">
        <f>SCALARS!L149</f>
        <v>1765.3981000000001</v>
      </c>
      <c r="D148" s="61">
        <f t="shared" si="28"/>
        <v>1765.4705587397491</v>
      </c>
      <c r="E148" s="103">
        <f>C148-D148</f>
        <v>-7.2458739748981316E-2</v>
      </c>
      <c r="F148" s="9">
        <v>1305040000</v>
      </c>
      <c r="G148" s="75">
        <v>741671.60789999994</v>
      </c>
      <c r="I148" s="3">
        <v>2042.44</v>
      </c>
    </row>
    <row r="149" spans="1:9" ht="15" customHeight="1">
      <c r="A149" s="1" t="str">
        <f>SCALARS!A150</f>
        <v>Wednesday</v>
      </c>
      <c r="B149" s="28">
        <f>SCALARS!B150</f>
        <v>46225</v>
      </c>
      <c r="C149" s="61">
        <f>SCALARS!L150</f>
        <v>1765.4102</v>
      </c>
      <c r="D149" s="61">
        <f t="shared" si="28"/>
        <v>1765.4713839019537</v>
      </c>
      <c r="E149" s="103">
        <f>C149-D149</f>
        <v>-6.118390195365464E-2</v>
      </c>
      <c r="F149" s="9">
        <v>1309400000</v>
      </c>
      <c r="G149" s="75">
        <v>742260.59730000002</v>
      </c>
      <c r="I149" s="3">
        <v>2325.19</v>
      </c>
    </row>
    <row r="150" spans="1:9" ht="15" customHeight="1">
      <c r="A150" s="1" t="str">
        <f>SCALARS!A151</f>
        <v>Thursday</v>
      </c>
      <c r="B150" s="28">
        <f>SCALARS!B151</f>
        <v>46226</v>
      </c>
      <c r="C150" s="61">
        <f>SCALARS!L151</f>
        <v>1765.4223</v>
      </c>
      <c r="D150" s="61">
        <f t="shared" si="28"/>
        <v>1765.4715941635232</v>
      </c>
      <c r="E150" s="103">
        <f>C150-D150</f>
        <v>-4.9294163523200041E-2</v>
      </c>
      <c r="F150" s="9">
        <v>1310440000</v>
      </c>
      <c r="G150" s="75">
        <v>739134.42920000001</v>
      </c>
      <c r="I150" s="3">
        <v>2325.19</v>
      </c>
    </row>
    <row r="151" spans="1:9" ht="15" customHeight="1">
      <c r="A151" s="1" t="str">
        <f>SCALARS!A152</f>
        <v>Friday</v>
      </c>
      <c r="B151" s="28">
        <f>SCALARS!B152</f>
        <v>46227</v>
      </c>
      <c r="C151" s="61">
        <f>SCALARS!L152</f>
        <v>1765.4344000000001</v>
      </c>
      <c r="D151" s="61">
        <f t="shared" si="28"/>
        <v>1765.470459023775</v>
      </c>
      <c r="E151" s="103">
        <f>C151-D151</f>
        <v>-3.6059023774896559E-2</v>
      </c>
      <c r="F151" s="9">
        <v>1304920000</v>
      </c>
      <c r="G151" s="75">
        <v>735827.06200000003</v>
      </c>
      <c r="I151" s="3">
        <v>2325.19</v>
      </c>
    </row>
    <row r="152" spans="1:9" ht="15" customHeight="1">
      <c r="A152" s="1" t="str">
        <f>SCALARS!A153</f>
        <v>Saturday</v>
      </c>
      <c r="B152" s="28">
        <f>SCALARS!B153</f>
        <v>46228</v>
      </c>
      <c r="C152" s="61">
        <f>SCALARS!L153</f>
        <v>1765.4465</v>
      </c>
      <c r="D152" s="61"/>
      <c r="E152" s="103"/>
      <c r="F152" s="9"/>
      <c r="G152" s="75"/>
    </row>
    <row r="153" spans="1:9" ht="15" customHeight="1">
      <c r="A153" s="1" t="str">
        <f>SCALARS!A154</f>
        <v>Sunday</v>
      </c>
      <c r="B153" s="28">
        <f>SCALARS!B154</f>
        <v>46229</v>
      </c>
      <c r="C153" s="61">
        <f>SCALARS!L154</f>
        <v>1765.4585999999999</v>
      </c>
      <c r="D153" s="61"/>
      <c r="E153" s="103"/>
      <c r="F153" s="9"/>
      <c r="G153" s="75"/>
    </row>
    <row r="154" spans="1:9" ht="15" customHeight="1">
      <c r="A154" s="1" t="str">
        <f>SCALARS!A155</f>
        <v>Monday</v>
      </c>
      <c r="B154" s="28">
        <f>SCALARS!B155</f>
        <v>46230</v>
      </c>
      <c r="C154" s="61">
        <f>SCALARS!L155</f>
        <v>1765.4707000000001</v>
      </c>
      <c r="D154" s="156"/>
      <c r="E154" s="156"/>
      <c r="F154" s="156"/>
      <c r="G154" s="75">
        <v>735691.14529999997</v>
      </c>
      <c r="I154" s="3">
        <v>2325.19</v>
      </c>
    </row>
    <row r="155" spans="1:9" ht="15" customHeight="1">
      <c r="A155" s="1" t="str">
        <f>SCALARS!A156</f>
        <v>Tuesday</v>
      </c>
      <c r="B155" s="28">
        <f>SCALARS!B156</f>
        <v>46231</v>
      </c>
      <c r="C155" s="61">
        <f>SCALARS!L156</f>
        <v>1765.4828</v>
      </c>
      <c r="D155" s="61">
        <f t="shared" si="28"/>
        <v>1765.4691215161483</v>
      </c>
      <c r="E155" s="103">
        <f>C155-D155</f>
        <v>1.3678483851663259E-2</v>
      </c>
      <c r="F155" s="9">
        <v>1298840000</v>
      </c>
      <c r="G155" s="75">
        <v>734830.34849999996</v>
      </c>
      <c r="I155" s="3">
        <v>2325.19</v>
      </c>
    </row>
    <row r="156" spans="1:9" ht="15" customHeight="1">
      <c r="A156" s="1" t="str">
        <f>SCALARS!A157</f>
        <v>Wednesday</v>
      </c>
      <c r="B156" s="28">
        <f>SCALARS!B157</f>
        <v>46232</v>
      </c>
      <c r="C156" s="61">
        <f>SCALARS!L157</f>
        <v>1765.4948999999999</v>
      </c>
      <c r="D156" s="61">
        <f t="shared" si="28"/>
        <v>1765.4687270989871</v>
      </c>
      <c r="E156" s="103">
        <f>C156-D156</f>
        <v>2.6172901012841976E-2</v>
      </c>
      <c r="F156" s="9">
        <v>1297320000</v>
      </c>
      <c r="G156" s="75">
        <v>734261.02650000004</v>
      </c>
      <c r="I156" s="3">
        <v>45765.91</v>
      </c>
    </row>
    <row r="157" spans="1:9" ht="15" customHeight="1">
      <c r="A157" s="1" t="str">
        <f>SCALARS!A158</f>
        <v>Thursday</v>
      </c>
      <c r="B157" s="28">
        <f>SCALARS!B158</f>
        <v>46233</v>
      </c>
      <c r="C157" s="61">
        <f>SCALARS!L158</f>
        <v>1765.5070000000001</v>
      </c>
      <c r="D157" s="61">
        <f t="shared" si="28"/>
        <v>0</v>
      </c>
      <c r="E157" s="103"/>
      <c r="F157" s="9"/>
      <c r="G157" s="75"/>
    </row>
    <row r="158" spans="1:9" ht="15" customHeight="1">
      <c r="A158" s="1" t="str">
        <f>SCALARS!A159</f>
        <v>Friday</v>
      </c>
      <c r="B158" s="28">
        <f>SCALARS!B159</f>
        <v>46234</v>
      </c>
      <c r="C158" s="61">
        <f>SCALARS!L159</f>
        <v>1765.5191</v>
      </c>
      <c r="D158" s="61" t="e">
        <f t="shared" si="28"/>
        <v>#DIV/0!</v>
      </c>
      <c r="E158" s="103"/>
      <c r="F158" s="9"/>
      <c r="G158" s="75"/>
    </row>
  </sheetData>
  <hyperlinks>
    <hyperlink ref="A1" r:id="rId1" xr:uid="{4FBF8D04-03EB-4374-B0CB-99977DA6CC9D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BB7A-59EE-4D27-9279-1BE5828A76D6}">
  <sheetPr codeName="Sheet14">
    <tabColor theme="5" tint="0.39997558519241921"/>
  </sheetPr>
  <dimension ref="A1"/>
  <sheetViews>
    <sheetView zoomScale="80" zoomScaleNormal="80" workbookViewId="0">
      <selection activeCell="A32" sqref="A32"/>
    </sheetView>
  </sheetViews>
  <sheetFormatPr defaultRowHeight="15"/>
  <sheetData>
    <row r="1" spans="1:1">
      <c r="A1" s="5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EE8E-7647-4F9A-BF98-CC5C0A82A2C2}">
  <sheetPr codeName="Sheet15">
    <tabColor theme="5" tint="0.39997558519241921"/>
  </sheetPr>
  <dimension ref="A1"/>
  <sheetViews>
    <sheetView zoomScale="80" zoomScaleNormal="80" workbookViewId="0">
      <selection activeCell="C8" sqref="C8"/>
    </sheetView>
  </sheetViews>
  <sheetFormatPr defaultRowHeight="15"/>
  <sheetData>
    <row r="1" spans="1:1">
      <c r="A1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BTC COINS</vt:lpstr>
      <vt:lpstr>SCALARS</vt:lpstr>
      <vt:lpstr>BITO and EETH</vt:lpstr>
      <vt:lpstr>ARKB</vt:lpstr>
      <vt:lpstr>BTCW</vt:lpstr>
      <vt:lpstr>BITB</vt:lpstr>
      <vt:lpstr>BRRR</vt:lpstr>
      <vt:lpstr>BTC</vt:lpstr>
      <vt:lpstr>GBTC</vt:lpstr>
      <vt:lpstr>HODL</vt:lpstr>
      <vt:lpstr>EZBC</vt:lpstr>
      <vt:lpstr>FBTC</vt:lpstr>
      <vt:lpstr>IBIT</vt:lpstr>
      <vt:lpstr>MSBT</vt:lpstr>
      <vt:lpstr>BTCO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2025-03-01T16:15:13Z</dcterms:created>
  <dcterms:modified xsi:type="dcterms:W3CDTF">2026-10-26T23:55:53Z</dcterms:modified>
</cp:coreProperties>
</file>